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346e95a27af5f/Documents/myportofolio/Portofolio/"/>
    </mc:Choice>
  </mc:AlternateContent>
  <xr:revisionPtr revIDLastSave="564" documentId="8_{1A6A7B38-4A4E-463E-BA3A-E80F08874F81}" xr6:coauthVersionLast="47" xr6:coauthVersionMax="47" xr10:uidLastSave="{545DE606-7DA5-496C-8E36-01A58B1526AA}"/>
  <bookViews>
    <workbookView xWindow="-110" yWindow="-110" windowWidth="19420" windowHeight="10300" activeTab="2" xr2:uid="{50BA7B3A-5B01-4B36-8231-61ADBEA1EFAA}"/>
  </bookViews>
  <sheets>
    <sheet name="Parameter" sheetId="1" r:id="rId1"/>
    <sheet name="Job Grade" sheetId="2" r:id="rId2"/>
    <sheet name="Structure" sheetId="3" r:id="rId3"/>
  </sheets>
  <definedNames>
    <definedName name="_xlnm._FilterDatabase" localSheetId="0" hidden="1">Parameter!$K$1:$M$62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2" i="3"/>
  <c r="G3" i="3"/>
  <c r="G4" i="3"/>
  <c r="F5" i="3"/>
  <c r="F6" i="3"/>
  <c r="F7" i="3"/>
  <c r="F8" i="3"/>
  <c r="F9" i="3"/>
  <c r="F10" i="3"/>
  <c r="F2" i="3"/>
  <c r="F3" i="3"/>
  <c r="F4" i="3"/>
  <c r="B5" i="3"/>
  <c r="B6" i="3"/>
  <c r="B7" i="3"/>
  <c r="B8" i="3"/>
  <c r="B9" i="3"/>
  <c r="B10" i="3"/>
  <c r="C3" i="3"/>
  <c r="C2" i="3"/>
  <c r="B2" i="3"/>
  <c r="B3" i="3"/>
  <c r="B4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H3" i="1"/>
  <c r="H2" i="1"/>
  <c r="G3" i="1"/>
  <c r="G2" i="1"/>
  <c r="B48" i="1"/>
  <c r="B47" i="1"/>
  <c r="B46" i="1"/>
  <c r="B45" i="1"/>
  <c r="B44" i="1"/>
  <c r="G7" i="1" s="1"/>
  <c r="B41" i="1"/>
  <c r="B40" i="1"/>
  <c r="B39" i="1"/>
  <c r="B38" i="1"/>
  <c r="B37" i="1"/>
  <c r="B34" i="1"/>
  <c r="B33" i="1"/>
  <c r="B32" i="1"/>
  <c r="B31" i="1"/>
  <c r="B30" i="1"/>
  <c r="B23" i="1"/>
  <c r="B24" i="1"/>
  <c r="B25" i="1"/>
  <c r="B26" i="1"/>
  <c r="B27" i="1"/>
  <c r="E2" i="3" l="1"/>
  <c r="D2" i="3"/>
  <c r="G6" i="1"/>
  <c r="G4" i="1"/>
  <c r="H5" i="1"/>
  <c r="G5" i="1"/>
  <c r="H7" i="1"/>
  <c r="H4" i="1"/>
  <c r="H6" i="1"/>
  <c r="G8" i="1" l="1"/>
  <c r="H11" i="1"/>
  <c r="H2" i="3"/>
  <c r="H8" i="1"/>
  <c r="I3" i="1"/>
  <c r="I4" i="1" l="1"/>
  <c r="I6" i="1"/>
  <c r="I5" i="1"/>
  <c r="I11" i="1"/>
  <c r="H12" i="1" s="1"/>
  <c r="I19" i="1"/>
  <c r="E3" i="3"/>
  <c r="D3" i="3"/>
  <c r="I2" i="1"/>
  <c r="I7" i="1"/>
  <c r="I8" i="1"/>
  <c r="I12" i="1" l="1"/>
  <c r="H13" i="1" s="1"/>
  <c r="I13" i="1" s="1"/>
  <c r="H14" i="1" s="1"/>
  <c r="I14" i="1" s="1"/>
  <c r="H15" i="1" s="1"/>
  <c r="I15" i="1" s="1"/>
  <c r="H16" i="1" s="1"/>
  <c r="I16" i="1" s="1"/>
  <c r="H17" i="1" s="1"/>
  <c r="I17" i="1" s="1"/>
  <c r="H18" i="1" s="1"/>
  <c r="C4" i="3"/>
  <c r="H3" i="3" l="1"/>
  <c r="E4" i="3"/>
  <c r="D4" i="3"/>
  <c r="I18" i="1"/>
  <c r="H19" i="1" s="1"/>
  <c r="K22" i="2" l="1"/>
  <c r="K28" i="2"/>
  <c r="K34" i="2"/>
  <c r="K40" i="2"/>
  <c r="K47" i="2"/>
  <c r="K53" i="2"/>
  <c r="K4" i="2"/>
  <c r="K13" i="2"/>
  <c r="K8" i="2"/>
  <c r="K26" i="2"/>
  <c r="K44" i="2"/>
  <c r="K9" i="2"/>
  <c r="K25" i="2"/>
  <c r="K7" i="2"/>
  <c r="K24" i="2"/>
  <c r="K42" i="2"/>
  <c r="K2" i="2"/>
  <c r="K31" i="2"/>
  <c r="K37" i="2"/>
  <c r="K41" i="2"/>
  <c r="K46" i="2"/>
  <c r="K5" i="2"/>
  <c r="K52" i="2"/>
  <c r="K54" i="2"/>
  <c r="K45" i="2"/>
  <c r="K57" i="2"/>
  <c r="K58" i="2"/>
  <c r="K59" i="2"/>
  <c r="K60" i="2"/>
  <c r="K61" i="2"/>
  <c r="K3" i="2"/>
  <c r="K14" i="2"/>
  <c r="K32" i="2"/>
  <c r="K51" i="2"/>
  <c r="K19" i="2"/>
  <c r="K27" i="2"/>
  <c r="K12" i="2"/>
  <c r="K36" i="2"/>
  <c r="K55" i="2"/>
  <c r="K17" i="2"/>
  <c r="K35" i="2"/>
  <c r="K50" i="2"/>
  <c r="K6" i="2"/>
  <c r="K10" i="2"/>
  <c r="K16" i="2"/>
  <c r="K62" i="2"/>
  <c r="K20" i="2"/>
  <c r="K38" i="2"/>
  <c r="K56" i="2"/>
  <c r="K15" i="2"/>
  <c r="K23" i="2"/>
  <c r="K29" i="2"/>
  <c r="K18" i="2"/>
  <c r="K30" i="2"/>
  <c r="K49" i="2"/>
  <c r="K11" i="2"/>
  <c r="K21" i="2"/>
  <c r="K33" i="2"/>
  <c r="K39" i="2"/>
  <c r="K43" i="2"/>
  <c r="K48" i="2"/>
  <c r="C5" i="3"/>
  <c r="H4" i="3" l="1"/>
  <c r="D5" i="3"/>
  <c r="E5" i="3"/>
  <c r="C6" i="3" l="1"/>
  <c r="H5" i="3" l="1"/>
  <c r="D6" i="3"/>
  <c r="E6" i="3"/>
  <c r="C7" i="3" l="1"/>
  <c r="D7" i="3" l="1"/>
  <c r="E7" i="3"/>
  <c r="H6" i="3"/>
  <c r="C8" i="3" l="1"/>
  <c r="H7" i="3" l="1"/>
  <c r="D8" i="3"/>
  <c r="E8" i="3"/>
  <c r="C9" i="3" l="1"/>
  <c r="H8" i="3" l="1"/>
  <c r="E9" i="3"/>
  <c r="D9" i="3"/>
  <c r="H9" i="3" l="1"/>
  <c r="C10" i="3"/>
  <c r="E10" i="3" l="1"/>
  <c r="D10" i="3"/>
  <c r="H10" i="3" l="1"/>
</calcChain>
</file>

<file path=xl/sharedStrings.xml><?xml version="1.0" encoding="utf-8"?>
<sst xmlns="http://schemas.openxmlformats.org/spreadsheetml/2006/main" count="512" uniqueCount="113">
  <si>
    <t>Nilai / Angka</t>
  </si>
  <si>
    <t>Satuan</t>
  </si>
  <si>
    <t>IDR</t>
  </si>
  <si>
    <t>Progression Rate Antar Midpoint</t>
  </si>
  <si>
    <t>Kenaikan Midpoint dari satu Grade ke Grade berikutnya (6%)</t>
  </si>
  <si>
    <t>Salary Spread (Rentang Upah)</t>
  </si>
  <si>
    <t>Batas Minimum (85% Mid) hingga Maximum (115% Mid)</t>
  </si>
  <si>
    <t>Rasio Upah Pokok</t>
  </si>
  <si>
    <t>Porsi Gaji Pokok dari Total Upah Tetap</t>
  </si>
  <si>
    <t>Rasio Tunjangan Tetap</t>
  </si>
  <si>
    <t>Porsi Tunjangan Jabatan/Tetap dari Total Upah Tetap</t>
  </si>
  <si>
    <t>Parameter</t>
  </si>
  <si>
    <t>UMK / Upah Minimum</t>
  </si>
  <si>
    <t>Keterangan</t>
  </si>
  <si>
    <t>Wajib di update setiap tahun mengikuti pemerintah</t>
  </si>
  <si>
    <t>Persen</t>
  </si>
  <si>
    <t>Level</t>
  </si>
  <si>
    <t>SMA / SMK / Sederajat</t>
  </si>
  <si>
    <t>Diploma 3 (D3)</t>
  </si>
  <si>
    <t>Sarjana / Bachelor (S1)</t>
  </si>
  <si>
    <t>Magister / Master (S2)</t>
  </si>
  <si>
    <t>Doktor (S3)</t>
  </si>
  <si>
    <t>Formula</t>
  </si>
  <si>
    <t>Pengalaman</t>
  </si>
  <si>
    <t>Fresh Graduate  &lt; 1 Tahun</t>
  </si>
  <si>
    <t>1 - 3 Tahun Pengalaman</t>
  </si>
  <si>
    <t>3 - 5 Tahun Pengalaman</t>
  </si>
  <si>
    <t>5 - 8 Tahun Pengalaman</t>
  </si>
  <si>
    <t>&gt; 8 Tahun Pengalaman</t>
  </si>
  <si>
    <t>Tanggung Jawab</t>
  </si>
  <si>
    <t>Tugas Rutin Dasar</t>
  </si>
  <si>
    <t>Tugas Operasional Mandiri</t>
  </si>
  <si>
    <t>Pengawasan tim &amp; sub-unit</t>
  </si>
  <si>
    <t>Pengelolaan anggaran &amp; kinerja</t>
  </si>
  <si>
    <t>Penentuan arah strategis</t>
  </si>
  <si>
    <t>Problem Solving</t>
  </si>
  <si>
    <t>Sederhana &amp; sesuai SOP</t>
  </si>
  <si>
    <t>Rutin &amp; butuh pilah data</t>
  </si>
  <si>
    <t>Teknis kompleks &amp; butuh analisis</t>
  </si>
  <si>
    <t>Strategis &amp; belum ada preseden</t>
  </si>
  <si>
    <t>Korporat &amp; butuh inovasi</t>
  </si>
  <si>
    <t>Koordinasi lintas unit &amp; vendor</t>
  </si>
  <si>
    <t>Leadership</t>
  </si>
  <si>
    <t>Memimpin organisasi / direksi</t>
  </si>
  <si>
    <t>Memberikan arahan kepada tim</t>
  </si>
  <si>
    <t>Mengambil keputusan operasional rutin</t>
  </si>
  <si>
    <t>Pengendalian alokasi &amp; evaluasi sta</t>
  </si>
  <si>
    <t>Memimpin departemen / Manager</t>
  </si>
  <si>
    <t>Komunikasi</t>
  </si>
  <si>
    <t>Pendidikan</t>
  </si>
  <si>
    <t>Komunikasi antar tim / Internal</t>
  </si>
  <si>
    <t>Persuasif &amp; negosiasi teknis</t>
  </si>
  <si>
    <t>Strategis &amp; presentasi BOD / Client</t>
  </si>
  <si>
    <t>Eksternal Korporat &amp; Regulator</t>
  </si>
  <si>
    <t>Faktor Evaluasi Jabatan</t>
  </si>
  <si>
    <t>Pendidikan Formal</t>
  </si>
  <si>
    <t>Pengalaman Kerja</t>
  </si>
  <si>
    <t>Leadership / Kepemimpinan</t>
  </si>
  <si>
    <t>TOTAL</t>
  </si>
  <si>
    <t>Bobot (%)</t>
  </si>
  <si>
    <t>Minimum</t>
  </si>
  <si>
    <t>Maksimal</t>
  </si>
  <si>
    <t>Grade</t>
  </si>
  <si>
    <t>Total Poin</t>
  </si>
  <si>
    <t>G01</t>
  </si>
  <si>
    <t>Operator</t>
  </si>
  <si>
    <t>G02</t>
  </si>
  <si>
    <t>Administrator</t>
  </si>
  <si>
    <t>G03</t>
  </si>
  <si>
    <t>Staff</t>
  </si>
  <si>
    <t>G04</t>
  </si>
  <si>
    <t>Senior Professional / Engineer / Analyst</t>
  </si>
  <si>
    <t>G05</t>
  </si>
  <si>
    <t>Officer / Executive</t>
  </si>
  <si>
    <t>G06</t>
  </si>
  <si>
    <t>Supervisor</t>
  </si>
  <si>
    <t>G07</t>
  </si>
  <si>
    <t>Manager</t>
  </si>
  <si>
    <t>G08</t>
  </si>
  <si>
    <t>General Manager</t>
  </si>
  <si>
    <t>G09</t>
  </si>
  <si>
    <t>Director</t>
  </si>
  <si>
    <t>Divisi</t>
  </si>
  <si>
    <t>Departemen</t>
  </si>
  <si>
    <t>Supply Chain Management</t>
  </si>
  <si>
    <t>Warehouse</t>
  </si>
  <si>
    <t>Information Technology</t>
  </si>
  <si>
    <t>Management</t>
  </si>
  <si>
    <t>TAX</t>
  </si>
  <si>
    <t>Accounting</t>
  </si>
  <si>
    <t>Commercial &amp; Marketing</t>
  </si>
  <si>
    <t>Sales</t>
  </si>
  <si>
    <t>Human Resources</t>
  </si>
  <si>
    <t>Human Resources &amp; General Affairs</t>
  </si>
  <si>
    <t>Manufacturing</t>
  </si>
  <si>
    <t>Quality Engineering</t>
  </si>
  <si>
    <t>Quality Assurance</t>
  </si>
  <si>
    <t>Purchasing</t>
  </si>
  <si>
    <t>Production</t>
  </si>
  <si>
    <t>PPIC</t>
  </si>
  <si>
    <t>Corporate Governance</t>
  </si>
  <si>
    <t>Nomination &amp; Remuneration Committee</t>
  </si>
  <si>
    <t>Marketing</t>
  </si>
  <si>
    <t>Legal &amp; Compliance</t>
  </si>
  <si>
    <t>Legal</t>
  </si>
  <si>
    <t>Finance</t>
  </si>
  <si>
    <t>Minimal</t>
  </si>
  <si>
    <t>Subtotal</t>
  </si>
  <si>
    <t>Midpoin</t>
  </si>
  <si>
    <t>Maximial</t>
  </si>
  <si>
    <t>Mid GP (75%)</t>
  </si>
  <si>
    <t>MidTunjangan (25%)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</si>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</sst>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3" fillId="0" borderId="0" xfId="0" applyFont="1"/>
    <xf numFmtId="10" fontId="3" fillId="0" borderId="0" xfId="1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164" formatCode="&quot;Rp&quot;#,##0.00"/>
    </dxf>
    <dxf>
      <numFmt numFmtId="164" formatCode="&quot;Rp&quot;#,##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BC293-95C4-4309-80A6-D9E4E3EBBC5D}" name="Table1" displayName="Table1" ref="A1:D6" totalsRowShown="0">
  <autoFilter ref="A1:D6" xr:uid="{7ECBC293-95C4-4309-80A6-D9E4E3EBBC5D}"/>
  <tableColumns count="4">
    <tableColumn id="1" xr3:uid="{144F3C57-B687-4DB2-B7D0-CA8CE7AEEC4C}" name="Parameter"/>
    <tableColumn id="2" xr3:uid="{DC210985-133C-4D70-8121-373E41F813D6}" name="Nilai / Angka" dataDxfId="7"/>
    <tableColumn id="3" xr3:uid="{6E6D243B-F52D-401B-A8FF-465E0B607108}" name="Satuan"/>
    <tableColumn id="4" xr3:uid="{34C17756-8D22-44E4-B66D-4B75B7401C12}" name="Keterang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E1206-416A-4CBD-9BC1-04517C8F33A7}" name="Pendidikan" displayName="Pendidikan" ref="A8:B13" totalsRowShown="0">
  <autoFilter ref="A8:B13" xr:uid="{8BCE1206-416A-4CBD-9BC1-04517C8F33A7}"/>
  <tableColumns count="2">
    <tableColumn id="1" xr3:uid="{AAB7530D-0983-49CF-9D23-4438D09A991E}" name="Pendidikan"/>
    <tableColumn id="2" xr3:uid="{573BA358-DCE2-4A66-BC99-ADABFBF586E7}" name="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CA2367-9698-46F9-AB98-27FF4DCBE05D}" name="Pengalaman" displayName="Pengalaman" ref="A15:B20" totalsRowShown="0">
  <autoFilter ref="A15:B20" xr:uid="{EBCA2367-9698-46F9-AB98-27FF4DCBE05D}"/>
  <tableColumns count="2">
    <tableColumn id="1" xr3:uid="{B1FCCB27-80CF-43CC-9A79-B683C0DF62BC}" name="Pengalaman"/>
    <tableColumn id="2" xr3:uid="{EA4A1485-B4B6-4C76-896E-038328E39447}" name="Formu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7726B5-B76F-4D95-830A-EE589A866AD7}" name="TanggungJawab" displayName="TanggungJawab" ref="A22:B27" totalsRowShown="0">
  <autoFilter ref="A22:B27" xr:uid="{327726B5-B76F-4D95-830A-EE589A866AD7}"/>
  <tableColumns count="2">
    <tableColumn id="1" xr3:uid="{C25462B8-6B32-42C4-9EF8-BA4A98A6D468}" name="Tanggung Jawab"/>
    <tableColumn id="2" xr3:uid="{AE3B3BE4-4A9B-4C2A-A5B0-3AB127F17441}" name="Formu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3CB26-8B0C-4B20-B3D6-DBA92FEEA49C}" name="Leadership" displayName="Leadership" ref="A36:B41" totalsRowShown="0">
  <autoFilter ref="A36:B41" xr:uid="{C983CB26-8B0C-4B20-B3D6-DBA92FEEA49C}"/>
  <tableColumns count="2">
    <tableColumn id="1" xr3:uid="{20657786-DCA5-4593-8AE1-0FE6BDD30253}" name="Leadership"/>
    <tableColumn id="2" xr3:uid="{44CB9873-B039-4D8A-AFD8-289B85AAA77A}" name="Formul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3CE013-14CC-4A89-96E8-EB1F509AFD5C}" name="ProblemSolving" displayName="ProblemSolving" ref="A29:B34" totalsRowShown="0">
  <autoFilter ref="A29:B34" xr:uid="{6E3CE013-14CC-4A89-96E8-EB1F509AFD5C}"/>
  <tableColumns count="2">
    <tableColumn id="1" xr3:uid="{56D2162E-CA3D-4944-9AA2-5561D76F4136}" name="Problem Solving" dataDxfId="6"/>
    <tableColumn id="2" xr3:uid="{A5FB36F5-067D-4C5A-8A65-2E70B3E5407A}" name="Formul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C3C9F4-E7F0-4626-BFD7-3483C611D09C}" name="Komunikasi" displayName="Komunikasi" ref="A43:B48" totalsRowShown="0">
  <autoFilter ref="A43:B48" xr:uid="{3BC3C9F4-E7F0-4626-BFD7-3483C611D09C}"/>
  <tableColumns count="2">
    <tableColumn id="1" xr3:uid="{92AD6CEF-80AD-4406-A810-AC7E2A89E76A}" name="Komunikasi"/>
    <tableColumn id="2" xr3:uid="{3D2C85C8-0D4B-4790-9BDF-E3EEA2C92661}" name="Formul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BED5FA-3865-4A7F-9817-8077049606CC}" name="Table8" displayName="Table8" ref="F1:I8" totalsRowShown="0">
  <autoFilter ref="F1:I8" xr:uid="{79BED5FA-3865-4A7F-9817-8077049606CC}"/>
  <tableColumns count="4">
    <tableColumn id="1" xr3:uid="{291B4B44-16C1-4C4F-A3C4-B1A503CB46E7}" name="Faktor Evaluasi Jabatan"/>
    <tableColumn id="2" xr3:uid="{1AC75717-0867-4D77-8575-9B1F188DED12}" name="Minimum"/>
    <tableColumn id="3" xr3:uid="{AEA27A97-7D71-48EE-8F5D-2897110DB680}" name="Maksimal"/>
    <tableColumn id="4" xr3:uid="{58032FA0-BFBE-49C4-8BD7-83634FAEFBC3}" name="Bobot (%)" dataDxfId="5" dataCellStyle="Percent">
      <calculatedColumnFormula>H2/$H$8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C818CF-A324-49AC-A588-F156DEA75A91}" name="Grade" displayName="Grade" ref="F21:G30" totalsRowShown="0">
  <autoFilter ref="F21:G30" xr:uid="{59C818CF-A324-49AC-A588-F156DEA75A91}"/>
  <tableColumns count="2">
    <tableColumn id="1" xr3:uid="{DB4DB56E-A4E3-44F4-9C48-FF21A27D3285}" name="Grade"/>
    <tableColumn id="2" xr3:uid="{D7BE9CB5-686D-4C58-AAAD-BCFA230E2BCF}" name="Lev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626944-2A60-4D5E-99DE-A0D747DA2567}" name="Organisasi" displayName="Organisasi" ref="K1:M62" totalsRowShown="0">
  <autoFilter ref="K1:M62" xr:uid="{5AE48E78-642E-4897-A446-C8732B662206}"/>
  <sortState xmlns:xlrd2="http://schemas.microsoft.com/office/spreadsheetml/2017/richdata2" ref="K2:M62">
    <sortCondition ref="M1:M274"/>
  </sortState>
  <tableColumns count="3">
    <tableColumn id="1" xr3:uid="{F85D803B-8F43-453C-B792-746D005AEB57}" name="Divisi"/>
    <tableColumn id="2" xr3:uid="{F91D64DE-844A-4AB8-A514-D78C7E3B0A22}" name="Departemen"/>
    <tableColumn id="3" xr3:uid="{67E713C8-CB21-4F42-AC17-B5F792EF17D5}" name="Lev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149679-25D4-4051-842F-A8B610BCAE04}" name="PoinGrade" displayName="PoinGrade" ref="F10:I19" totalsRowShown="0">
  <autoFilter ref="F10:I19" xr:uid="{8C149679-25D4-4051-842F-A8B610BCAE04}"/>
  <tableColumns count="4">
    <tableColumn id="1" xr3:uid="{8C1C82A9-48EF-499E-84E1-7DF580B7902B}" name="Grade"/>
    <tableColumn id="2" xr3:uid="{1CEF7A1C-3507-407C-95C6-630467DCC107}" name="Level"/>
    <tableColumn id="3" xr3:uid="{3E1C550D-53E0-4959-9AD6-83B29BF91272}" name="Minimal"/>
    <tableColumn id="4" xr3:uid="{5F99E0C3-FDF2-4DF0-A470-BC41CFAD9375}" name="Maksimal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10A07E-FC32-42AB-BB2A-ED6583BAE1C9}" name="Table11" displayName="Table11" ref="A1:K62" totalsRowShown="0">
  <autoFilter ref="A1:K62" xr:uid="{0D10A07E-FC32-42AB-BB2A-ED6583BAE1C9}"/>
  <sortState xmlns:xlrd2="http://schemas.microsoft.com/office/spreadsheetml/2017/richdata2" ref="A2:K62">
    <sortCondition ref="A1:A62"/>
  </sortState>
  <tableColumns count="11">
    <tableColumn id="1" xr3:uid="{BF0F40AD-972F-4886-91FD-8918A10624B1}" name="Divisi"/>
    <tableColumn id="2" xr3:uid="{D9101186-8662-4465-A3A9-279D3829F49F}" name="Departemen"/>
    <tableColumn id="3" xr3:uid="{6B3FB526-5886-47D4-8A2C-A4DFA993887A}" name="Level"/>
    <tableColumn id="4" xr3:uid="{E0E957BA-878E-4BD2-81B4-74B2B83F2294}" name="Pendidikan"/>
    <tableColumn id="5" xr3:uid="{04FAFBA6-B216-4BCA-8A56-5EAC53757B6D}" name="Pengalaman"/>
    <tableColumn id="6" xr3:uid="{AFB71D43-7605-48D2-931E-368508D4E9D8}" name="Tanggung Jawab"/>
    <tableColumn id="7" xr3:uid="{E2ACCAC7-A2A4-4220-A910-604610A7F9CA}" name="Problem Solving"/>
    <tableColumn id="8" xr3:uid="{5058B793-650A-4264-94F3-CB28CAA57871}" name="Leadership"/>
    <tableColumn id="9" xr3:uid="{0D309618-EC68-4126-84E8-79DC25856B48}" name="Komunikasi"/>
    <tableColumn id="10" xr3:uid="{8974E8A5-084A-4E1F-AF7E-0277A866B05B}" name="Total Poin" dataDxfId="3">
      <calculatedColumnFormula>SUM(D2:I2)</calculatedColumnFormula>
    </tableColumn>
    <tableColumn id="12" xr3:uid="{7E2728FA-BD7E-4EE0-BA8E-E057AA33C879}" name="Grade" dataDxfId="2">
      <calculatedColumnFormula>_xlfn.XLOOKUP(J2,Parameter!$H$11:$H$19,Parameter!$F$11:$F$19,"",-1)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32771C-5FCB-4AA8-8374-7617E33B2DFF}" name="Table13" displayName="Table13" ref="A1:H10" totalsRowShown="0">
  <autoFilter ref="A1:H10" xr:uid="{D732771C-5FCB-4AA8-8374-7617E33B2DFF}"/>
  <tableColumns count="8">
    <tableColumn id="1" xr3:uid="{7223362D-4824-4D0C-8F4E-415058823927}" name="Grade"/>
    <tableColumn id="2" xr3:uid="{5C14B6AF-C4B0-4DE8-B5FA-BB0902E34B84}" name="Level" dataDxfId="12">
      <calculatedColumnFormula>VLOOKUP(Table13[[#This Row],[Grade]],Grade[],2)</calculatedColumnFormula>
    </tableColumn>
    <tableColumn id="3" xr3:uid="{E41225C7-38D5-4202-90C7-94F5CC62B746}" name="Minimal" dataDxfId="11">
      <calculatedColumnFormula>Table1[[#This Row],[Nilai / Angka]]</calculatedColumnFormula>
    </tableColumn>
    <tableColumn id="4" xr3:uid="{F3AD3931-AB47-4803-90B0-9245DEF975A7}" name="Midpoin" dataDxfId="10">
      <calculatedColumnFormula>C2*(1+(0.5*Parameter!$B$4))</calculatedColumnFormula>
    </tableColumn>
    <tableColumn id="5" xr3:uid="{46F2EE10-7571-4C03-B83F-98F719513FF9}" name="Maximial" dataDxfId="9">
      <calculatedColumnFormula>C2*(1+Parameter!$B$4)</calculatedColumnFormula>
    </tableColumn>
    <tableColumn id="10" xr3:uid="{460C1D7B-C3CC-4B5B-941F-A93356218F9A}" name="Mid GP (75%)" dataDxfId="1">
      <calculatedColumnFormula>C2*Parameter!$B$5</calculatedColumnFormula>
    </tableColumn>
    <tableColumn id="11" xr3:uid="{54977380-C698-40BF-B5DB-7F7D3A39BB78}" name="MidTunjangan (25%)" dataDxfId="0">
      <calculatedColumnFormula>C2*Parameter!$B$6</calculatedColumnFormula>
    </tableColumn>
    <tableColumn id="12" xr3:uid="{0D8F00AB-C229-4745-B15E-3137B2EC7D81}" name="Subtotal" dataDxfId="8">
      <calculatedColumnFormula>SUM(Table13[[#This Row],[Mid GP (75%)]:[MidTunjangan (25%)]])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8E78-642E-4897-A446-C8732B662206}">
  <dimension ref="A1:M62"/>
  <sheetViews>
    <sheetView showGridLines="0" zoomScale="99" zoomScaleNormal="99" workbookViewId="0">
      <selection activeCell="G25" sqref="G25"/>
    </sheetView>
  </sheetViews>
  <sheetFormatPr defaultRowHeight="14.5" x14ac:dyDescent="0.35"/>
  <cols>
    <col min="1" max="1" width="28.26953125" bestFit="1" customWidth="1"/>
    <col min="2" max="2" width="13.6328125" bestFit="1" customWidth="1"/>
    <col min="4" max="4" width="48.6328125" customWidth="1"/>
    <col min="6" max="6" width="23.36328125" bestFit="1" customWidth="1"/>
    <col min="7" max="7" width="35.54296875" bestFit="1" customWidth="1"/>
    <col min="8" max="8" width="15.08984375" customWidth="1"/>
    <col min="9" max="9" width="16.453125" customWidth="1"/>
    <col min="11" max="11" width="24.453125" bestFit="1" customWidth="1"/>
    <col min="12" max="12" width="36.26953125" bestFit="1" customWidth="1"/>
    <col min="13" max="13" width="35.54296875" bestFit="1" customWidth="1"/>
    <col min="14" max="14" width="8.26953125" bestFit="1" customWidth="1"/>
    <col min="15" max="15" width="33" customWidth="1"/>
    <col min="16" max="16" width="10.08984375" bestFit="1" customWidth="1"/>
    <col min="17" max="17" width="16.90625" bestFit="1" customWidth="1"/>
  </cols>
  <sheetData>
    <row r="1" spans="1:13" x14ac:dyDescent="0.35">
      <c r="A1" t="s">
        <v>11</v>
      </c>
      <c r="B1" t="s">
        <v>0</v>
      </c>
      <c r="C1" t="s">
        <v>1</v>
      </c>
      <c r="D1" t="s">
        <v>13</v>
      </c>
      <c r="F1" t="s">
        <v>54</v>
      </c>
      <c r="G1" t="s">
        <v>60</v>
      </c>
      <c r="H1" t="s">
        <v>61</v>
      </c>
      <c r="I1" t="s">
        <v>59</v>
      </c>
      <c r="K1" t="s">
        <v>82</v>
      </c>
      <c r="L1" t="s">
        <v>83</v>
      </c>
      <c r="M1" t="s">
        <v>16</v>
      </c>
    </row>
    <row r="2" spans="1:13" x14ac:dyDescent="0.35">
      <c r="A2" t="s">
        <v>12</v>
      </c>
      <c r="B2" s="2">
        <v>5728878</v>
      </c>
      <c r="C2" t="s">
        <v>2</v>
      </c>
      <c r="D2" t="s">
        <v>14</v>
      </c>
      <c r="F2" t="s">
        <v>55</v>
      </c>
      <c r="G2">
        <f>MIN(Pendidikan[Formula])</f>
        <v>50</v>
      </c>
      <c r="H2">
        <f>MAX(Pendidikan[])</f>
        <v>250</v>
      </c>
      <c r="I2" s="4">
        <f t="shared" ref="I2:I8" si="0">H2/$H$8</f>
        <v>0.20833333333333334</v>
      </c>
      <c r="K2" t="s">
        <v>90</v>
      </c>
      <c r="L2" t="s">
        <v>91</v>
      </c>
      <c r="M2" t="s">
        <v>67</v>
      </c>
    </row>
    <row r="3" spans="1:13" x14ac:dyDescent="0.35">
      <c r="A3" t="s">
        <v>3</v>
      </c>
      <c r="B3" s="1">
        <v>0.06</v>
      </c>
      <c r="C3" t="s">
        <v>15</v>
      </c>
      <c r="D3" t="s">
        <v>4</v>
      </c>
      <c r="F3" t="s">
        <v>56</v>
      </c>
      <c r="G3">
        <f>MIN(Pengalaman[])</f>
        <v>50</v>
      </c>
      <c r="H3">
        <f>MAX(Pengalaman[])</f>
        <v>250</v>
      </c>
      <c r="I3" s="4">
        <f t="shared" si="0"/>
        <v>0.20833333333333334</v>
      </c>
      <c r="K3" t="s">
        <v>92</v>
      </c>
      <c r="L3" t="s">
        <v>93</v>
      </c>
      <c r="M3" t="s">
        <v>67</v>
      </c>
    </row>
    <row r="4" spans="1:13" x14ac:dyDescent="0.35">
      <c r="A4" t="s">
        <v>5</v>
      </c>
      <c r="B4" s="1">
        <v>0.3</v>
      </c>
      <c r="C4" t="s">
        <v>15</v>
      </c>
      <c r="D4" t="s">
        <v>6</v>
      </c>
      <c r="F4" t="s">
        <v>29</v>
      </c>
      <c r="G4">
        <f>MIN(TanggungJawab[])</f>
        <v>40</v>
      </c>
      <c r="H4">
        <f>MAX(TanggungJawab[])</f>
        <v>200</v>
      </c>
      <c r="I4" s="4">
        <f t="shared" si="0"/>
        <v>0.16666666666666666</v>
      </c>
      <c r="K4" t="s">
        <v>87</v>
      </c>
      <c r="L4" t="s">
        <v>89</v>
      </c>
      <c r="M4" t="s">
        <v>67</v>
      </c>
    </row>
    <row r="5" spans="1:13" x14ac:dyDescent="0.35">
      <c r="A5" t="s">
        <v>7</v>
      </c>
      <c r="B5" s="1">
        <v>0.75</v>
      </c>
      <c r="C5" t="s">
        <v>15</v>
      </c>
      <c r="D5" t="s">
        <v>8</v>
      </c>
      <c r="F5" t="s">
        <v>35</v>
      </c>
      <c r="G5">
        <f>MIN(ProblemSolving[])</f>
        <v>30</v>
      </c>
      <c r="H5">
        <f>MAX(ProblemSolving[])</f>
        <v>150</v>
      </c>
      <c r="I5" s="4">
        <f t="shared" si="0"/>
        <v>0.125</v>
      </c>
      <c r="K5" t="s">
        <v>87</v>
      </c>
      <c r="L5" t="s">
        <v>88</v>
      </c>
      <c r="M5" t="s">
        <v>67</v>
      </c>
    </row>
    <row r="6" spans="1:13" x14ac:dyDescent="0.35">
      <c r="A6" t="s">
        <v>9</v>
      </c>
      <c r="B6" s="1">
        <v>0.25</v>
      </c>
      <c r="C6" t="s">
        <v>15</v>
      </c>
      <c r="D6" t="s">
        <v>10</v>
      </c>
      <c r="F6" t="s">
        <v>57</v>
      </c>
      <c r="G6">
        <f>MIN(Leadership[])</f>
        <v>40</v>
      </c>
      <c r="H6">
        <f>MAX(Leadership[])</f>
        <v>200</v>
      </c>
      <c r="I6" s="4">
        <f t="shared" si="0"/>
        <v>0.16666666666666666</v>
      </c>
      <c r="K6" t="s">
        <v>87</v>
      </c>
      <c r="L6" t="s">
        <v>105</v>
      </c>
      <c r="M6" t="s">
        <v>67</v>
      </c>
    </row>
    <row r="7" spans="1:13" x14ac:dyDescent="0.35">
      <c r="F7" t="s">
        <v>48</v>
      </c>
      <c r="G7">
        <f>MIN(Komunikasi[])</f>
        <v>30</v>
      </c>
      <c r="H7">
        <f>MAX(Komunikasi[])</f>
        <v>150</v>
      </c>
      <c r="I7" s="4">
        <f t="shared" si="0"/>
        <v>0.125</v>
      </c>
      <c r="K7" t="s">
        <v>94</v>
      </c>
      <c r="L7" t="s">
        <v>98</v>
      </c>
      <c r="M7" t="s">
        <v>67</v>
      </c>
    </row>
    <row r="8" spans="1:13" x14ac:dyDescent="0.35">
      <c r="A8" t="s">
        <v>49</v>
      </c>
      <c r="B8" t="s">
        <v>22</v>
      </c>
      <c r="F8" s="7" t="s">
        <v>58</v>
      </c>
      <c r="G8" s="5">
        <f>SUM(G2:G7)</f>
        <v>240</v>
      </c>
      <c r="H8" s="5">
        <f>SUM(H2:H7)</f>
        <v>1200</v>
      </c>
      <c r="I8" s="6">
        <f t="shared" si="0"/>
        <v>1</v>
      </c>
      <c r="K8" t="s">
        <v>84</v>
      </c>
      <c r="L8" t="s">
        <v>85</v>
      </c>
      <c r="M8" t="s">
        <v>67</v>
      </c>
    </row>
    <row r="9" spans="1:13" x14ac:dyDescent="0.35">
      <c r="A9" t="s">
        <v>17</v>
      </c>
      <c r="B9">
        <v>50</v>
      </c>
      <c r="K9" t="s">
        <v>84</v>
      </c>
      <c r="L9" t="s">
        <v>97</v>
      </c>
      <c r="M9" t="s">
        <v>67</v>
      </c>
    </row>
    <row r="10" spans="1:13" x14ac:dyDescent="0.35">
      <c r="A10" t="s">
        <v>18</v>
      </c>
      <c r="B10">
        <v>100</v>
      </c>
      <c r="F10" t="s">
        <v>62</v>
      </c>
      <c r="G10" t="s">
        <v>16</v>
      </c>
      <c r="H10" t="s">
        <v>106</v>
      </c>
      <c r="I10" t="s">
        <v>61</v>
      </c>
      <c r="K10" t="s">
        <v>84</v>
      </c>
      <c r="L10" t="s">
        <v>99</v>
      </c>
      <c r="M10" t="s">
        <v>67</v>
      </c>
    </row>
    <row r="11" spans="1:13" x14ac:dyDescent="0.35">
      <c r="A11" t="s">
        <v>19</v>
      </c>
      <c r="B11">
        <v>150</v>
      </c>
      <c r="F11" t="s">
        <v>64</v>
      </c>
      <c r="G11" t="s">
        <v>65</v>
      </c>
      <c r="H11">
        <f>$G$8</f>
        <v>240</v>
      </c>
      <c r="I11">
        <f>ROUNDUP($G$8+(($H$8-$G$8)/9),0)</f>
        <v>347</v>
      </c>
      <c r="K11" t="s">
        <v>87</v>
      </c>
      <c r="L11" t="s">
        <v>105</v>
      </c>
      <c r="M11" t="s">
        <v>79</v>
      </c>
    </row>
    <row r="12" spans="1:13" x14ac:dyDescent="0.35">
      <c r="A12" t="s">
        <v>20</v>
      </c>
      <c r="B12">
        <v>200</v>
      </c>
      <c r="F12" t="s">
        <v>66</v>
      </c>
      <c r="G12" t="s">
        <v>67</v>
      </c>
      <c r="H12" s="9">
        <f>I11+1</f>
        <v>348</v>
      </c>
      <c r="I12">
        <f t="shared" ref="I12:I18" si="1">ROUNDUP(H12+(($H$8-$G$8)/9),0)</f>
        <v>455</v>
      </c>
      <c r="K12" t="s">
        <v>94</v>
      </c>
      <c r="L12" t="s">
        <v>98</v>
      </c>
      <c r="M12" t="s">
        <v>69</v>
      </c>
    </row>
    <row r="13" spans="1:13" x14ac:dyDescent="0.35">
      <c r="A13" t="s">
        <v>21</v>
      </c>
      <c r="B13">
        <v>250</v>
      </c>
      <c r="F13" t="s">
        <v>68</v>
      </c>
      <c r="G13" t="s">
        <v>69</v>
      </c>
      <c r="H13" s="9">
        <f t="shared" ref="H13:H19" si="2">I12+1</f>
        <v>456</v>
      </c>
      <c r="I13">
        <f t="shared" si="1"/>
        <v>563</v>
      </c>
      <c r="K13" t="s">
        <v>84</v>
      </c>
      <c r="L13" t="s">
        <v>85</v>
      </c>
      <c r="M13" t="s">
        <v>69</v>
      </c>
    </row>
    <row r="14" spans="1:13" x14ac:dyDescent="0.35">
      <c r="F14" t="s">
        <v>70</v>
      </c>
      <c r="G14" t="s">
        <v>71</v>
      </c>
      <c r="H14" s="9">
        <f t="shared" si="2"/>
        <v>564</v>
      </c>
      <c r="I14">
        <f t="shared" si="1"/>
        <v>671</v>
      </c>
      <c r="K14" t="s">
        <v>90</v>
      </c>
      <c r="L14" t="s">
        <v>91</v>
      </c>
      <c r="M14" t="s">
        <v>77</v>
      </c>
    </row>
    <row r="15" spans="1:13" x14ac:dyDescent="0.35">
      <c r="A15" t="s">
        <v>23</v>
      </c>
      <c r="B15" t="s">
        <v>22</v>
      </c>
      <c r="F15" t="s">
        <v>72</v>
      </c>
      <c r="G15" t="s">
        <v>73</v>
      </c>
      <c r="H15" s="9">
        <f t="shared" si="2"/>
        <v>672</v>
      </c>
      <c r="I15">
        <f t="shared" si="1"/>
        <v>779</v>
      </c>
      <c r="K15" t="s">
        <v>100</v>
      </c>
      <c r="L15" t="s">
        <v>101</v>
      </c>
      <c r="M15" t="s">
        <v>77</v>
      </c>
    </row>
    <row r="16" spans="1:13" x14ac:dyDescent="0.35">
      <c r="A16" t="s">
        <v>24</v>
      </c>
      <c r="B16">
        <v>50</v>
      </c>
      <c r="F16" t="s">
        <v>74</v>
      </c>
      <c r="G16" t="s">
        <v>75</v>
      </c>
      <c r="H16" s="9">
        <f t="shared" si="2"/>
        <v>780</v>
      </c>
      <c r="I16">
        <f t="shared" si="1"/>
        <v>887</v>
      </c>
      <c r="K16" t="s">
        <v>92</v>
      </c>
      <c r="L16" t="s">
        <v>93</v>
      </c>
      <c r="M16" t="s">
        <v>77</v>
      </c>
    </row>
    <row r="17" spans="1:13" x14ac:dyDescent="0.35">
      <c r="A17" t="s">
        <v>25</v>
      </c>
      <c r="B17">
        <v>100</v>
      </c>
      <c r="F17" t="s">
        <v>76</v>
      </c>
      <c r="G17" t="s">
        <v>77</v>
      </c>
      <c r="H17" s="9">
        <f t="shared" si="2"/>
        <v>888</v>
      </c>
      <c r="I17">
        <f t="shared" si="1"/>
        <v>995</v>
      </c>
      <c r="K17" t="s">
        <v>86</v>
      </c>
      <c r="L17" t="s">
        <v>86</v>
      </c>
      <c r="M17" t="s">
        <v>77</v>
      </c>
    </row>
    <row r="18" spans="1:13" x14ac:dyDescent="0.35">
      <c r="A18" t="s">
        <v>26</v>
      </c>
      <c r="B18">
        <v>150</v>
      </c>
      <c r="F18" t="s">
        <v>78</v>
      </c>
      <c r="G18" t="s">
        <v>79</v>
      </c>
      <c r="H18" s="9">
        <f t="shared" si="2"/>
        <v>996</v>
      </c>
      <c r="I18">
        <f t="shared" si="1"/>
        <v>1103</v>
      </c>
      <c r="K18" t="s">
        <v>103</v>
      </c>
      <c r="L18" t="s">
        <v>104</v>
      </c>
      <c r="M18" t="s">
        <v>77</v>
      </c>
    </row>
    <row r="19" spans="1:13" x14ac:dyDescent="0.35">
      <c r="A19" t="s">
        <v>27</v>
      </c>
      <c r="B19">
        <v>200</v>
      </c>
      <c r="F19" t="s">
        <v>80</v>
      </c>
      <c r="G19" t="s">
        <v>81</v>
      </c>
      <c r="H19" s="9">
        <f t="shared" si="2"/>
        <v>1104</v>
      </c>
      <c r="I19">
        <f>$H$8</f>
        <v>1200</v>
      </c>
      <c r="K19" t="s">
        <v>87</v>
      </c>
      <c r="L19" t="s">
        <v>105</v>
      </c>
      <c r="M19" t="s">
        <v>77</v>
      </c>
    </row>
    <row r="20" spans="1:13" x14ac:dyDescent="0.35">
      <c r="A20" t="s">
        <v>28</v>
      </c>
      <c r="B20">
        <v>250</v>
      </c>
      <c r="K20" t="s">
        <v>94</v>
      </c>
      <c r="L20" t="s">
        <v>95</v>
      </c>
      <c r="M20" t="s">
        <v>77</v>
      </c>
    </row>
    <row r="21" spans="1:13" x14ac:dyDescent="0.35">
      <c r="F21" t="s">
        <v>62</v>
      </c>
      <c r="G21" t="s">
        <v>16</v>
      </c>
      <c r="K21" t="s">
        <v>94</v>
      </c>
      <c r="L21" t="s">
        <v>96</v>
      </c>
      <c r="M21" t="s">
        <v>77</v>
      </c>
    </row>
    <row r="22" spans="1:13" x14ac:dyDescent="0.35">
      <c r="A22" t="s">
        <v>29</v>
      </c>
      <c r="B22" t="s">
        <v>22</v>
      </c>
      <c r="F22" t="s">
        <v>64</v>
      </c>
      <c r="G22" t="s">
        <v>65</v>
      </c>
      <c r="K22" t="s">
        <v>94</v>
      </c>
      <c r="L22" t="s">
        <v>98</v>
      </c>
      <c r="M22" t="s">
        <v>77</v>
      </c>
    </row>
    <row r="23" spans="1:13" x14ac:dyDescent="0.35">
      <c r="A23" t="s">
        <v>30</v>
      </c>
      <c r="B23">
        <f>1 * 40</f>
        <v>40</v>
      </c>
      <c r="F23" t="s">
        <v>66</v>
      </c>
      <c r="G23" t="s">
        <v>67</v>
      </c>
      <c r="K23" t="s">
        <v>84</v>
      </c>
      <c r="L23" t="s">
        <v>85</v>
      </c>
      <c r="M23" t="s">
        <v>77</v>
      </c>
    </row>
    <row r="24" spans="1:13" x14ac:dyDescent="0.35">
      <c r="A24" t="s">
        <v>31</v>
      </c>
      <c r="B24">
        <f>2 * 40</f>
        <v>80</v>
      </c>
      <c r="F24" t="s">
        <v>68</v>
      </c>
      <c r="G24" t="s">
        <v>69</v>
      </c>
      <c r="K24" t="s">
        <v>84</v>
      </c>
      <c r="L24" t="s">
        <v>97</v>
      </c>
      <c r="M24" t="s">
        <v>77</v>
      </c>
    </row>
    <row r="25" spans="1:13" x14ac:dyDescent="0.35">
      <c r="A25" t="s">
        <v>32</v>
      </c>
      <c r="B25">
        <f>3 * 40</f>
        <v>120</v>
      </c>
      <c r="F25" t="s">
        <v>70</v>
      </c>
      <c r="G25" t="s">
        <v>71</v>
      </c>
      <c r="K25" t="s">
        <v>90</v>
      </c>
      <c r="L25" t="s">
        <v>91</v>
      </c>
      <c r="M25" t="s">
        <v>73</v>
      </c>
    </row>
    <row r="26" spans="1:13" x14ac:dyDescent="0.35">
      <c r="A26" t="s">
        <v>33</v>
      </c>
      <c r="B26">
        <f>4 * 40</f>
        <v>160</v>
      </c>
      <c r="F26" t="s">
        <v>72</v>
      </c>
      <c r="G26" t="s">
        <v>73</v>
      </c>
      <c r="K26" t="s">
        <v>90</v>
      </c>
      <c r="L26" t="s">
        <v>102</v>
      </c>
      <c r="M26" t="s">
        <v>73</v>
      </c>
    </row>
    <row r="27" spans="1:13" x14ac:dyDescent="0.35">
      <c r="A27" t="s">
        <v>34</v>
      </c>
      <c r="B27">
        <f>5 * 40</f>
        <v>200</v>
      </c>
      <c r="F27" t="s">
        <v>74</v>
      </c>
      <c r="G27" t="s">
        <v>75</v>
      </c>
      <c r="K27" t="s">
        <v>92</v>
      </c>
      <c r="L27" t="s">
        <v>93</v>
      </c>
      <c r="M27" t="s">
        <v>73</v>
      </c>
    </row>
    <row r="28" spans="1:13" x14ac:dyDescent="0.35">
      <c r="F28" t="s">
        <v>76</v>
      </c>
      <c r="G28" t="s">
        <v>77</v>
      </c>
      <c r="K28" t="s">
        <v>86</v>
      </c>
      <c r="L28" t="s">
        <v>86</v>
      </c>
      <c r="M28" t="s">
        <v>73</v>
      </c>
    </row>
    <row r="29" spans="1:13" x14ac:dyDescent="0.35">
      <c r="A29" t="s">
        <v>35</v>
      </c>
      <c r="B29" t="s">
        <v>22</v>
      </c>
      <c r="F29" t="s">
        <v>78</v>
      </c>
      <c r="G29" t="s">
        <v>79</v>
      </c>
      <c r="K29" t="s">
        <v>103</v>
      </c>
      <c r="L29" t="s">
        <v>104</v>
      </c>
      <c r="M29" t="s">
        <v>73</v>
      </c>
    </row>
    <row r="30" spans="1:13" x14ac:dyDescent="0.35">
      <c r="A30" s="3" t="s">
        <v>36</v>
      </c>
      <c r="B30">
        <f>1*30</f>
        <v>30</v>
      </c>
      <c r="F30" t="s">
        <v>80</v>
      </c>
      <c r="G30" t="s">
        <v>81</v>
      </c>
      <c r="K30" t="s">
        <v>87</v>
      </c>
      <c r="L30" t="s">
        <v>89</v>
      </c>
      <c r="M30" t="s">
        <v>73</v>
      </c>
    </row>
    <row r="31" spans="1:13" x14ac:dyDescent="0.35">
      <c r="A31" s="3" t="s">
        <v>37</v>
      </c>
      <c r="B31">
        <f>2*30</f>
        <v>60</v>
      </c>
      <c r="K31" t="s">
        <v>87</v>
      </c>
      <c r="L31" t="s">
        <v>88</v>
      </c>
      <c r="M31" t="s">
        <v>73</v>
      </c>
    </row>
    <row r="32" spans="1:13" x14ac:dyDescent="0.35">
      <c r="A32" s="3" t="s">
        <v>38</v>
      </c>
      <c r="B32">
        <f>3*30</f>
        <v>90</v>
      </c>
      <c r="K32" t="s">
        <v>84</v>
      </c>
      <c r="L32" t="s">
        <v>97</v>
      </c>
      <c r="M32" t="s">
        <v>73</v>
      </c>
    </row>
    <row r="33" spans="1:13" x14ac:dyDescent="0.35">
      <c r="A33" s="3" t="s">
        <v>39</v>
      </c>
      <c r="B33">
        <f>4*30</f>
        <v>120</v>
      </c>
      <c r="K33" t="s">
        <v>84</v>
      </c>
      <c r="L33" t="s">
        <v>99</v>
      </c>
      <c r="M33" t="s">
        <v>73</v>
      </c>
    </row>
    <row r="34" spans="1:13" x14ac:dyDescent="0.35">
      <c r="A34" s="3" t="s">
        <v>40</v>
      </c>
      <c r="B34">
        <f>5*30</f>
        <v>150</v>
      </c>
      <c r="K34" t="s">
        <v>94</v>
      </c>
      <c r="L34" t="s">
        <v>96</v>
      </c>
      <c r="M34" t="s">
        <v>65</v>
      </c>
    </row>
    <row r="35" spans="1:13" x14ac:dyDescent="0.35">
      <c r="K35" t="s">
        <v>94</v>
      </c>
      <c r="L35" t="s">
        <v>95</v>
      </c>
      <c r="M35" t="s">
        <v>65</v>
      </c>
    </row>
    <row r="36" spans="1:13" x14ac:dyDescent="0.35">
      <c r="A36" s="3" t="s">
        <v>42</v>
      </c>
      <c r="B36" t="s">
        <v>22</v>
      </c>
      <c r="K36" t="s">
        <v>94</v>
      </c>
      <c r="L36" t="s">
        <v>98</v>
      </c>
      <c r="M36" t="s">
        <v>65</v>
      </c>
    </row>
    <row r="37" spans="1:13" x14ac:dyDescent="0.35">
      <c r="A37" t="s">
        <v>44</v>
      </c>
      <c r="B37">
        <f>1*40</f>
        <v>40</v>
      </c>
      <c r="K37" t="s">
        <v>84</v>
      </c>
      <c r="L37" t="s">
        <v>85</v>
      </c>
      <c r="M37" t="s">
        <v>65</v>
      </c>
    </row>
    <row r="38" spans="1:13" x14ac:dyDescent="0.35">
      <c r="A38" t="s">
        <v>45</v>
      </c>
      <c r="B38">
        <f>2*40</f>
        <v>80</v>
      </c>
      <c r="K38" t="s">
        <v>86</v>
      </c>
      <c r="L38" t="s">
        <v>86</v>
      </c>
      <c r="M38" t="s">
        <v>71</v>
      </c>
    </row>
    <row r="39" spans="1:13" x14ac:dyDescent="0.35">
      <c r="A39" t="s">
        <v>46</v>
      </c>
      <c r="B39">
        <f>3*40</f>
        <v>120</v>
      </c>
      <c r="K39" t="s">
        <v>84</v>
      </c>
      <c r="L39" t="s">
        <v>99</v>
      </c>
      <c r="M39" t="s">
        <v>71</v>
      </c>
    </row>
    <row r="40" spans="1:13" x14ac:dyDescent="0.35">
      <c r="A40" t="s">
        <v>47</v>
      </c>
      <c r="B40">
        <f>4*40</f>
        <v>160</v>
      </c>
      <c r="K40" t="s">
        <v>90</v>
      </c>
      <c r="L40" t="s">
        <v>102</v>
      </c>
      <c r="M40" t="s">
        <v>69</v>
      </c>
    </row>
    <row r="41" spans="1:13" x14ac:dyDescent="0.35">
      <c r="A41" t="s">
        <v>43</v>
      </c>
      <c r="B41">
        <f>5*40</f>
        <v>200</v>
      </c>
      <c r="K41" t="s">
        <v>100</v>
      </c>
      <c r="L41" t="s">
        <v>101</v>
      </c>
      <c r="M41" t="s">
        <v>69</v>
      </c>
    </row>
    <row r="42" spans="1:13" x14ac:dyDescent="0.35">
      <c r="K42" t="s">
        <v>92</v>
      </c>
      <c r="L42" t="s">
        <v>93</v>
      </c>
      <c r="M42" t="s">
        <v>69</v>
      </c>
    </row>
    <row r="43" spans="1:13" x14ac:dyDescent="0.35">
      <c r="A43" t="s">
        <v>48</v>
      </c>
      <c r="B43" t="s">
        <v>22</v>
      </c>
      <c r="K43" t="s">
        <v>86</v>
      </c>
      <c r="L43" t="s">
        <v>86</v>
      </c>
      <c r="M43" t="s">
        <v>69</v>
      </c>
    </row>
    <row r="44" spans="1:13" x14ac:dyDescent="0.35">
      <c r="A44" t="s">
        <v>50</v>
      </c>
      <c r="B44">
        <f>1*30</f>
        <v>30</v>
      </c>
      <c r="K44" t="s">
        <v>87</v>
      </c>
      <c r="L44" t="s">
        <v>88</v>
      </c>
      <c r="M44" t="s">
        <v>69</v>
      </c>
    </row>
    <row r="45" spans="1:13" x14ac:dyDescent="0.35">
      <c r="A45" t="s">
        <v>41</v>
      </c>
      <c r="B45">
        <f>2*30</f>
        <v>60</v>
      </c>
      <c r="K45" t="s">
        <v>87</v>
      </c>
      <c r="L45" t="s">
        <v>89</v>
      </c>
      <c r="M45" t="s">
        <v>69</v>
      </c>
    </row>
    <row r="46" spans="1:13" x14ac:dyDescent="0.35">
      <c r="A46" t="s">
        <v>51</v>
      </c>
      <c r="B46">
        <f>3*30</f>
        <v>90</v>
      </c>
      <c r="K46" t="s">
        <v>87</v>
      </c>
      <c r="L46" t="s">
        <v>105</v>
      </c>
      <c r="M46" t="s">
        <v>69</v>
      </c>
    </row>
    <row r="47" spans="1:13" x14ac:dyDescent="0.35">
      <c r="A47" t="s">
        <v>52</v>
      </c>
      <c r="B47">
        <f>4*30</f>
        <v>120</v>
      </c>
      <c r="K47" t="s">
        <v>84</v>
      </c>
      <c r="L47" t="s">
        <v>85</v>
      </c>
      <c r="M47" t="s">
        <v>69</v>
      </c>
    </row>
    <row r="48" spans="1:13" x14ac:dyDescent="0.35">
      <c r="A48" t="s">
        <v>53</v>
      </c>
      <c r="B48">
        <f>5*30</f>
        <v>150</v>
      </c>
      <c r="K48" t="s">
        <v>84</v>
      </c>
      <c r="L48" t="s">
        <v>97</v>
      </c>
      <c r="M48" t="s">
        <v>69</v>
      </c>
    </row>
    <row r="49" spans="11:13" x14ac:dyDescent="0.35">
      <c r="K49" t="s">
        <v>84</v>
      </c>
      <c r="L49" t="s">
        <v>99</v>
      </c>
      <c r="M49" t="s">
        <v>69</v>
      </c>
    </row>
    <row r="50" spans="11:13" x14ac:dyDescent="0.35">
      <c r="K50" t="s">
        <v>90</v>
      </c>
      <c r="L50" t="s">
        <v>91</v>
      </c>
      <c r="M50" t="s">
        <v>75</v>
      </c>
    </row>
    <row r="51" spans="11:13" x14ac:dyDescent="0.35">
      <c r="K51" t="s">
        <v>90</v>
      </c>
      <c r="L51" t="s">
        <v>102</v>
      </c>
      <c r="M51" t="s">
        <v>75</v>
      </c>
    </row>
    <row r="52" spans="11:13" x14ac:dyDescent="0.35">
      <c r="K52" t="s">
        <v>92</v>
      </c>
      <c r="L52" t="s">
        <v>93</v>
      </c>
      <c r="M52" t="s">
        <v>75</v>
      </c>
    </row>
    <row r="53" spans="11:13" x14ac:dyDescent="0.35">
      <c r="K53" t="s">
        <v>86</v>
      </c>
      <c r="L53" t="s">
        <v>86</v>
      </c>
      <c r="M53" t="s">
        <v>75</v>
      </c>
    </row>
    <row r="54" spans="11:13" x14ac:dyDescent="0.35">
      <c r="K54" t="s">
        <v>103</v>
      </c>
      <c r="L54" t="s">
        <v>104</v>
      </c>
      <c r="M54" t="s">
        <v>75</v>
      </c>
    </row>
    <row r="55" spans="11:13" x14ac:dyDescent="0.35">
      <c r="K55" t="s">
        <v>87</v>
      </c>
      <c r="L55" t="s">
        <v>88</v>
      </c>
      <c r="M55" t="s">
        <v>75</v>
      </c>
    </row>
    <row r="56" spans="11:13" x14ac:dyDescent="0.35">
      <c r="K56" t="s">
        <v>87</v>
      </c>
      <c r="L56" t="s">
        <v>105</v>
      </c>
      <c r="M56" t="s">
        <v>75</v>
      </c>
    </row>
    <row r="57" spans="11:13" x14ac:dyDescent="0.35">
      <c r="K57" t="s">
        <v>87</v>
      </c>
      <c r="L57" t="s">
        <v>89</v>
      </c>
      <c r="M57" t="s">
        <v>75</v>
      </c>
    </row>
    <row r="58" spans="11:13" x14ac:dyDescent="0.35">
      <c r="K58" t="s">
        <v>94</v>
      </c>
      <c r="L58" t="s">
        <v>95</v>
      </c>
      <c r="M58" t="s">
        <v>75</v>
      </c>
    </row>
    <row r="59" spans="11:13" x14ac:dyDescent="0.35">
      <c r="K59" t="s">
        <v>94</v>
      </c>
      <c r="L59" t="s">
        <v>96</v>
      </c>
      <c r="M59" t="s">
        <v>75</v>
      </c>
    </row>
    <row r="60" spans="11:13" x14ac:dyDescent="0.35">
      <c r="K60" t="s">
        <v>94</v>
      </c>
      <c r="L60" t="s">
        <v>98</v>
      </c>
      <c r="M60" t="s">
        <v>75</v>
      </c>
    </row>
    <row r="61" spans="11:13" x14ac:dyDescent="0.35">
      <c r="K61" t="s">
        <v>84</v>
      </c>
      <c r="L61" t="s">
        <v>97</v>
      </c>
      <c r="M61" t="s">
        <v>75</v>
      </c>
    </row>
    <row r="62" spans="11:13" x14ac:dyDescent="0.35">
      <c r="K62" t="s">
        <v>84</v>
      </c>
      <c r="L62" t="s">
        <v>99</v>
      </c>
      <c r="M62" t="s">
        <v>75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A7BC-F5BF-4B4A-9235-A09D75903A56}">
  <dimension ref="A1:K62"/>
  <sheetViews>
    <sheetView zoomScale="132" zoomScaleNormal="132" workbookViewId="0">
      <selection activeCell="H63" sqref="H63"/>
    </sheetView>
  </sheetViews>
  <sheetFormatPr defaultRowHeight="14.5" x14ac:dyDescent="0.35"/>
  <cols>
    <col min="1" max="1" width="22.36328125" bestFit="1" customWidth="1"/>
    <col min="2" max="2" width="33.453125" bestFit="1" customWidth="1"/>
    <col min="3" max="3" width="32.36328125" bestFit="1" customWidth="1"/>
    <col min="4" max="4" width="12.36328125" customWidth="1"/>
    <col min="5" max="5" width="13.1796875" customWidth="1"/>
    <col min="6" max="6" width="16.1796875" customWidth="1"/>
    <col min="7" max="7" width="16.26953125" customWidth="1"/>
    <col min="8" max="8" width="12.08984375" customWidth="1"/>
    <col min="9" max="9" width="12.7265625" customWidth="1"/>
    <col min="10" max="10" width="11" customWidth="1"/>
    <col min="11" max="11" width="8.08984375" bestFit="1" customWidth="1"/>
  </cols>
  <sheetData>
    <row r="1" spans="1:11" x14ac:dyDescent="0.35">
      <c r="A1" t="s">
        <v>82</v>
      </c>
      <c r="B1" t="s">
        <v>83</v>
      </c>
      <c r="C1" t="s">
        <v>16</v>
      </c>
      <c r="D1" t="s">
        <v>49</v>
      </c>
      <c r="E1" t="s">
        <v>23</v>
      </c>
      <c r="F1" t="s">
        <v>29</v>
      </c>
      <c r="G1" t="s">
        <v>35</v>
      </c>
      <c r="H1" t="s">
        <v>42</v>
      </c>
      <c r="I1" t="s">
        <v>48</v>
      </c>
      <c r="J1" t="s">
        <v>63</v>
      </c>
      <c r="K1" t="s">
        <v>62</v>
      </c>
    </row>
    <row r="2" spans="1:11" x14ac:dyDescent="0.35">
      <c r="A2" t="s">
        <v>90</v>
      </c>
      <c r="B2" t="s">
        <v>91</v>
      </c>
      <c r="C2" t="s">
        <v>67</v>
      </c>
      <c r="D2">
        <v>100</v>
      </c>
      <c r="E2">
        <v>50</v>
      </c>
      <c r="F2">
        <v>40</v>
      </c>
      <c r="G2">
        <v>30</v>
      </c>
      <c r="H2">
        <v>0</v>
      </c>
      <c r="I2">
        <v>30</v>
      </c>
      <c r="J2">
        <f t="shared" ref="J2:J33" si="0">SUM(D2:I2)</f>
        <v>250</v>
      </c>
      <c r="K2" s="8" t="str">
        <f>_xlfn.XLOOKUP(J2,Parameter!$H$11:$H$19,Parameter!$F$11:$F$19,"",-1)</f>
        <v>G01</v>
      </c>
    </row>
    <row r="3" spans="1:11" x14ac:dyDescent="0.35">
      <c r="A3" t="s">
        <v>90</v>
      </c>
      <c r="B3" t="s">
        <v>91</v>
      </c>
      <c r="C3" t="s">
        <v>77</v>
      </c>
      <c r="D3">
        <v>150</v>
      </c>
      <c r="E3">
        <v>200</v>
      </c>
      <c r="F3">
        <v>200</v>
      </c>
      <c r="G3">
        <v>150</v>
      </c>
      <c r="H3">
        <v>160</v>
      </c>
      <c r="I3">
        <v>120</v>
      </c>
      <c r="J3">
        <f t="shared" si="0"/>
        <v>980</v>
      </c>
      <c r="K3" s="8" t="str">
        <f>_xlfn.XLOOKUP(J3,Parameter!$H$11:$H$19,Parameter!$F$11:$F$19,"",-1)</f>
        <v>G07</v>
      </c>
    </row>
    <row r="4" spans="1:11" x14ac:dyDescent="0.35">
      <c r="A4" t="s">
        <v>90</v>
      </c>
      <c r="B4" t="s">
        <v>91</v>
      </c>
      <c r="C4" t="s">
        <v>73</v>
      </c>
      <c r="D4">
        <v>150</v>
      </c>
      <c r="E4">
        <v>150</v>
      </c>
      <c r="F4">
        <v>120</v>
      </c>
      <c r="G4">
        <v>60</v>
      </c>
      <c r="H4">
        <v>40</v>
      </c>
      <c r="I4">
        <v>30</v>
      </c>
      <c r="J4">
        <f t="shared" si="0"/>
        <v>550</v>
      </c>
      <c r="K4" s="8" t="str">
        <f>_xlfn.XLOOKUP(J4,Parameter!$H$11:$H$19,Parameter!$F$11:$F$19,"",-1)</f>
        <v>G03</v>
      </c>
    </row>
    <row r="5" spans="1:11" x14ac:dyDescent="0.35">
      <c r="A5" t="s">
        <v>90</v>
      </c>
      <c r="B5" t="s">
        <v>102</v>
      </c>
      <c r="C5" t="s">
        <v>73</v>
      </c>
      <c r="D5">
        <v>150</v>
      </c>
      <c r="E5">
        <v>150</v>
      </c>
      <c r="F5">
        <v>120</v>
      </c>
      <c r="G5">
        <v>60</v>
      </c>
      <c r="H5">
        <v>40</v>
      </c>
      <c r="I5">
        <v>30</v>
      </c>
      <c r="J5">
        <f t="shared" si="0"/>
        <v>550</v>
      </c>
      <c r="K5" s="8" t="str">
        <f>_xlfn.XLOOKUP(J5,Parameter!$H$11:$H$19,Parameter!$F$11:$F$19,"",-1)</f>
        <v>G03</v>
      </c>
    </row>
    <row r="6" spans="1:11" x14ac:dyDescent="0.35">
      <c r="A6" t="s">
        <v>90</v>
      </c>
      <c r="B6" t="s">
        <v>102</v>
      </c>
      <c r="C6" t="s">
        <v>69</v>
      </c>
      <c r="D6">
        <v>100</v>
      </c>
      <c r="E6">
        <v>100</v>
      </c>
      <c r="F6">
        <v>80</v>
      </c>
      <c r="G6">
        <v>60</v>
      </c>
      <c r="H6">
        <v>0</v>
      </c>
      <c r="I6">
        <v>30</v>
      </c>
      <c r="J6">
        <f t="shared" si="0"/>
        <v>370</v>
      </c>
      <c r="K6" s="8" t="str">
        <f>_xlfn.XLOOKUP(J6,Parameter!$H$11:$H$19,Parameter!$F$11:$F$19,"",-1)</f>
        <v>G02</v>
      </c>
    </row>
    <row r="7" spans="1:11" x14ac:dyDescent="0.35">
      <c r="A7" t="s">
        <v>90</v>
      </c>
      <c r="B7" t="s">
        <v>91</v>
      </c>
      <c r="C7" t="s">
        <v>75</v>
      </c>
      <c r="D7">
        <v>150</v>
      </c>
      <c r="E7">
        <v>150</v>
      </c>
      <c r="F7">
        <v>120</v>
      </c>
      <c r="G7">
        <v>120</v>
      </c>
      <c r="H7">
        <v>120</v>
      </c>
      <c r="I7">
        <v>30</v>
      </c>
      <c r="J7">
        <f t="shared" si="0"/>
        <v>690</v>
      </c>
      <c r="K7" s="8" t="str">
        <f>_xlfn.XLOOKUP(J7,Parameter!$H$11:$H$19,Parameter!$F$11:$F$19,"",-1)</f>
        <v>G05</v>
      </c>
    </row>
    <row r="8" spans="1:11" x14ac:dyDescent="0.35">
      <c r="A8" t="s">
        <v>90</v>
      </c>
      <c r="B8" t="s">
        <v>102</v>
      </c>
      <c r="C8" t="s">
        <v>75</v>
      </c>
      <c r="D8">
        <v>150</v>
      </c>
      <c r="E8">
        <v>150</v>
      </c>
      <c r="F8">
        <v>120</v>
      </c>
      <c r="G8">
        <v>120</v>
      </c>
      <c r="H8">
        <v>120</v>
      </c>
      <c r="I8">
        <v>30</v>
      </c>
      <c r="J8">
        <f t="shared" si="0"/>
        <v>690</v>
      </c>
      <c r="K8" s="8" t="str">
        <f>_xlfn.XLOOKUP(J8,Parameter!$H$11:$H$19,Parameter!$F$11:$F$19,"",-1)</f>
        <v>G05</v>
      </c>
    </row>
    <row r="9" spans="1:11" x14ac:dyDescent="0.35">
      <c r="A9" t="s">
        <v>100</v>
      </c>
      <c r="B9" t="s">
        <v>101</v>
      </c>
      <c r="C9" t="s">
        <v>77</v>
      </c>
      <c r="D9">
        <v>150</v>
      </c>
      <c r="E9">
        <v>200</v>
      </c>
      <c r="F9">
        <v>200</v>
      </c>
      <c r="G9">
        <v>150</v>
      </c>
      <c r="H9">
        <v>160</v>
      </c>
      <c r="I9">
        <v>90</v>
      </c>
      <c r="J9">
        <f t="shared" si="0"/>
        <v>950</v>
      </c>
      <c r="K9" s="8" t="str">
        <f>_xlfn.XLOOKUP(J9,Parameter!$H$11:$H$19,Parameter!$F$11:$F$19,"",-1)</f>
        <v>G07</v>
      </c>
    </row>
    <row r="10" spans="1:11" x14ac:dyDescent="0.35">
      <c r="A10" t="s">
        <v>100</v>
      </c>
      <c r="B10" t="s">
        <v>101</v>
      </c>
      <c r="C10" t="s">
        <v>69</v>
      </c>
      <c r="D10">
        <v>100</v>
      </c>
      <c r="E10">
        <v>100</v>
      </c>
      <c r="F10">
        <v>80</v>
      </c>
      <c r="G10">
        <v>60</v>
      </c>
      <c r="H10">
        <v>0</v>
      </c>
      <c r="I10">
        <v>30</v>
      </c>
      <c r="J10">
        <f t="shared" si="0"/>
        <v>370</v>
      </c>
      <c r="K10" s="8" t="str">
        <f>_xlfn.XLOOKUP(J10,Parameter!$H$11:$H$19,Parameter!$F$11:$F$19,"",-1)</f>
        <v>G02</v>
      </c>
    </row>
    <row r="11" spans="1:11" x14ac:dyDescent="0.35">
      <c r="A11" t="s">
        <v>92</v>
      </c>
      <c r="B11" t="s">
        <v>93</v>
      </c>
      <c r="C11" t="s">
        <v>67</v>
      </c>
      <c r="D11">
        <v>100</v>
      </c>
      <c r="E11">
        <v>50</v>
      </c>
      <c r="F11">
        <v>40</v>
      </c>
      <c r="G11">
        <v>30</v>
      </c>
      <c r="H11">
        <v>0</v>
      </c>
      <c r="I11">
        <v>30</v>
      </c>
      <c r="J11">
        <f t="shared" si="0"/>
        <v>250</v>
      </c>
      <c r="K11" s="8" t="str">
        <f>_xlfn.XLOOKUP(J11,Parameter!$H$11:$H$19,Parameter!$F$11:$F$19,"",-1)</f>
        <v>G01</v>
      </c>
    </row>
    <row r="12" spans="1:11" x14ac:dyDescent="0.35">
      <c r="A12" t="s">
        <v>92</v>
      </c>
      <c r="B12" t="s">
        <v>93</v>
      </c>
      <c r="C12" t="s">
        <v>77</v>
      </c>
      <c r="D12">
        <v>150</v>
      </c>
      <c r="E12">
        <v>200</v>
      </c>
      <c r="F12">
        <v>200</v>
      </c>
      <c r="G12">
        <v>150</v>
      </c>
      <c r="H12">
        <v>160</v>
      </c>
      <c r="I12">
        <v>30</v>
      </c>
      <c r="J12">
        <f t="shared" si="0"/>
        <v>890</v>
      </c>
      <c r="K12" s="8" t="str">
        <f>_xlfn.XLOOKUP(J12,Parameter!$H$11:$H$19,Parameter!$F$11:$F$19,"",-1)</f>
        <v>G07</v>
      </c>
    </row>
    <row r="13" spans="1:11" x14ac:dyDescent="0.35">
      <c r="A13" t="s">
        <v>92</v>
      </c>
      <c r="B13" t="s">
        <v>93</v>
      </c>
      <c r="C13" t="s">
        <v>73</v>
      </c>
      <c r="D13">
        <v>150</v>
      </c>
      <c r="E13">
        <v>150</v>
      </c>
      <c r="F13">
        <v>120</v>
      </c>
      <c r="G13">
        <v>60</v>
      </c>
      <c r="H13">
        <v>40</v>
      </c>
      <c r="I13">
        <v>30</v>
      </c>
      <c r="J13">
        <f t="shared" si="0"/>
        <v>550</v>
      </c>
      <c r="K13" s="8" t="str">
        <f>_xlfn.XLOOKUP(J13,Parameter!$H$11:$H$19,Parameter!$F$11:$F$19,"",-1)</f>
        <v>G03</v>
      </c>
    </row>
    <row r="14" spans="1:11" x14ac:dyDescent="0.35">
      <c r="A14" t="s">
        <v>92</v>
      </c>
      <c r="B14" t="s">
        <v>93</v>
      </c>
      <c r="C14" t="s">
        <v>69</v>
      </c>
      <c r="D14">
        <v>100</v>
      </c>
      <c r="E14">
        <v>100</v>
      </c>
      <c r="F14">
        <v>80</v>
      </c>
      <c r="G14">
        <v>60</v>
      </c>
      <c r="H14">
        <v>0</v>
      </c>
      <c r="I14">
        <v>30</v>
      </c>
      <c r="J14">
        <f t="shared" si="0"/>
        <v>370</v>
      </c>
      <c r="K14" s="8" t="str">
        <f>_xlfn.XLOOKUP(J14,Parameter!$H$11:$H$19,Parameter!$F$11:$F$19,"",-1)</f>
        <v>G02</v>
      </c>
    </row>
    <row r="15" spans="1:11" x14ac:dyDescent="0.35">
      <c r="A15" t="s">
        <v>92</v>
      </c>
      <c r="B15" t="s">
        <v>93</v>
      </c>
      <c r="C15" t="s">
        <v>75</v>
      </c>
      <c r="D15">
        <v>150</v>
      </c>
      <c r="E15">
        <v>150</v>
      </c>
      <c r="F15">
        <v>120</v>
      </c>
      <c r="G15">
        <v>120</v>
      </c>
      <c r="H15">
        <v>120</v>
      </c>
      <c r="I15">
        <v>30</v>
      </c>
      <c r="J15">
        <f t="shared" si="0"/>
        <v>690</v>
      </c>
      <c r="K15" s="8" t="str">
        <f>_xlfn.XLOOKUP(J15,Parameter!$H$11:$H$19,Parameter!$F$11:$F$19,"",-1)</f>
        <v>G05</v>
      </c>
    </row>
    <row r="16" spans="1:11" x14ac:dyDescent="0.35">
      <c r="A16" t="s">
        <v>86</v>
      </c>
      <c r="B16" t="s">
        <v>86</v>
      </c>
      <c r="C16" t="s">
        <v>77</v>
      </c>
      <c r="D16">
        <v>150</v>
      </c>
      <c r="E16">
        <v>200</v>
      </c>
      <c r="F16">
        <v>200</v>
      </c>
      <c r="G16">
        <v>150</v>
      </c>
      <c r="H16">
        <v>160</v>
      </c>
      <c r="I16">
        <v>30</v>
      </c>
      <c r="J16">
        <f t="shared" si="0"/>
        <v>890</v>
      </c>
      <c r="K16" s="8" t="str">
        <f>_xlfn.XLOOKUP(J16,Parameter!$H$11:$H$19,Parameter!$F$11:$F$19,"",-1)</f>
        <v>G07</v>
      </c>
    </row>
    <row r="17" spans="1:11" x14ac:dyDescent="0.35">
      <c r="A17" t="s">
        <v>86</v>
      </c>
      <c r="B17" t="s">
        <v>86</v>
      </c>
      <c r="C17" t="s">
        <v>73</v>
      </c>
      <c r="D17">
        <v>150</v>
      </c>
      <c r="E17">
        <v>150</v>
      </c>
      <c r="F17">
        <v>120</v>
      </c>
      <c r="G17">
        <v>60</v>
      </c>
      <c r="H17">
        <v>40</v>
      </c>
      <c r="I17">
        <v>30</v>
      </c>
      <c r="J17">
        <f t="shared" si="0"/>
        <v>550</v>
      </c>
      <c r="K17" s="8" t="str">
        <f>_xlfn.XLOOKUP(J17,Parameter!$H$11:$H$19,Parameter!$F$11:$F$19,"",-1)</f>
        <v>G03</v>
      </c>
    </row>
    <row r="18" spans="1:11" x14ac:dyDescent="0.35">
      <c r="A18" t="s">
        <v>86</v>
      </c>
      <c r="B18" t="s">
        <v>86</v>
      </c>
      <c r="C18" t="s">
        <v>71</v>
      </c>
      <c r="D18">
        <v>150</v>
      </c>
      <c r="E18">
        <v>150</v>
      </c>
      <c r="F18">
        <v>200</v>
      </c>
      <c r="G18">
        <v>90</v>
      </c>
      <c r="H18">
        <v>40</v>
      </c>
      <c r="I18">
        <v>30</v>
      </c>
      <c r="J18">
        <f t="shared" si="0"/>
        <v>660</v>
      </c>
      <c r="K18" s="8" t="str">
        <f>_xlfn.XLOOKUP(J18,Parameter!$H$11:$H$19,Parameter!$F$11:$F$19,"",-1)</f>
        <v>G04</v>
      </c>
    </row>
    <row r="19" spans="1:11" x14ac:dyDescent="0.35">
      <c r="A19" t="s">
        <v>86</v>
      </c>
      <c r="B19" t="s">
        <v>86</v>
      </c>
      <c r="C19" t="s">
        <v>69</v>
      </c>
      <c r="D19">
        <v>100</v>
      </c>
      <c r="E19">
        <v>100</v>
      </c>
      <c r="F19">
        <v>80</v>
      </c>
      <c r="G19">
        <v>60</v>
      </c>
      <c r="H19">
        <v>0</v>
      </c>
      <c r="I19">
        <v>30</v>
      </c>
      <c r="J19">
        <f t="shared" si="0"/>
        <v>370</v>
      </c>
      <c r="K19" s="8" t="str">
        <f>_xlfn.XLOOKUP(J19,Parameter!$H$11:$H$19,Parameter!$F$11:$F$19,"",-1)</f>
        <v>G02</v>
      </c>
    </row>
    <row r="20" spans="1:11" x14ac:dyDescent="0.35">
      <c r="A20" t="s">
        <v>86</v>
      </c>
      <c r="B20" t="s">
        <v>86</v>
      </c>
      <c r="C20" t="s">
        <v>75</v>
      </c>
      <c r="D20">
        <v>150</v>
      </c>
      <c r="E20">
        <v>150</v>
      </c>
      <c r="F20">
        <v>120</v>
      </c>
      <c r="G20">
        <v>120</v>
      </c>
      <c r="H20">
        <v>120</v>
      </c>
      <c r="I20">
        <v>30</v>
      </c>
      <c r="J20">
        <f t="shared" si="0"/>
        <v>690</v>
      </c>
      <c r="K20" s="8" t="str">
        <f>_xlfn.XLOOKUP(J20,Parameter!$H$11:$H$19,Parameter!$F$11:$F$19,"",-1)</f>
        <v>G05</v>
      </c>
    </row>
    <row r="21" spans="1:11" x14ac:dyDescent="0.35">
      <c r="A21" t="s">
        <v>103</v>
      </c>
      <c r="B21" t="s">
        <v>104</v>
      </c>
      <c r="C21" t="s">
        <v>77</v>
      </c>
      <c r="D21">
        <v>150</v>
      </c>
      <c r="E21">
        <v>200</v>
      </c>
      <c r="F21">
        <v>200</v>
      </c>
      <c r="G21">
        <v>150</v>
      </c>
      <c r="H21">
        <v>160</v>
      </c>
      <c r="I21">
        <v>150</v>
      </c>
      <c r="J21">
        <f t="shared" si="0"/>
        <v>1010</v>
      </c>
      <c r="K21" s="8" t="str">
        <f>_xlfn.XLOOKUP(J21,Parameter!$H$11:$H$19,Parameter!$F$11:$F$19,"",-1)</f>
        <v>G08</v>
      </c>
    </row>
    <row r="22" spans="1:11" x14ac:dyDescent="0.35">
      <c r="A22" t="s">
        <v>103</v>
      </c>
      <c r="B22" t="s">
        <v>104</v>
      </c>
      <c r="C22" t="s">
        <v>73</v>
      </c>
      <c r="D22">
        <v>150</v>
      </c>
      <c r="E22">
        <v>150</v>
      </c>
      <c r="F22">
        <v>120</v>
      </c>
      <c r="G22">
        <v>60</v>
      </c>
      <c r="H22">
        <v>40</v>
      </c>
      <c r="I22">
        <v>30</v>
      </c>
      <c r="J22">
        <f t="shared" si="0"/>
        <v>550</v>
      </c>
      <c r="K22" s="8" t="str">
        <f>_xlfn.XLOOKUP(J22,Parameter!$H$11:$H$19,Parameter!$F$11:$F$19,"",-1)</f>
        <v>G03</v>
      </c>
    </row>
    <row r="23" spans="1:11" x14ac:dyDescent="0.35">
      <c r="A23" t="s">
        <v>103</v>
      </c>
      <c r="B23" t="s">
        <v>104</v>
      </c>
      <c r="C23" t="s">
        <v>75</v>
      </c>
      <c r="D23">
        <v>150</v>
      </c>
      <c r="E23">
        <v>150</v>
      </c>
      <c r="F23">
        <v>120</v>
      </c>
      <c r="G23">
        <v>120</v>
      </c>
      <c r="H23">
        <v>120</v>
      </c>
      <c r="I23">
        <v>30</v>
      </c>
      <c r="J23">
        <f t="shared" si="0"/>
        <v>690</v>
      </c>
      <c r="K23" s="8" t="str">
        <f>_xlfn.XLOOKUP(J23,Parameter!$H$11:$H$19,Parameter!$F$11:$F$19,"",-1)</f>
        <v>G05</v>
      </c>
    </row>
    <row r="24" spans="1:11" x14ac:dyDescent="0.35">
      <c r="A24" t="s">
        <v>87</v>
      </c>
      <c r="B24" t="s">
        <v>89</v>
      </c>
      <c r="C24" t="s">
        <v>67</v>
      </c>
      <c r="D24">
        <v>100</v>
      </c>
      <c r="E24">
        <v>50</v>
      </c>
      <c r="F24">
        <v>40</v>
      </c>
      <c r="G24">
        <v>30</v>
      </c>
      <c r="H24">
        <v>0</v>
      </c>
      <c r="I24">
        <v>30</v>
      </c>
      <c r="J24">
        <f t="shared" si="0"/>
        <v>250</v>
      </c>
      <c r="K24" s="8" t="str">
        <f>_xlfn.XLOOKUP(J24,Parameter!$H$11:$H$19,Parameter!$F$11:$F$19,"",-1)</f>
        <v>G01</v>
      </c>
    </row>
    <row r="25" spans="1:11" x14ac:dyDescent="0.35">
      <c r="A25" t="s">
        <v>87</v>
      </c>
      <c r="B25" t="s">
        <v>88</v>
      </c>
      <c r="C25" t="s">
        <v>67</v>
      </c>
      <c r="D25">
        <v>100</v>
      </c>
      <c r="E25">
        <v>50</v>
      </c>
      <c r="F25">
        <v>40</v>
      </c>
      <c r="G25">
        <v>30</v>
      </c>
      <c r="H25">
        <v>0</v>
      </c>
      <c r="I25">
        <v>30</v>
      </c>
      <c r="J25">
        <f t="shared" si="0"/>
        <v>250</v>
      </c>
      <c r="K25" s="8" t="str">
        <f>_xlfn.XLOOKUP(J25,Parameter!$H$11:$H$19,Parameter!$F$11:$F$19,"",-1)</f>
        <v>G01</v>
      </c>
    </row>
    <row r="26" spans="1:11" x14ac:dyDescent="0.35">
      <c r="A26" t="s">
        <v>87</v>
      </c>
      <c r="B26" t="s">
        <v>105</v>
      </c>
      <c r="C26" t="s">
        <v>67</v>
      </c>
      <c r="D26">
        <v>100</v>
      </c>
      <c r="E26">
        <v>50</v>
      </c>
      <c r="F26">
        <v>40</v>
      </c>
      <c r="G26">
        <v>30</v>
      </c>
      <c r="H26">
        <v>0</v>
      </c>
      <c r="I26">
        <v>30</v>
      </c>
      <c r="J26">
        <f t="shared" si="0"/>
        <v>250</v>
      </c>
      <c r="K26" s="8" t="str">
        <f>_xlfn.XLOOKUP(J26,Parameter!$H$11:$H$19,Parameter!$F$11:$F$19,"",-1)</f>
        <v>G01</v>
      </c>
    </row>
    <row r="27" spans="1:11" x14ac:dyDescent="0.35">
      <c r="A27" t="s">
        <v>87</v>
      </c>
      <c r="B27" t="s">
        <v>105</v>
      </c>
      <c r="C27" t="s">
        <v>79</v>
      </c>
      <c r="D27">
        <v>200</v>
      </c>
      <c r="E27">
        <v>200</v>
      </c>
      <c r="F27">
        <v>200</v>
      </c>
      <c r="G27">
        <v>150</v>
      </c>
      <c r="H27">
        <v>160</v>
      </c>
      <c r="I27">
        <v>150</v>
      </c>
      <c r="J27">
        <f t="shared" si="0"/>
        <v>1060</v>
      </c>
      <c r="K27" s="8" t="str">
        <f>_xlfn.XLOOKUP(J27,Parameter!$H$11:$H$19,Parameter!$F$11:$F$19,"",-1)</f>
        <v>G08</v>
      </c>
    </row>
    <row r="28" spans="1:11" x14ac:dyDescent="0.35">
      <c r="A28" t="s">
        <v>87</v>
      </c>
      <c r="B28" t="s">
        <v>105</v>
      </c>
      <c r="C28" t="s">
        <v>77</v>
      </c>
      <c r="D28">
        <v>150</v>
      </c>
      <c r="E28">
        <v>200</v>
      </c>
      <c r="F28">
        <v>200</v>
      </c>
      <c r="G28">
        <v>150</v>
      </c>
      <c r="H28">
        <v>160</v>
      </c>
      <c r="I28">
        <v>150</v>
      </c>
      <c r="J28">
        <f t="shared" si="0"/>
        <v>1010</v>
      </c>
      <c r="K28" s="8" t="str">
        <f>_xlfn.XLOOKUP(J28,Parameter!$H$11:$H$19,Parameter!$F$11:$F$19,"",-1)</f>
        <v>G08</v>
      </c>
    </row>
    <row r="29" spans="1:11" x14ac:dyDescent="0.35">
      <c r="A29" t="s">
        <v>87</v>
      </c>
      <c r="B29" t="s">
        <v>89</v>
      </c>
      <c r="C29" t="s">
        <v>73</v>
      </c>
      <c r="D29">
        <v>150</v>
      </c>
      <c r="E29">
        <v>150</v>
      </c>
      <c r="F29">
        <v>160</v>
      </c>
      <c r="G29">
        <v>60</v>
      </c>
      <c r="H29">
        <v>40</v>
      </c>
      <c r="I29">
        <v>30</v>
      </c>
      <c r="J29">
        <f t="shared" si="0"/>
        <v>590</v>
      </c>
      <c r="K29" s="8" t="str">
        <f>_xlfn.XLOOKUP(J29,Parameter!$H$11:$H$19,Parameter!$F$11:$F$19,"",-1)</f>
        <v>G04</v>
      </c>
    </row>
    <row r="30" spans="1:11" x14ac:dyDescent="0.35">
      <c r="A30" t="s">
        <v>87</v>
      </c>
      <c r="B30" t="s">
        <v>88</v>
      </c>
      <c r="C30" t="s">
        <v>73</v>
      </c>
      <c r="D30">
        <v>150</v>
      </c>
      <c r="E30">
        <v>150</v>
      </c>
      <c r="F30">
        <v>160</v>
      </c>
      <c r="G30">
        <v>60</v>
      </c>
      <c r="H30">
        <v>40</v>
      </c>
      <c r="I30">
        <v>30</v>
      </c>
      <c r="J30">
        <f t="shared" si="0"/>
        <v>590</v>
      </c>
      <c r="K30" s="8" t="str">
        <f>_xlfn.XLOOKUP(J30,Parameter!$H$11:$H$19,Parameter!$F$11:$F$19,"",-1)</f>
        <v>G04</v>
      </c>
    </row>
    <row r="31" spans="1:11" x14ac:dyDescent="0.35">
      <c r="A31" t="s">
        <v>87</v>
      </c>
      <c r="B31" t="s">
        <v>88</v>
      </c>
      <c r="C31" t="s">
        <v>69</v>
      </c>
      <c r="D31">
        <v>100</v>
      </c>
      <c r="E31">
        <v>100</v>
      </c>
      <c r="F31">
        <v>80</v>
      </c>
      <c r="G31">
        <v>60</v>
      </c>
      <c r="H31">
        <v>0</v>
      </c>
      <c r="I31">
        <v>30</v>
      </c>
      <c r="J31">
        <f t="shared" si="0"/>
        <v>370</v>
      </c>
      <c r="K31" s="8" t="str">
        <f>_xlfn.XLOOKUP(J31,Parameter!$H$11:$H$19,Parameter!$F$11:$F$19,"",-1)</f>
        <v>G02</v>
      </c>
    </row>
    <row r="32" spans="1:11" x14ac:dyDescent="0.35">
      <c r="A32" t="s">
        <v>87</v>
      </c>
      <c r="B32" t="s">
        <v>89</v>
      </c>
      <c r="C32" t="s">
        <v>69</v>
      </c>
      <c r="D32">
        <v>100</v>
      </c>
      <c r="E32">
        <v>100</v>
      </c>
      <c r="F32">
        <v>80</v>
      </c>
      <c r="G32">
        <v>60</v>
      </c>
      <c r="H32">
        <v>0</v>
      </c>
      <c r="I32">
        <v>30</v>
      </c>
      <c r="J32">
        <f t="shared" si="0"/>
        <v>370</v>
      </c>
      <c r="K32" s="8" t="str">
        <f>_xlfn.XLOOKUP(J32,Parameter!$H$11:$H$19,Parameter!$F$11:$F$19,"",-1)</f>
        <v>G02</v>
      </c>
    </row>
    <row r="33" spans="1:11" x14ac:dyDescent="0.35">
      <c r="A33" t="s">
        <v>87</v>
      </c>
      <c r="B33" t="s">
        <v>105</v>
      </c>
      <c r="C33" t="s">
        <v>69</v>
      </c>
      <c r="D33">
        <v>100</v>
      </c>
      <c r="E33">
        <v>100</v>
      </c>
      <c r="F33">
        <v>80</v>
      </c>
      <c r="G33">
        <v>60</v>
      </c>
      <c r="H33">
        <v>0</v>
      </c>
      <c r="I33">
        <v>30</v>
      </c>
      <c r="J33">
        <f t="shared" si="0"/>
        <v>370</v>
      </c>
      <c r="K33" s="8" t="str">
        <f>_xlfn.XLOOKUP(J33,Parameter!$H$11:$H$19,Parameter!$F$11:$F$19,"",-1)</f>
        <v>G02</v>
      </c>
    </row>
    <row r="34" spans="1:11" x14ac:dyDescent="0.35">
      <c r="A34" t="s">
        <v>87</v>
      </c>
      <c r="B34" t="s">
        <v>88</v>
      </c>
      <c r="C34" t="s">
        <v>75</v>
      </c>
      <c r="D34">
        <v>150</v>
      </c>
      <c r="E34">
        <v>150</v>
      </c>
      <c r="F34">
        <v>120</v>
      </c>
      <c r="G34">
        <v>120</v>
      </c>
      <c r="H34">
        <v>120</v>
      </c>
      <c r="I34">
        <v>30</v>
      </c>
      <c r="J34">
        <f t="shared" ref="J34:J65" si="1">SUM(D34:I34)</f>
        <v>690</v>
      </c>
      <c r="K34" s="8" t="str">
        <f>_xlfn.XLOOKUP(J34,Parameter!$H$11:$H$19,Parameter!$F$11:$F$19,"",-1)</f>
        <v>G05</v>
      </c>
    </row>
    <row r="35" spans="1:11" x14ac:dyDescent="0.35">
      <c r="A35" t="s">
        <v>87</v>
      </c>
      <c r="B35" t="s">
        <v>105</v>
      </c>
      <c r="C35" t="s">
        <v>75</v>
      </c>
      <c r="D35">
        <v>150</v>
      </c>
      <c r="E35">
        <v>150</v>
      </c>
      <c r="F35">
        <v>120</v>
      </c>
      <c r="G35">
        <v>120</v>
      </c>
      <c r="H35">
        <v>120</v>
      </c>
      <c r="I35">
        <v>30</v>
      </c>
      <c r="J35">
        <f t="shared" si="1"/>
        <v>690</v>
      </c>
      <c r="K35" s="8" t="str">
        <f>_xlfn.XLOOKUP(J35,Parameter!$H$11:$H$19,Parameter!$F$11:$F$19,"",-1)</f>
        <v>G05</v>
      </c>
    </row>
    <row r="36" spans="1:11" x14ac:dyDescent="0.35">
      <c r="A36" t="s">
        <v>87</v>
      </c>
      <c r="B36" t="s">
        <v>89</v>
      </c>
      <c r="C36" t="s">
        <v>75</v>
      </c>
      <c r="D36">
        <v>150</v>
      </c>
      <c r="E36">
        <v>150</v>
      </c>
      <c r="F36">
        <v>120</v>
      </c>
      <c r="G36">
        <v>120</v>
      </c>
      <c r="H36">
        <v>120</v>
      </c>
      <c r="I36">
        <v>30</v>
      </c>
      <c r="J36">
        <f t="shared" si="1"/>
        <v>690</v>
      </c>
      <c r="K36" s="8" t="str">
        <f>_xlfn.XLOOKUP(J36,Parameter!$H$11:$H$19,Parameter!$F$11:$F$19,"",-1)</f>
        <v>G05</v>
      </c>
    </row>
    <row r="37" spans="1:11" x14ac:dyDescent="0.35">
      <c r="A37" t="s">
        <v>94</v>
      </c>
      <c r="B37" t="s">
        <v>98</v>
      </c>
      <c r="C37" t="s">
        <v>67</v>
      </c>
      <c r="D37">
        <v>100</v>
      </c>
      <c r="E37">
        <v>50</v>
      </c>
      <c r="F37">
        <v>40</v>
      </c>
      <c r="G37">
        <v>30</v>
      </c>
      <c r="H37">
        <v>0</v>
      </c>
      <c r="I37">
        <v>30</v>
      </c>
      <c r="J37">
        <f t="shared" si="1"/>
        <v>250</v>
      </c>
      <c r="K37" s="8" t="str">
        <f>_xlfn.XLOOKUP(J37,Parameter!$H$11:$H$19,Parameter!$F$11:$F$19,"",-1)</f>
        <v>G01</v>
      </c>
    </row>
    <row r="38" spans="1:11" x14ac:dyDescent="0.35">
      <c r="A38" t="s">
        <v>94</v>
      </c>
      <c r="B38" t="s">
        <v>98</v>
      </c>
      <c r="C38" t="s">
        <v>69</v>
      </c>
      <c r="D38">
        <v>50</v>
      </c>
      <c r="E38">
        <v>100</v>
      </c>
      <c r="F38">
        <v>80</v>
      </c>
      <c r="G38">
        <v>60</v>
      </c>
      <c r="H38">
        <v>40</v>
      </c>
      <c r="I38">
        <v>30</v>
      </c>
      <c r="J38">
        <f t="shared" si="1"/>
        <v>360</v>
      </c>
      <c r="K38" s="8" t="str">
        <f>_xlfn.XLOOKUP(J38,Parameter!$H$11:$H$19,Parameter!$F$11:$F$19,"",-1)</f>
        <v>G02</v>
      </c>
    </row>
    <row r="39" spans="1:11" x14ac:dyDescent="0.35">
      <c r="A39" t="s">
        <v>94</v>
      </c>
      <c r="B39" t="s">
        <v>95</v>
      </c>
      <c r="C39" t="s">
        <v>77</v>
      </c>
      <c r="D39">
        <v>150</v>
      </c>
      <c r="E39">
        <v>200</v>
      </c>
      <c r="F39">
        <v>200</v>
      </c>
      <c r="G39">
        <v>150</v>
      </c>
      <c r="H39">
        <v>160</v>
      </c>
      <c r="I39">
        <v>90</v>
      </c>
      <c r="J39">
        <f t="shared" si="1"/>
        <v>950</v>
      </c>
      <c r="K39" s="8" t="str">
        <f>_xlfn.XLOOKUP(J39,Parameter!$H$11:$H$19,Parameter!$F$11:$F$19,"",-1)</f>
        <v>G07</v>
      </c>
    </row>
    <row r="40" spans="1:11" x14ac:dyDescent="0.35">
      <c r="A40" t="s">
        <v>94</v>
      </c>
      <c r="B40" t="s">
        <v>96</v>
      </c>
      <c r="C40" t="s">
        <v>77</v>
      </c>
      <c r="D40">
        <v>150</v>
      </c>
      <c r="E40">
        <v>200</v>
      </c>
      <c r="F40">
        <v>200</v>
      </c>
      <c r="G40">
        <v>150</v>
      </c>
      <c r="H40">
        <v>160</v>
      </c>
      <c r="I40">
        <v>90</v>
      </c>
      <c r="J40">
        <f t="shared" si="1"/>
        <v>950</v>
      </c>
      <c r="K40" s="8" t="str">
        <f>_xlfn.XLOOKUP(J40,Parameter!$H$11:$H$19,Parameter!$F$11:$F$19,"",-1)</f>
        <v>G07</v>
      </c>
    </row>
    <row r="41" spans="1:11" x14ac:dyDescent="0.35">
      <c r="A41" t="s">
        <v>94</v>
      </c>
      <c r="B41" t="s">
        <v>98</v>
      </c>
      <c r="C41" t="s">
        <v>77</v>
      </c>
      <c r="D41">
        <v>150</v>
      </c>
      <c r="E41">
        <v>200</v>
      </c>
      <c r="F41">
        <v>200</v>
      </c>
      <c r="G41">
        <v>150</v>
      </c>
      <c r="H41">
        <v>160</v>
      </c>
      <c r="I41">
        <v>90</v>
      </c>
      <c r="J41">
        <f t="shared" si="1"/>
        <v>950</v>
      </c>
      <c r="K41" s="8" t="str">
        <f>_xlfn.XLOOKUP(J41,Parameter!$H$11:$H$19,Parameter!$F$11:$F$19,"",-1)</f>
        <v>G07</v>
      </c>
    </row>
    <row r="42" spans="1:11" x14ac:dyDescent="0.35">
      <c r="A42" t="s">
        <v>94</v>
      </c>
      <c r="B42" t="s">
        <v>96</v>
      </c>
      <c r="C42" t="s">
        <v>65</v>
      </c>
      <c r="D42">
        <v>50</v>
      </c>
      <c r="E42">
        <v>100</v>
      </c>
      <c r="F42">
        <v>40</v>
      </c>
      <c r="G42">
        <v>30</v>
      </c>
      <c r="H42">
        <v>0</v>
      </c>
      <c r="I42">
        <v>30</v>
      </c>
      <c r="J42">
        <f t="shared" si="1"/>
        <v>250</v>
      </c>
      <c r="K42" s="8" t="str">
        <f>_xlfn.XLOOKUP(J42,Parameter!$H$11:$H$19,Parameter!$F$11:$F$19,"",-1)</f>
        <v>G01</v>
      </c>
    </row>
    <row r="43" spans="1:11" x14ac:dyDescent="0.35">
      <c r="A43" t="s">
        <v>94</v>
      </c>
      <c r="B43" t="s">
        <v>95</v>
      </c>
      <c r="C43" t="s">
        <v>65</v>
      </c>
      <c r="D43">
        <v>50</v>
      </c>
      <c r="E43">
        <v>100</v>
      </c>
      <c r="F43">
        <v>40</v>
      </c>
      <c r="G43">
        <v>30</v>
      </c>
      <c r="H43">
        <v>0</v>
      </c>
      <c r="I43">
        <v>30</v>
      </c>
      <c r="J43">
        <f t="shared" si="1"/>
        <v>250</v>
      </c>
      <c r="K43" s="8" t="str">
        <f>_xlfn.XLOOKUP(J43,Parameter!$H$11:$H$19,Parameter!$F$11:$F$19,"",-1)</f>
        <v>G01</v>
      </c>
    </row>
    <row r="44" spans="1:11" x14ac:dyDescent="0.35">
      <c r="A44" t="s">
        <v>94</v>
      </c>
      <c r="B44" t="s">
        <v>98</v>
      </c>
      <c r="C44" t="s">
        <v>65</v>
      </c>
      <c r="D44">
        <v>50</v>
      </c>
      <c r="E44">
        <v>100</v>
      </c>
      <c r="F44">
        <v>40</v>
      </c>
      <c r="G44">
        <v>30</v>
      </c>
      <c r="H44">
        <v>0</v>
      </c>
      <c r="I44">
        <v>30</v>
      </c>
      <c r="J44">
        <f t="shared" si="1"/>
        <v>250</v>
      </c>
      <c r="K44" s="8" t="str">
        <f>_xlfn.XLOOKUP(J44,Parameter!$H$11:$H$19,Parameter!$F$11:$F$19,"",-1)</f>
        <v>G01</v>
      </c>
    </row>
    <row r="45" spans="1:11" x14ac:dyDescent="0.35">
      <c r="A45" t="s">
        <v>94</v>
      </c>
      <c r="B45" t="s">
        <v>95</v>
      </c>
      <c r="C45" t="s">
        <v>75</v>
      </c>
      <c r="D45">
        <v>150</v>
      </c>
      <c r="E45">
        <v>150</v>
      </c>
      <c r="F45">
        <v>120</v>
      </c>
      <c r="G45">
        <v>120</v>
      </c>
      <c r="H45">
        <v>120</v>
      </c>
      <c r="I45">
        <v>30</v>
      </c>
      <c r="J45">
        <f t="shared" si="1"/>
        <v>690</v>
      </c>
      <c r="K45" s="8" t="str">
        <f>_xlfn.XLOOKUP(J45,Parameter!$H$11:$H$19,Parameter!$F$11:$F$19,"",-1)</f>
        <v>G05</v>
      </c>
    </row>
    <row r="46" spans="1:11" x14ac:dyDescent="0.35">
      <c r="A46" t="s">
        <v>94</v>
      </c>
      <c r="B46" t="s">
        <v>96</v>
      </c>
      <c r="C46" t="s">
        <v>75</v>
      </c>
      <c r="D46">
        <v>150</v>
      </c>
      <c r="E46">
        <v>150</v>
      </c>
      <c r="F46">
        <v>120</v>
      </c>
      <c r="G46">
        <v>120</v>
      </c>
      <c r="H46">
        <v>120</v>
      </c>
      <c r="I46">
        <v>30</v>
      </c>
      <c r="J46">
        <f t="shared" si="1"/>
        <v>690</v>
      </c>
      <c r="K46" s="8" t="str">
        <f>_xlfn.XLOOKUP(J46,Parameter!$H$11:$H$19,Parameter!$F$11:$F$19,"",-1)</f>
        <v>G05</v>
      </c>
    </row>
    <row r="47" spans="1:11" x14ac:dyDescent="0.35">
      <c r="A47" t="s">
        <v>94</v>
      </c>
      <c r="B47" t="s">
        <v>98</v>
      </c>
      <c r="C47" t="s">
        <v>75</v>
      </c>
      <c r="D47">
        <v>150</v>
      </c>
      <c r="E47">
        <v>150</v>
      </c>
      <c r="F47">
        <v>120</v>
      </c>
      <c r="G47">
        <v>120</v>
      </c>
      <c r="H47">
        <v>120</v>
      </c>
      <c r="I47">
        <v>30</v>
      </c>
      <c r="J47">
        <f t="shared" si="1"/>
        <v>690</v>
      </c>
      <c r="K47" s="8" t="str">
        <f>_xlfn.XLOOKUP(J47,Parameter!$H$11:$H$19,Parameter!$F$11:$F$19,"",-1)</f>
        <v>G05</v>
      </c>
    </row>
    <row r="48" spans="1:11" x14ac:dyDescent="0.35">
      <c r="A48" t="s">
        <v>84</v>
      </c>
      <c r="B48" t="s">
        <v>85</v>
      </c>
      <c r="C48" t="s">
        <v>67</v>
      </c>
      <c r="D48">
        <v>100</v>
      </c>
      <c r="E48">
        <v>50</v>
      </c>
      <c r="F48">
        <v>40</v>
      </c>
      <c r="G48">
        <v>30</v>
      </c>
      <c r="H48">
        <v>0</v>
      </c>
      <c r="I48">
        <v>30</v>
      </c>
      <c r="J48">
        <f t="shared" si="1"/>
        <v>250</v>
      </c>
      <c r="K48" s="8" t="str">
        <f>_xlfn.XLOOKUP(J48,Parameter!$H$11:$H$19,Parameter!$F$11:$F$19,"",-1)</f>
        <v>G01</v>
      </c>
    </row>
    <row r="49" spans="1:11" x14ac:dyDescent="0.35">
      <c r="A49" t="s">
        <v>84</v>
      </c>
      <c r="B49" t="s">
        <v>97</v>
      </c>
      <c r="C49" t="s">
        <v>67</v>
      </c>
      <c r="D49">
        <v>100</v>
      </c>
      <c r="E49">
        <v>50</v>
      </c>
      <c r="F49">
        <v>40</v>
      </c>
      <c r="G49">
        <v>30</v>
      </c>
      <c r="H49">
        <v>0</v>
      </c>
      <c r="I49">
        <v>30</v>
      </c>
      <c r="J49">
        <f t="shared" si="1"/>
        <v>250</v>
      </c>
      <c r="K49" s="8" t="str">
        <f>_xlfn.XLOOKUP(J49,Parameter!$H$11:$H$19,Parameter!$F$11:$F$19,"",-1)</f>
        <v>G01</v>
      </c>
    </row>
    <row r="50" spans="1:11" x14ac:dyDescent="0.35">
      <c r="A50" t="s">
        <v>84</v>
      </c>
      <c r="B50" t="s">
        <v>99</v>
      </c>
      <c r="C50" t="s">
        <v>67</v>
      </c>
      <c r="D50">
        <v>100</v>
      </c>
      <c r="E50">
        <v>50</v>
      </c>
      <c r="F50">
        <v>40</v>
      </c>
      <c r="G50">
        <v>30</v>
      </c>
      <c r="H50">
        <v>0</v>
      </c>
      <c r="I50">
        <v>30</v>
      </c>
      <c r="J50">
        <f t="shared" si="1"/>
        <v>250</v>
      </c>
      <c r="K50" s="8" t="str">
        <f>_xlfn.XLOOKUP(J50,Parameter!$H$11:$H$19,Parameter!$F$11:$F$19,"",-1)</f>
        <v>G01</v>
      </c>
    </row>
    <row r="51" spans="1:11" x14ac:dyDescent="0.35">
      <c r="A51" t="s">
        <v>84</v>
      </c>
      <c r="B51" t="s">
        <v>85</v>
      </c>
      <c r="C51" t="s">
        <v>69</v>
      </c>
      <c r="D51">
        <v>50</v>
      </c>
      <c r="E51">
        <v>100</v>
      </c>
      <c r="F51">
        <v>80</v>
      </c>
      <c r="G51">
        <v>60</v>
      </c>
      <c r="H51">
        <v>40</v>
      </c>
      <c r="I51">
        <v>30</v>
      </c>
      <c r="J51">
        <f t="shared" si="1"/>
        <v>360</v>
      </c>
      <c r="K51" s="8" t="str">
        <f>_xlfn.XLOOKUP(J51,Parameter!$H$11:$H$19,Parameter!$F$11:$F$19,"",-1)</f>
        <v>G02</v>
      </c>
    </row>
    <row r="52" spans="1:11" x14ac:dyDescent="0.35">
      <c r="A52" t="s">
        <v>84</v>
      </c>
      <c r="B52" t="s">
        <v>85</v>
      </c>
      <c r="C52" t="s">
        <v>77</v>
      </c>
      <c r="D52">
        <v>150</v>
      </c>
      <c r="E52">
        <v>200</v>
      </c>
      <c r="F52">
        <v>200</v>
      </c>
      <c r="G52">
        <v>150</v>
      </c>
      <c r="H52">
        <v>160</v>
      </c>
      <c r="I52">
        <v>90</v>
      </c>
      <c r="J52">
        <f t="shared" si="1"/>
        <v>950</v>
      </c>
      <c r="K52" s="8" t="str">
        <f>_xlfn.XLOOKUP(J52,Parameter!$H$11:$H$19,Parameter!$F$11:$F$19,"",-1)</f>
        <v>G07</v>
      </c>
    </row>
    <row r="53" spans="1:11" x14ac:dyDescent="0.35">
      <c r="A53" t="s">
        <v>84</v>
      </c>
      <c r="B53" t="s">
        <v>97</v>
      </c>
      <c r="C53" t="s">
        <v>77</v>
      </c>
      <c r="D53">
        <v>150</v>
      </c>
      <c r="E53">
        <v>200</v>
      </c>
      <c r="F53">
        <v>200</v>
      </c>
      <c r="G53">
        <v>150</v>
      </c>
      <c r="H53">
        <v>160</v>
      </c>
      <c r="I53">
        <v>90</v>
      </c>
      <c r="J53">
        <f t="shared" si="1"/>
        <v>950</v>
      </c>
      <c r="K53" s="8" t="str">
        <f>_xlfn.XLOOKUP(J53,Parameter!$H$11:$H$19,Parameter!$F$11:$F$19,"",-1)</f>
        <v>G07</v>
      </c>
    </row>
    <row r="54" spans="1:11" x14ac:dyDescent="0.35">
      <c r="A54" t="s">
        <v>84</v>
      </c>
      <c r="B54" t="s">
        <v>97</v>
      </c>
      <c r="C54" t="s">
        <v>73</v>
      </c>
      <c r="D54">
        <v>150</v>
      </c>
      <c r="E54">
        <v>150</v>
      </c>
      <c r="F54">
        <v>120</v>
      </c>
      <c r="G54">
        <v>60</v>
      </c>
      <c r="H54">
        <v>40</v>
      </c>
      <c r="I54">
        <v>30</v>
      </c>
      <c r="J54">
        <f t="shared" si="1"/>
        <v>550</v>
      </c>
      <c r="K54" s="8" t="str">
        <f>_xlfn.XLOOKUP(J54,Parameter!$H$11:$H$19,Parameter!$F$11:$F$19,"",-1)</f>
        <v>G03</v>
      </c>
    </row>
    <row r="55" spans="1:11" x14ac:dyDescent="0.35">
      <c r="A55" t="s">
        <v>84</v>
      </c>
      <c r="B55" t="s">
        <v>99</v>
      </c>
      <c r="C55" t="s">
        <v>73</v>
      </c>
      <c r="D55">
        <v>150</v>
      </c>
      <c r="E55">
        <v>150</v>
      </c>
      <c r="F55">
        <v>120</v>
      </c>
      <c r="G55">
        <v>60</v>
      </c>
      <c r="H55">
        <v>40</v>
      </c>
      <c r="I55">
        <v>30</v>
      </c>
      <c r="J55">
        <f t="shared" si="1"/>
        <v>550</v>
      </c>
      <c r="K55" s="8" t="str">
        <f>_xlfn.XLOOKUP(J55,Parameter!$H$11:$H$19,Parameter!$F$11:$F$19,"",-1)</f>
        <v>G03</v>
      </c>
    </row>
    <row r="56" spans="1:11" x14ac:dyDescent="0.35">
      <c r="A56" t="s">
        <v>84</v>
      </c>
      <c r="B56" t="s">
        <v>85</v>
      </c>
      <c r="C56" t="s">
        <v>65</v>
      </c>
      <c r="D56">
        <v>50</v>
      </c>
      <c r="E56">
        <v>100</v>
      </c>
      <c r="F56">
        <v>40</v>
      </c>
      <c r="G56">
        <v>30</v>
      </c>
      <c r="H56">
        <v>0</v>
      </c>
      <c r="I56">
        <v>30</v>
      </c>
      <c r="J56">
        <f t="shared" si="1"/>
        <v>250</v>
      </c>
      <c r="K56" s="8" t="str">
        <f>_xlfn.XLOOKUP(J56,Parameter!$H$11:$H$19,Parameter!$F$11:$F$19,"",-1)</f>
        <v>G01</v>
      </c>
    </row>
    <row r="57" spans="1:11" x14ac:dyDescent="0.35">
      <c r="A57" t="s">
        <v>84</v>
      </c>
      <c r="B57" t="s">
        <v>99</v>
      </c>
      <c r="C57" t="s">
        <v>71</v>
      </c>
      <c r="D57">
        <v>150</v>
      </c>
      <c r="E57">
        <v>150</v>
      </c>
      <c r="F57">
        <v>200</v>
      </c>
      <c r="G57">
        <v>90</v>
      </c>
      <c r="H57">
        <v>40</v>
      </c>
      <c r="I57">
        <v>30</v>
      </c>
      <c r="J57">
        <f t="shared" si="1"/>
        <v>660</v>
      </c>
      <c r="K57" s="8" t="str">
        <f>_xlfn.XLOOKUP(J57,Parameter!$H$11:$H$19,Parameter!$F$11:$F$19,"",-1)</f>
        <v>G04</v>
      </c>
    </row>
    <row r="58" spans="1:11" x14ac:dyDescent="0.35">
      <c r="A58" t="s">
        <v>84</v>
      </c>
      <c r="B58" t="s">
        <v>85</v>
      </c>
      <c r="C58" t="s">
        <v>69</v>
      </c>
      <c r="D58">
        <v>100</v>
      </c>
      <c r="E58">
        <v>100</v>
      </c>
      <c r="F58">
        <v>80</v>
      </c>
      <c r="G58">
        <v>60</v>
      </c>
      <c r="H58">
        <v>0</v>
      </c>
      <c r="I58">
        <v>30</v>
      </c>
      <c r="J58">
        <f t="shared" si="1"/>
        <v>370</v>
      </c>
      <c r="K58" s="8" t="str">
        <f>_xlfn.XLOOKUP(J58,Parameter!$H$11:$H$19,Parameter!$F$11:$F$19,"",-1)</f>
        <v>G02</v>
      </c>
    </row>
    <row r="59" spans="1:11" x14ac:dyDescent="0.35">
      <c r="A59" t="s">
        <v>84</v>
      </c>
      <c r="B59" t="s">
        <v>97</v>
      </c>
      <c r="C59" t="s">
        <v>69</v>
      </c>
      <c r="D59">
        <v>100</v>
      </c>
      <c r="E59">
        <v>100</v>
      </c>
      <c r="F59">
        <v>80</v>
      </c>
      <c r="G59">
        <v>60</v>
      </c>
      <c r="H59">
        <v>0</v>
      </c>
      <c r="I59">
        <v>30</v>
      </c>
      <c r="J59">
        <f t="shared" si="1"/>
        <v>370</v>
      </c>
      <c r="K59" s="8" t="str">
        <f>_xlfn.XLOOKUP(J59,Parameter!$H$11:$H$19,Parameter!$F$11:$F$19,"",-1)</f>
        <v>G02</v>
      </c>
    </row>
    <row r="60" spans="1:11" x14ac:dyDescent="0.35">
      <c r="A60" t="s">
        <v>84</v>
      </c>
      <c r="B60" t="s">
        <v>99</v>
      </c>
      <c r="C60" t="s">
        <v>69</v>
      </c>
      <c r="D60">
        <v>100</v>
      </c>
      <c r="E60">
        <v>100</v>
      </c>
      <c r="F60">
        <v>80</v>
      </c>
      <c r="G60">
        <v>60</v>
      </c>
      <c r="H60">
        <v>0</v>
      </c>
      <c r="I60">
        <v>30</v>
      </c>
      <c r="J60">
        <f t="shared" si="1"/>
        <v>370</v>
      </c>
      <c r="K60" s="8" t="str">
        <f>_xlfn.XLOOKUP(J60,Parameter!$H$11:$H$19,Parameter!$F$11:$F$19,"",-1)</f>
        <v>G02</v>
      </c>
    </row>
    <row r="61" spans="1:11" x14ac:dyDescent="0.35">
      <c r="A61" t="s">
        <v>84</v>
      </c>
      <c r="B61" t="s">
        <v>97</v>
      </c>
      <c r="C61" t="s">
        <v>75</v>
      </c>
      <c r="D61">
        <v>150</v>
      </c>
      <c r="E61">
        <v>150</v>
      </c>
      <c r="F61">
        <v>120</v>
      </c>
      <c r="G61">
        <v>120</v>
      </c>
      <c r="H61">
        <v>120</v>
      </c>
      <c r="I61">
        <v>30</v>
      </c>
      <c r="J61">
        <f t="shared" si="1"/>
        <v>690</v>
      </c>
      <c r="K61" s="8" t="str">
        <f>_xlfn.XLOOKUP(J61,Parameter!$H$11:$H$19,Parameter!$F$11:$F$19,"",-1)</f>
        <v>G05</v>
      </c>
    </row>
    <row r="62" spans="1:11" x14ac:dyDescent="0.35">
      <c r="A62" t="s">
        <v>84</v>
      </c>
      <c r="B62" t="s">
        <v>99</v>
      </c>
      <c r="C62" t="s">
        <v>75</v>
      </c>
      <c r="D62">
        <v>150</v>
      </c>
      <c r="E62">
        <v>150</v>
      </c>
      <c r="F62">
        <v>120</v>
      </c>
      <c r="G62">
        <v>120</v>
      </c>
      <c r="H62">
        <v>120</v>
      </c>
      <c r="I62">
        <v>30</v>
      </c>
      <c r="J62">
        <f t="shared" si="1"/>
        <v>690</v>
      </c>
      <c r="K62" s="8" t="str">
        <f>_xlfn.XLOOKUP(J62,Parameter!$H$11:$H$19,Parameter!$F$11:$F$19,"",-1)</f>
        <v>G05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8C41-7DC6-4FFF-B89E-440B60729692}">
  <dimension ref="A1:J10"/>
  <sheetViews>
    <sheetView tabSelected="1" zoomScale="90" zoomScaleNormal="90" workbookViewId="0">
      <selection activeCell="J7" sqref="J7"/>
    </sheetView>
  </sheetViews>
  <sheetFormatPr defaultRowHeight="14.5" x14ac:dyDescent="0.35"/>
  <cols>
    <col min="1" max="1" width="7.81640625" customWidth="1"/>
    <col min="2" max="2" width="32.36328125" bestFit="1" customWidth="1"/>
    <col min="3" max="3" width="13.6328125" bestFit="1" customWidth="1"/>
    <col min="4" max="5" width="14.6328125" bestFit="1" customWidth="1"/>
    <col min="6" max="6" width="15.453125" bestFit="1" customWidth="1"/>
    <col min="7" max="7" width="20.7265625" bestFit="1" customWidth="1"/>
    <col min="8" max="8" width="14.6328125" bestFit="1" customWidth="1"/>
  </cols>
  <sheetData>
    <row r="1" spans="1:10" ht="26.5" customHeight="1" x14ac:dyDescent="0.35">
      <c r="A1" t="s">
        <v>62</v>
      </c>
      <c r="B1" t="s">
        <v>16</v>
      </c>
      <c r="C1" t="s">
        <v>106</v>
      </c>
      <c r="D1" t="s">
        <v>108</v>
      </c>
      <c r="E1" t="s">
        <v>109</v>
      </c>
      <c r="F1" t="s">
        <v>110</v>
      </c>
      <c r="G1" t="s">
        <v>111</v>
      </c>
      <c r="H1" t="s">
        <v>107</v>
      </c>
    </row>
    <row r="2" spans="1:10" x14ac:dyDescent="0.35">
      <c r="A2" t="s">
        <v>64</v>
      </c>
      <c r="B2" t="str">
        <f>VLOOKUP(Table13[[#This Row],[Grade]],Grade[],2)</f>
        <v>Operator</v>
      </c>
      <c r="C2" s="2">
        <f>Table1[[#This Row],[Nilai / Angka]]</f>
        <v>5728878</v>
      </c>
      <c r="D2" s="2">
        <f>C2*(1+(0.5*Parameter!$B$4))</f>
        <v>6588209.6999999993</v>
      </c>
      <c r="E2" s="2">
        <f>C2*(1+Parameter!$B$4)</f>
        <v>7447541.4000000004</v>
      </c>
      <c r="F2" s="2">
        <f>C2*Parameter!$B$5</f>
        <v>4296658.5</v>
      </c>
      <c r="G2" s="2">
        <f>C2*Parameter!$B$6</f>
        <v>1432219.5</v>
      </c>
      <c r="H2" s="2">
        <f>SUM(Table13[[#This Row],[Mid GP (75%)]:[MidTunjangan (25%)]])</f>
        <v>5728878</v>
      </c>
      <c r="J2" t="s">
        <v>112</v>
      </c>
    </row>
    <row r="3" spans="1:10" x14ac:dyDescent="0.35">
      <c r="A3" t="s">
        <v>66</v>
      </c>
      <c r="B3" t="str">
        <f>VLOOKUP(Table13[[#This Row],[Grade]],Grade[],2)</f>
        <v>Administrator</v>
      </c>
      <c r="C3" s="2">
        <f>Parameter!B2</f>
        <v>5728878</v>
      </c>
      <c r="D3" s="2">
        <f>C3*(1+(0.5*Parameter!$B$4))</f>
        <v>6588209.6999999993</v>
      </c>
      <c r="E3" s="2">
        <f>C3*(1+Parameter!$B$4)</f>
        <v>7447541.4000000004</v>
      </c>
      <c r="F3" s="2">
        <f>C3*Parameter!$B$5</f>
        <v>4296658.5</v>
      </c>
      <c r="G3" s="2">
        <f>C3*Parameter!$B$6</f>
        <v>1432219.5</v>
      </c>
      <c r="H3" s="2">
        <f>SUM(Table13[[#This Row],[Mid GP (75%)]:[MidTunjangan (25%)]])</f>
        <v>5728878</v>
      </c>
    </row>
    <row r="4" spans="1:10" x14ac:dyDescent="0.35">
      <c r="A4" t="s">
        <v>68</v>
      </c>
      <c r="B4" t="str">
        <f>VLOOKUP(Table13[[#This Row],[Grade]],Grade[],2)</f>
        <v>Staff</v>
      </c>
      <c r="C4" s="2">
        <f>D3*(1+Parameter!$B$3)/(1+(0.5*Parameter!$B$4))</f>
        <v>6072610.6800000006</v>
      </c>
      <c r="D4" s="2">
        <f>C4*(1+(0.5*Parameter!$B$4))</f>
        <v>6983502.2820000006</v>
      </c>
      <c r="E4" s="2">
        <f>C4*(1+Parameter!$B$4)</f>
        <v>7894393.8840000015</v>
      </c>
      <c r="F4" s="2">
        <f>D4*Parameter!$B$5</f>
        <v>5237626.7115000002</v>
      </c>
      <c r="G4" s="2">
        <f>D4*Parameter!$B$6</f>
        <v>1745875.5705000001</v>
      </c>
      <c r="H4" s="2">
        <f>SUM(Table13[[#This Row],[Mid GP (75%)]:[MidTunjangan (25%)]])</f>
        <v>6983502.2820000006</v>
      </c>
    </row>
    <row r="5" spans="1:10" x14ac:dyDescent="0.35">
      <c r="A5" t="s">
        <v>70</v>
      </c>
      <c r="B5" t="str">
        <f>VLOOKUP(Table13[[#This Row],[Grade]],Grade[],2)</f>
        <v>Senior Professional / Engineer / Analyst</v>
      </c>
      <c r="C5" s="2">
        <f>D4*(1+Parameter!$B$3)/(1+(0.5*Parameter!$B$4))</f>
        <v>6436967.3208000017</v>
      </c>
      <c r="D5" s="2">
        <f>C5*(1+(0.5*Parameter!$B$4))</f>
        <v>7402512.418920001</v>
      </c>
      <c r="E5" s="2">
        <f>C5*(1+Parameter!$B$4)</f>
        <v>8368057.5170400022</v>
      </c>
      <c r="F5" s="2">
        <f>D5*Parameter!$B$5</f>
        <v>5551884.3141900003</v>
      </c>
      <c r="G5" s="2">
        <f>D5*Parameter!$B$6</f>
        <v>1850628.1047300003</v>
      </c>
      <c r="H5" s="2">
        <f>SUM(Table13[[#This Row],[Mid GP (75%)]:[MidTunjangan (25%)]])</f>
        <v>7402512.418920001</v>
      </c>
    </row>
    <row r="6" spans="1:10" x14ac:dyDescent="0.35">
      <c r="A6" t="s">
        <v>72</v>
      </c>
      <c r="B6" t="str">
        <f>VLOOKUP(Table13[[#This Row],[Grade]],Grade[],2)</f>
        <v>Officer / Executive</v>
      </c>
      <c r="C6" s="2">
        <f>D5*(1+Parameter!$B$3)/(1+(0.5*Parameter!$B$4))</f>
        <v>6823185.3600480016</v>
      </c>
      <c r="D6" s="2">
        <f>C6*(1+(0.5*Parameter!$B$4))</f>
        <v>7846663.1640552012</v>
      </c>
      <c r="E6" s="2">
        <f>C6*(1+Parameter!$B$4)</f>
        <v>8870140.9680624027</v>
      </c>
      <c r="F6" s="2">
        <f>D6*Parameter!$B$5</f>
        <v>5884997.3730414007</v>
      </c>
      <c r="G6" s="2">
        <f>D6*Parameter!$B$6</f>
        <v>1961665.7910138003</v>
      </c>
      <c r="H6" s="2">
        <f>SUM(Table13[[#This Row],[Mid GP (75%)]:[MidTunjangan (25%)]])</f>
        <v>7846663.1640552012</v>
      </c>
    </row>
    <row r="7" spans="1:10" x14ac:dyDescent="0.35">
      <c r="A7" t="s">
        <v>74</v>
      </c>
      <c r="B7" t="str">
        <f>VLOOKUP(Table13[[#This Row],[Grade]],Grade[],2)</f>
        <v>Supervisor</v>
      </c>
      <c r="C7" s="2">
        <f>D6*(1+Parameter!$B$3)/(1+(0.5*Parameter!$B$4))</f>
        <v>7232576.4816508824</v>
      </c>
      <c r="D7" s="2">
        <f>C7*(1+(0.5*Parameter!$B$4))</f>
        <v>8317462.9538985137</v>
      </c>
      <c r="E7" s="2">
        <f>C7*(1+Parameter!$B$4)</f>
        <v>9402349.4261461478</v>
      </c>
      <c r="F7" s="2">
        <f>D7*Parameter!$B$5</f>
        <v>6238097.2154238857</v>
      </c>
      <c r="G7" s="2">
        <f>D7*Parameter!$B$6</f>
        <v>2079365.7384746284</v>
      </c>
      <c r="H7" s="2">
        <f>SUM(Table13[[#This Row],[Mid GP (75%)]:[MidTunjangan (25%)]])</f>
        <v>8317462.9538985137</v>
      </c>
    </row>
    <row r="8" spans="1:10" x14ac:dyDescent="0.35">
      <c r="A8" t="s">
        <v>76</v>
      </c>
      <c r="B8" t="str">
        <f>VLOOKUP(Table13[[#This Row],[Grade]],Grade[],2)</f>
        <v>Manager</v>
      </c>
      <c r="C8" s="2">
        <f>D7*(1+Parameter!$B$3)/(1+(0.5*Parameter!$B$4))</f>
        <v>7666531.070549936</v>
      </c>
      <c r="D8" s="2">
        <f>C8*(1+(0.5*Parameter!$B$4))</f>
        <v>8816510.7311324254</v>
      </c>
      <c r="E8" s="2">
        <f>C8*(1+Parameter!$B$4)</f>
        <v>9966490.3917149175</v>
      </c>
      <c r="F8" s="2">
        <f>D8*Parameter!$B$5</f>
        <v>6612383.048349319</v>
      </c>
      <c r="G8" s="2">
        <f>D8*Parameter!$B$6</f>
        <v>2204127.6827831063</v>
      </c>
      <c r="H8" s="2">
        <f>SUM(Table13[[#This Row],[Mid GP (75%)]:[MidTunjangan (25%)]])</f>
        <v>8816510.7311324254</v>
      </c>
    </row>
    <row r="9" spans="1:10" x14ac:dyDescent="0.35">
      <c r="A9" t="s">
        <v>78</v>
      </c>
      <c r="B9" t="str">
        <f>VLOOKUP(Table13[[#This Row],[Grade]],Grade[],2)</f>
        <v>General Manager</v>
      </c>
      <c r="C9" s="2">
        <f>D8*(1+Parameter!$B$3)/(1+(0.5*Parameter!$B$4))</f>
        <v>8126522.9347829316</v>
      </c>
      <c r="D9" s="2">
        <f>C9*(1+(0.5*Parameter!$B$4))</f>
        <v>9345501.3750003707</v>
      </c>
      <c r="E9" s="2">
        <f>C9*(1+Parameter!$B$4)</f>
        <v>10564479.815217812</v>
      </c>
      <c r="F9" s="2">
        <f>D9*Parameter!$B$5</f>
        <v>7009126.0312502775</v>
      </c>
      <c r="G9" s="2">
        <f>D9*Parameter!$B$6</f>
        <v>2336375.3437500927</v>
      </c>
      <c r="H9" s="2">
        <f>SUM(Table13[[#This Row],[Mid GP (75%)]:[MidTunjangan (25%)]])</f>
        <v>9345501.3750003707</v>
      </c>
    </row>
    <row r="10" spans="1:10" x14ac:dyDescent="0.35">
      <c r="A10" t="s">
        <v>80</v>
      </c>
      <c r="B10" t="str">
        <f>VLOOKUP(Table13[[#This Row],[Grade]],Grade[],2)</f>
        <v>Director</v>
      </c>
      <c r="C10" s="2">
        <f>D9*(1+Parameter!$B$3)/(1+(0.5*Parameter!$B$4))</f>
        <v>8614114.310869908</v>
      </c>
      <c r="D10" s="2">
        <f>C10*(1+(0.5*Parameter!$B$4))</f>
        <v>9906231.4575003926</v>
      </c>
      <c r="E10" s="2">
        <f>C10*(1+Parameter!$B$4)</f>
        <v>11198348.604130881</v>
      </c>
      <c r="F10" s="2">
        <f>D10*Parameter!$B$5</f>
        <v>7429673.5931252949</v>
      </c>
      <c r="G10" s="2">
        <f>D10*Parameter!$B$6</f>
        <v>2476557.8643750981</v>
      </c>
      <c r="H10" s="2">
        <f>SUM(Table13[[#This Row],[Mid GP (75%)]:[MidTunjangan (25%)]])</f>
        <v>9906231.4575003926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</vt:lpstr>
      <vt:lpstr>Job Grade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Diansyah</dc:creator>
  <cp:lastModifiedBy>Wahyu Diansyah</cp:lastModifiedBy>
  <dcterms:created xsi:type="dcterms:W3CDTF">2026-08-04T02:11:31Z</dcterms:created>
  <dcterms:modified xsi:type="dcterms:W3CDTF">2026-08-05T01:43:35Z</dcterms:modified>
</cp:coreProperties>
</file>