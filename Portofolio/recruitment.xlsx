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hyu\OneDrive\Documents\myportofolio\Portofolio\"/>
    </mc:Choice>
  </mc:AlternateContent>
  <xr:revisionPtr revIDLastSave="0" documentId="13_ncr:1_{25AF652C-7B9A-4822-BD8D-ACA5F43D682B}" xr6:coauthVersionLast="47" xr6:coauthVersionMax="47" xr10:uidLastSave="{00000000-0000-0000-0000-000000000000}"/>
  <bookViews>
    <workbookView xWindow="-110" yWindow="-110" windowWidth="19420" windowHeight="10300" xr2:uid="{D8E29613-C1E8-456A-A867-59518AE13E8E}"/>
  </bookViews>
  <sheets>
    <sheet name="Dahsboard" sheetId="8" r:id="rId1"/>
    <sheet name="Vacancy" sheetId="2" r:id="rId2"/>
    <sheet name="Applicants" sheetId="3" r:id="rId3"/>
    <sheet name="Screening" sheetId="4" r:id="rId4"/>
    <sheet name="Interview" sheetId="5" r:id="rId5"/>
    <sheet name="Offer" sheetId="6" r:id="rId6"/>
    <sheet name="Referensi" sheetId="7" r:id="rId7"/>
    <sheet name="Pivot" sheetId="9" r:id="rId8"/>
  </sheets>
  <externalReferences>
    <externalReference r:id="rId9"/>
    <externalReference r:id="rId10"/>
  </externalReferences>
  <definedNames>
    <definedName name="DeptList">INDIRECT(_xlfn.XLOOKUP(INDEX('[1]Data Employee'!$T:$T,ROW()),[1]Reference!$Z$2:$Z$11,[1]Reference!$AA$2:$AA$11))</definedName>
    <definedName name="_xlnm.Print_Area" localSheetId="0">Dahsboard!$A$1:$AA$51</definedName>
    <definedName name="Range_Internship">[1]Reference!#REF!</definedName>
    <definedName name="Tahun" localSheetId="0">[2]!Table6[Tahun]</definedName>
    <definedName name="Tahun">[2]!Table6[Tahun]</definedName>
    <definedName name="Tanggal" localSheetId="0">[2]!Table6[Tanggal]</definedName>
    <definedName name="Tanggal">[2]!Table6[Tanggal]</definedName>
  </definedNames>
  <calcPr calcId="191029"/>
  <pivotCaches>
    <pivotCache cacheId="42" r:id="rId11"/>
    <pivotCache cacheId="33" r:id="rId12"/>
    <pivotCache cacheId="4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</calcChain>
</file>

<file path=xl/sharedStrings.xml><?xml version="1.0" encoding="utf-8"?>
<sst xmlns="http://schemas.openxmlformats.org/spreadsheetml/2006/main" count="295" uniqueCount="137">
  <si>
    <t>Open Date</t>
  </si>
  <si>
    <t>Target Hire</t>
  </si>
  <si>
    <t>Filled</t>
  </si>
  <si>
    <t>-</t>
  </si>
  <si>
    <t>Open</t>
  </si>
  <si>
    <t>Inventory Control &amp; Planning Administrator</t>
  </si>
  <si>
    <t>Operator Produksi</t>
  </si>
  <si>
    <t>Demand &amp; Supply</t>
  </si>
  <si>
    <t>Production</t>
  </si>
  <si>
    <t>Inventory Control</t>
  </si>
  <si>
    <t>Hired</t>
  </si>
  <si>
    <t>Arumi Nasution</t>
  </si>
  <si>
    <t>Join Date</t>
  </si>
  <si>
    <t>Time to fill</t>
  </si>
  <si>
    <t>Nama Lengkap</t>
  </si>
  <si>
    <t>Posisi yang dilamar</t>
  </si>
  <si>
    <t>Tanggal Memalar</t>
  </si>
  <si>
    <t>Sumber</t>
  </si>
  <si>
    <t>Pendidikan</t>
  </si>
  <si>
    <t>Jenis Kelamin</t>
  </si>
  <si>
    <t>Perempuan</t>
  </si>
  <si>
    <t>Tanggal Lahir</t>
  </si>
  <si>
    <t>Tempat Lahir</t>
  </si>
  <si>
    <t>Surabaya</t>
  </si>
  <si>
    <t>S1 Manajemen</t>
  </si>
  <si>
    <t>Nomor Handphone</t>
  </si>
  <si>
    <t>Email</t>
  </si>
  <si>
    <t>aruminasution@dumi.com</t>
  </si>
  <si>
    <t>0895-6666-9999</t>
  </si>
  <si>
    <t>Curiculum Vitae (CV)</t>
  </si>
  <si>
    <t>link.cv</t>
  </si>
  <si>
    <t>Alamat / Tempat Tinggal</t>
  </si>
  <si>
    <t>0895-6666-10000</t>
  </si>
  <si>
    <t>0895-6666-10001</t>
  </si>
  <si>
    <t>0895-6666-10002</t>
  </si>
  <si>
    <t>Dimas Firmansyah</t>
  </si>
  <si>
    <t>Deon Setya</t>
  </si>
  <si>
    <t>Aldi Sabtudi</t>
  </si>
  <si>
    <t>Ryan Anugrah Putra</t>
  </si>
  <si>
    <t>Delima Raharja</t>
  </si>
  <si>
    <t>Putri Ismawati</t>
  </si>
  <si>
    <t>Ziva Anumiya</t>
  </si>
  <si>
    <t>Hilda Pertiwi</t>
  </si>
  <si>
    <t>Gofar Hilman</t>
  </si>
  <si>
    <t>Laki-Laki</t>
  </si>
  <si>
    <t>Bandung</t>
  </si>
  <si>
    <t>Jakarta</t>
  </si>
  <si>
    <t>Cikarang</t>
  </si>
  <si>
    <t>Subang</t>
  </si>
  <si>
    <t>SMK Otomotif</t>
  </si>
  <si>
    <t>DKI Jakarta</t>
  </si>
  <si>
    <t>Dimas@dumi.com</t>
  </si>
  <si>
    <t>deon@dumi.com</t>
  </si>
  <si>
    <t>aldi@dumi.com</t>
  </si>
  <si>
    <t>ryan@dumi.com</t>
  </si>
  <si>
    <t>delima@dumi.com</t>
  </si>
  <si>
    <t>putri@dumi.com</t>
  </si>
  <si>
    <t>ziva@dumi.com</t>
  </si>
  <si>
    <t>hilda@dumi.com</t>
  </si>
  <si>
    <t>gofar@dumi.com</t>
  </si>
  <si>
    <t>S1 Teknik Industri</t>
  </si>
  <si>
    <t>Pengalaman Kerja</t>
  </si>
  <si>
    <t>Lama Pengalaman</t>
  </si>
  <si>
    <t>Admin PPIC</t>
  </si>
  <si>
    <t>1 Tahun</t>
  </si>
  <si>
    <t>2 Tahun</t>
  </si>
  <si>
    <t>Kitchen Staff</t>
  </si>
  <si>
    <t>Koki</t>
  </si>
  <si>
    <t>3 Tahun</t>
  </si>
  <si>
    <t>D3 Administrasi Perkantoran</t>
  </si>
  <si>
    <t>S1 Ekonomi</t>
  </si>
  <si>
    <t>Kasir</t>
  </si>
  <si>
    <t>SMK Pariwisata</t>
  </si>
  <si>
    <t>SMA IPA</t>
  </si>
  <si>
    <t>SMK RPL</t>
  </si>
  <si>
    <t>Staff Administrasi</t>
  </si>
  <si>
    <t>Barista</t>
  </si>
  <si>
    <t>MD Store</t>
  </si>
  <si>
    <t>Freshgraduated</t>
  </si>
  <si>
    <t>9 Bulan</t>
  </si>
  <si>
    <t>0895-6666-10003</t>
  </si>
  <si>
    <t>0895-6666-10004</t>
  </si>
  <si>
    <t>0895-6666-10005</t>
  </si>
  <si>
    <t>0895-6666-10006</t>
  </si>
  <si>
    <t>0895-6666-10007</t>
  </si>
  <si>
    <t>0895-6666-10008</t>
  </si>
  <si>
    <t>Linkedin</t>
  </si>
  <si>
    <t>Job Portal</t>
  </si>
  <si>
    <t>Linekdin</t>
  </si>
  <si>
    <t>Nama Kandidat</t>
  </si>
  <si>
    <t>Posisi</t>
  </si>
  <si>
    <t>Tanggal Screening</t>
  </si>
  <si>
    <t>Pengalaman</t>
  </si>
  <si>
    <t>Catatan</t>
  </si>
  <si>
    <t>Sesuai</t>
  </si>
  <si>
    <t>Lolos</t>
  </si>
  <si>
    <t>Tidak Lolos</t>
  </si>
  <si>
    <t>Tanggal Interview</t>
  </si>
  <si>
    <t>Nilai</t>
  </si>
  <si>
    <t>HR Interview</t>
  </si>
  <si>
    <t>Dijadwakan Interview User</t>
  </si>
  <si>
    <t>Tanggal Interview2</t>
  </si>
  <si>
    <t>Wahyudiansyah</t>
  </si>
  <si>
    <t>User Intervew</t>
  </si>
  <si>
    <t>M. R. Nalindra. P</t>
  </si>
  <si>
    <t>Departemen</t>
  </si>
  <si>
    <t>Proses Offering Letter</t>
  </si>
  <si>
    <t>Tidak Sesuai</t>
  </si>
  <si>
    <t>Kurang Sesuai</t>
  </si>
  <si>
    <t>Tanggal Offer</t>
  </si>
  <si>
    <t>Offer Status</t>
  </si>
  <si>
    <t>Contract Date</t>
  </si>
  <si>
    <t>Declined</t>
  </si>
  <si>
    <t>Upah Pokok</t>
  </si>
  <si>
    <t>Tunjangan Tetap</t>
  </si>
  <si>
    <t>Uang Makan</t>
  </si>
  <si>
    <t>Uang Transport</t>
  </si>
  <si>
    <t>Source</t>
  </si>
  <si>
    <t>Employee Refferal</t>
  </si>
  <si>
    <t>Screening Status</t>
  </si>
  <si>
    <t>Interview Status</t>
  </si>
  <si>
    <t>Vacancy Status</t>
  </si>
  <si>
    <t>Target Join Date</t>
  </si>
  <si>
    <t>Posisi Open</t>
  </si>
  <si>
    <t>Row Labels</t>
  </si>
  <si>
    <t>Grand Total</t>
  </si>
  <si>
    <t>Count of Departemen</t>
  </si>
  <si>
    <t>Open Status</t>
  </si>
  <si>
    <t>Sum of Target Hire</t>
  </si>
  <si>
    <t>05-Jul</t>
  </si>
  <si>
    <t>Jumlah Pelamar</t>
  </si>
  <si>
    <t>Count of Nama Lengkap</t>
  </si>
  <si>
    <t>Count of Posisi yang dilamar</t>
  </si>
  <si>
    <t>Sourc</t>
  </si>
  <si>
    <t>05-Agu</t>
  </si>
  <si>
    <t>Sum of Time to fill</t>
  </si>
  <si>
    <t>Agus Setiawan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</si>
</sst>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164" formatCode="dd\ mmmm\ yyyy"/>
    <numFmt numFmtId="165" formatCode="0\ &quot;Hari&quot;"/>
    <numFmt numFmtId="166" formatCode="&quot;Rp&quot;#,##0.00"/>
    <numFmt numFmtId="167" formatCode="&quot;Rp&quot;#,###\ &quot;/Hari&quot;"/>
    <numFmt numFmtId="168" formatCode="[$-F800]dddd\,\ mmmm\ dd\,\ yyyy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 vertical="center"/>
    </xf>
    <xf numFmtId="165" fontId="0" fillId="0" borderId="0" xfId="0" applyNumberFormat="1"/>
    <xf numFmtId="0" fontId="2" fillId="0" borderId="0" xfId="1"/>
    <xf numFmtId="6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16">
    <dxf>
      <numFmt numFmtId="165" formatCode="0\ &quot;Hari&quot;"/>
    </dxf>
    <dxf>
      <numFmt numFmtId="19" formatCode="dd/mm/yyyy"/>
    </dxf>
    <dxf>
      <numFmt numFmtId="19" formatCode="dd/mm/yyyy"/>
    </dxf>
    <dxf>
      <numFmt numFmtId="167" formatCode="&quot;Rp&quot;#,###\ &quot;/Hari&quot;"/>
    </dxf>
    <dxf>
      <numFmt numFmtId="167" formatCode="&quot;Rp&quot;#,###\ &quot;/Hari&quot;"/>
    </dxf>
    <dxf>
      <numFmt numFmtId="166" formatCode="&quot;Rp&quot;#,##0.00"/>
    </dxf>
    <dxf>
      <numFmt numFmtId="166" formatCode="&quot;Rp&quot;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dd\ mmmm\ yyyy"/>
    </dxf>
    <dxf>
      <numFmt numFmtId="164" formatCode="dd\ mmmm\ yyyy"/>
    </dxf>
    <dxf>
      <numFmt numFmtId="19" formatCode="dd/mm/yyyy"/>
    </dxf>
    <dxf>
      <numFmt numFmtId="19" formatCode="dd/mm/yyyy"/>
    </dxf>
    <dxf>
      <numFmt numFmtId="164" formatCode="dd\ mmmm\ yyyy"/>
      <alignment horizontal="left" vertical="center" textRotation="0" wrapText="0" indent="0" justifyLastLine="0" shrinkToFit="0" readingOrder="0"/>
    </dxf>
    <dxf>
      <numFmt numFmtId="164" formatCode="dd\ mmmm\ yyyy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[recruitment.xlsx]Pivot!PivotTable5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Pivot!$D$3:$D$7</c:f>
              <c:multiLvlStrCache>
                <c:ptCount val="2"/>
                <c:lvl>
                  <c:pt idx="0">
                    <c:v>05-Jul</c:v>
                  </c:pt>
                  <c:pt idx="1">
                    <c:v>05-Agu</c:v>
                  </c:pt>
                </c:lvl>
                <c:lvl>
                  <c:pt idx="0">
                    <c:v>Inventory Control &amp; Planning Administrator</c:v>
                  </c:pt>
                  <c:pt idx="1">
                    <c:v>Operator Produksi</c:v>
                  </c:pt>
                </c:lvl>
              </c:multiLvlStrCache>
            </c:multiLvlStrRef>
          </c:cat>
          <c:val>
            <c:numRef>
              <c:f>Pivot!$E$3:$E$7</c:f>
              <c:numCache>
                <c:formatCode>General</c:formatCode>
                <c:ptCount val="2"/>
                <c:pt idx="0">
                  <c:v>36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17-4557-8D7B-C1A513D65F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3874575"/>
        <c:axId val="1735676975"/>
      </c:barChart>
      <c:catAx>
        <c:axId val="180387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35676975"/>
        <c:crosses val="autoZero"/>
        <c:auto val="1"/>
        <c:lblAlgn val="ctr"/>
        <c:lblOffset val="100"/>
        <c:noMultiLvlLbl val="0"/>
      </c:catAx>
      <c:valAx>
        <c:axId val="17356769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80387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[recruitment.xlsx]Pivot!PivotTable6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cat>
            <c:strRef>
              <c:f>Pivot!$G$3:$G$5</c:f>
              <c:strCache>
                <c:ptCount val="2"/>
                <c:pt idx="0">
                  <c:v>Inventory Control &amp; Planning Administrator</c:v>
                </c:pt>
                <c:pt idx="1">
                  <c:v>Operator Produksi</c:v>
                </c:pt>
              </c:strCache>
            </c:strRef>
          </c:cat>
          <c:val>
            <c:numRef>
              <c:f>Pivot!$H$3:$H$5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8A8-4DAA-B9E7-AB0608AC1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742317807"/>
        <c:axId val="1275735951"/>
      </c:barChart>
      <c:catAx>
        <c:axId val="1742317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5735951"/>
        <c:auto val="1"/>
        <c:lblAlgn val="ctr"/>
        <c:lblOffset val="100"/>
        <c:noMultiLvlLbl val="0"/>
      </c:catAx>
      <c:valAx>
        <c:axId val="1275735951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742317807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[recruitment.xlsx]Pivot!PivotTable7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96-4267-A6D6-9AF82E5508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96-4267-A6D6-9AF82E5508A6}"/>
              </c:ext>
            </c:extLst>
          </c:dPt>
          <c:cat>
            <c:strRef>
              <c:f>Pivot!$J$3:$J$5</c:f>
              <c:strCache>
                <c:ptCount val="2"/>
                <c:pt idx="0">
                  <c:v>Lolos</c:v>
                </c:pt>
                <c:pt idx="1">
                  <c:v>Tidak Lolos</c:v>
                </c:pt>
              </c:strCache>
            </c:strRef>
          </c:cat>
          <c:val>
            <c:numRef>
              <c:f>Pivot!$K$3:$K$5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96-4267-A6D6-9AF82E550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[recruitment.xlsx]Pivot!PivotTable8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511198600174974"/>
              <c:y val="5.130869058034200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908333333333332"/>
                  <c:h val="0.10171296296296294"/>
                </c:manualLayout>
              </c15:layout>
            </c:ext>
          </c:extLst>
        </c:dLbl>
      </c:pivotFmt>
      <c:pivotFmt>
        <c:idx val="2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6765091863517063E-3"/>
              <c:y val="4.0179352580927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664807524059492E-2"/>
              <c:y val="-0.111022892971711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6765091863517063E-3"/>
              <c:y val="4.0179352580927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664807524059492E-2"/>
              <c:y val="-0.111022892971711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511198600174974"/>
              <c:y val="5.130869058034200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908333333333332"/>
                  <c:h val="0.10171296296296294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6765091863517063E-3"/>
              <c:y val="4.0179352580927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664807524059492E-2"/>
              <c:y val="-0.111022892971711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511198600174974"/>
              <c:y val="5.130869058034200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908333333333332"/>
                  <c:h val="0.10171296296296294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Pivot!$N$2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33-4628-8C89-D51F282CA26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33-4628-8C89-D51F282CA26F}"/>
              </c:ext>
            </c:extLst>
          </c:dPt>
          <c:dPt>
            <c:idx val="2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33-4628-8C89-D51F282CA26F}"/>
              </c:ext>
            </c:extLst>
          </c:dPt>
          <c:dLbls>
            <c:dLbl>
              <c:idx val="0"/>
              <c:layout>
                <c:manualLayout>
                  <c:x val="4.6765091863517063E-3"/>
                  <c:y val="4.0179352580927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33-4628-8C89-D51F282CA26F}"/>
                </c:ext>
              </c:extLst>
            </c:dLbl>
            <c:dLbl>
              <c:idx val="1"/>
              <c:layout>
                <c:manualLayout>
                  <c:x val="-2.6664807524059492E-2"/>
                  <c:y val="-0.111022892971711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33-4628-8C89-D51F282CA26F}"/>
                </c:ext>
              </c:extLst>
            </c:dLbl>
            <c:dLbl>
              <c:idx val="2"/>
              <c:layout>
                <c:manualLayout>
                  <c:x val="0.14511198600174974"/>
                  <c:y val="5.130869058034200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08333333333332"/>
                      <c:h val="0.101712962962962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233-4628-8C89-D51F282CA2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Pivot!$M$3:$M$6</c:f>
              <c:strCache>
                <c:ptCount val="3"/>
                <c:pt idx="0">
                  <c:v>Job Portal</c:v>
                </c:pt>
                <c:pt idx="1">
                  <c:v>Linekdin</c:v>
                </c:pt>
                <c:pt idx="2">
                  <c:v>Employee Refferal</c:v>
                </c:pt>
              </c:strCache>
            </c:strRef>
          </c:cat>
          <c:val>
            <c:numRef>
              <c:f>Pivot!$N$3:$N$6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33-4628-8C89-D51F282CA26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-0.15582075678040244"/>
              <c:y val="-6.9320501603966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6FF"/>
          </a:solidFill>
          <a:ln>
            <a:noFill/>
          </a:ln>
          <a:effectLst/>
        </c:spPr>
        <c:dLbl>
          <c:idx val="0"/>
          <c:layout>
            <c:manualLayout>
              <c:x val="0.1709413823272091"/>
              <c:y val="5.9855278506853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-0.15582075678040244"/>
              <c:y val="-6.9320501603966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66FF"/>
          </a:solidFill>
          <a:ln>
            <a:noFill/>
          </a:ln>
          <a:effectLst/>
        </c:spPr>
        <c:dLbl>
          <c:idx val="0"/>
          <c:layout>
            <c:manualLayout>
              <c:x val="0.1709413823272091"/>
              <c:y val="5.9855278506853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70C0"/>
          </a:solidFill>
          <a:ln>
            <a:noFill/>
          </a:ln>
          <a:effectLst/>
        </c:spPr>
      </c:pivotFmt>
      <c:pivotFmt>
        <c:idx val="8"/>
        <c:spPr>
          <a:solidFill>
            <a:srgbClr val="FF66F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0555555555555555E-2"/>
          <c:y val="0.14249781277340332"/>
          <c:w val="0.93888888888888888"/>
          <c:h val="0.7561235053951588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A3-4500-8D6C-4C8B4C1EFE17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A3-4500-8D6C-4C8B4C1EFE17}"/>
              </c:ext>
            </c:extLst>
          </c:dPt>
          <c:cat>
            <c:strLit>
              <c:ptCount val="2"/>
              <c:pt idx="0">
                <c:v>Laki-Laki</c:v>
              </c:pt>
              <c:pt idx="1">
                <c:v>Perempuan</c:v>
              </c:pt>
            </c:strLit>
          </c:cat>
          <c:val>
            <c:numLit>
              <c:formatCode>General</c:formatCode>
              <c:ptCount val="2"/>
              <c:pt idx="0">
                <c:v>6</c:v>
              </c:pt>
              <c:pt idx="1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4-1DA3-4500-8D6C-4C8B4C1E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43052079"/>
        <c:axId val="2011971024"/>
      </c:barChart>
      <c:valAx>
        <c:axId val="2011971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43052079"/>
        <c:crossBetween val="between"/>
      </c:valAx>
      <c:catAx>
        <c:axId val="1643052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119710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 orientation="portrait"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66FF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6FF"/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66FF"/>
          </a:solidFill>
          <a:ln>
            <a:noFill/>
          </a:ln>
          <a:effectLst/>
        </c:spPr>
      </c:pivotFmt>
      <c:pivotFmt>
        <c:idx val="8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A7-4B26-840A-A3525864671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A7-4B26-840A-A3525864671A}"/>
              </c:ext>
            </c:extLst>
          </c:dPt>
          <c:cat>
            <c:strLit>
              <c:ptCount val="3"/>
              <c:pt idx="0">
                <c:v>Kurang Sesuai</c:v>
              </c:pt>
              <c:pt idx="1">
                <c:v>Sesuai</c:v>
              </c:pt>
              <c:pt idx="2">
                <c:v>Tidak Sesuai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4-DFA7-4B26-840A-A35258646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882463"/>
        <c:axId val="2011959024"/>
      </c:barChart>
      <c:catAx>
        <c:axId val="180388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11959024"/>
        <c:crosses val="autoZero"/>
        <c:auto val="1"/>
        <c:lblAlgn val="ctr"/>
        <c:lblOffset val="100"/>
        <c:noMultiLvlLbl val="0"/>
      </c:catAx>
      <c:valAx>
        <c:axId val="2011959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388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85483</xdr:colOff>
      <xdr:row>8</xdr:row>
      <xdr:rowOff>45590</xdr:rowOff>
    </xdr:from>
    <xdr:to>
      <xdr:col>26</xdr:col>
      <xdr:colOff>116011</xdr:colOff>
      <xdr:row>14</xdr:row>
      <xdr:rowOff>107462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DDA51D-2769-47B8-ABC6-F45E6BD6CC15}"/>
            </a:ext>
          </a:extLst>
        </xdr:cNvPr>
        <xdr:cNvSpPr/>
      </xdr:nvSpPr>
      <xdr:spPr>
        <a:xfrm>
          <a:off x="11058283" y="1518790"/>
          <a:ext cx="4907328" cy="1166772"/>
        </a:xfrm>
        <a:prstGeom prst="roundRect">
          <a:avLst>
            <a:gd name="adj" fmla="val 2193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1</xdr:colOff>
      <xdr:row>4</xdr:row>
      <xdr:rowOff>50800</xdr:rowOff>
    </xdr:from>
    <xdr:to>
      <xdr:col>27</xdr:col>
      <xdr:colOff>1</xdr:colOff>
      <xdr:row>49</xdr:row>
      <xdr:rowOff>63500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D8F462B-BB85-232C-D545-87DC384815B4}"/>
            </a:ext>
          </a:extLst>
        </xdr:cNvPr>
        <xdr:cNvSpPr/>
      </xdr:nvSpPr>
      <xdr:spPr>
        <a:xfrm>
          <a:off x="1" y="812800"/>
          <a:ext cx="16459200" cy="8585200"/>
        </a:xfrm>
        <a:prstGeom prst="roundRect">
          <a:avLst>
            <a:gd name="adj" fmla="val 0"/>
          </a:avLst>
        </a:prstGeom>
        <a:solidFill>
          <a:schemeClr val="tx2">
            <a:lumMod val="10000"/>
            <a:lumOff val="9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27</xdr:col>
      <xdr:colOff>0</xdr:colOff>
      <xdr:row>4</xdr:row>
      <xdr:rowOff>50800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B6CB558-B577-9CBA-87CC-67D144670F06}"/>
            </a:ext>
          </a:extLst>
        </xdr:cNvPr>
        <xdr:cNvGrpSpPr/>
      </xdr:nvGrpSpPr>
      <xdr:grpSpPr>
        <a:xfrm>
          <a:off x="0" y="1"/>
          <a:ext cx="16287750" cy="812799"/>
          <a:chOff x="0" y="1"/>
          <a:chExt cx="16353692" cy="1034627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C580E77-F6B9-B980-8691-56AC0539E98E}"/>
              </a:ext>
            </a:extLst>
          </xdr:cNvPr>
          <xdr:cNvSpPr/>
        </xdr:nvSpPr>
        <xdr:spPr>
          <a:xfrm>
            <a:off x="0" y="1"/>
            <a:ext cx="16353692" cy="1034627"/>
          </a:xfrm>
          <a:prstGeom prst="roundRect">
            <a:avLst>
              <a:gd name="adj" fmla="val 0"/>
            </a:avLst>
          </a:prstGeom>
          <a:solidFill>
            <a:schemeClr val="tx2">
              <a:lumMod val="75000"/>
              <a:lumOff val="25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ADA0F8E-80C1-D74C-D0C7-7F5D1AFB24C0}"/>
              </a:ext>
            </a:extLst>
          </xdr:cNvPr>
          <xdr:cNvSpPr txBox="1"/>
        </xdr:nvSpPr>
        <xdr:spPr>
          <a:xfrm>
            <a:off x="1211384" y="78154"/>
            <a:ext cx="5280057" cy="7522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id-ID" sz="2500" b="1">
                <a:solidFill>
                  <a:schemeClr val="bg2"/>
                </a:solidFill>
              </a:rPr>
              <a:t>DASHBOARD RECRUITMENT </a:t>
            </a:r>
          </a:p>
          <a:p>
            <a:pPr algn="l"/>
            <a:r>
              <a:rPr lang="id-ID" sz="1400" b="1" i="1">
                <a:solidFill>
                  <a:schemeClr val="bg2"/>
                </a:solidFill>
              </a:rPr>
              <a:t>Creat by</a:t>
            </a:r>
            <a:r>
              <a:rPr lang="id-ID" sz="1400" b="1" i="1" baseline="0">
                <a:solidFill>
                  <a:schemeClr val="bg2"/>
                </a:solidFill>
              </a:rPr>
              <a:t> Wahyudiansyah</a:t>
            </a:r>
            <a:endParaRPr lang="id-ID" sz="2500" b="1" i="1">
              <a:solidFill>
                <a:schemeClr val="bg2"/>
              </a:solidFill>
            </a:endParaRPr>
          </a:p>
        </xdr:txBody>
      </xdr:sp>
    </xdr:grpSp>
    <xdr:clientData/>
  </xdr:twoCellAnchor>
  <xdr:twoCellAnchor>
    <xdr:from>
      <xdr:col>0</xdr:col>
      <xdr:colOff>347541</xdr:colOff>
      <xdr:row>6</xdr:row>
      <xdr:rowOff>124464</xdr:rowOff>
    </xdr:from>
    <xdr:to>
      <xdr:col>7</xdr:col>
      <xdr:colOff>295582</xdr:colOff>
      <xdr:row>9</xdr:row>
      <xdr:rowOff>175749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1118C7-88F3-F002-3FD7-A7726F401D9B}"/>
            </a:ext>
          </a:extLst>
        </xdr:cNvPr>
        <xdr:cNvSpPr txBox="1"/>
      </xdr:nvSpPr>
      <xdr:spPr>
        <a:xfrm>
          <a:off x="347541" y="1267464"/>
          <a:ext cx="4215241" cy="622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3600" b="1">
              <a:solidFill>
                <a:schemeClr val="tx1"/>
              </a:solidFill>
            </a:rPr>
            <a:t>Dashboard</a:t>
          </a:r>
          <a:r>
            <a:rPr lang="id-ID" sz="3600" b="1" baseline="0">
              <a:solidFill>
                <a:schemeClr val="tx1"/>
              </a:solidFill>
            </a:rPr>
            <a:t> Overview</a:t>
          </a:r>
          <a:endParaRPr lang="id-ID" sz="36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411041</xdr:colOff>
      <xdr:row>13</xdr:row>
      <xdr:rowOff>25019</xdr:rowOff>
    </xdr:from>
    <xdr:to>
      <xdr:col>9</xdr:col>
      <xdr:colOff>100064</xdr:colOff>
      <xdr:row>30</xdr:row>
      <xdr:rowOff>3457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3DECC8B-2DAB-5A7E-5CF9-9DEAB366DFE2}"/>
            </a:ext>
          </a:extLst>
        </xdr:cNvPr>
        <xdr:cNvSpPr/>
      </xdr:nvSpPr>
      <xdr:spPr>
        <a:xfrm>
          <a:off x="411041" y="2501519"/>
          <a:ext cx="5175423" cy="3216938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600"/>
        </a:p>
      </xdr:txBody>
    </xdr:sp>
    <xdr:clientData/>
  </xdr:twoCellAnchor>
  <xdr:twoCellAnchor>
    <xdr:from>
      <xdr:col>9</xdr:col>
      <xdr:colOff>250026</xdr:colOff>
      <xdr:row>13</xdr:row>
      <xdr:rowOff>16656</xdr:rowOff>
    </xdr:from>
    <xdr:to>
      <xdr:col>17</xdr:col>
      <xdr:colOff>522016</xdr:colOff>
      <xdr:row>30</xdr:row>
      <xdr:rowOff>50799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7571D3D-52DB-010B-878B-F3AEAFA8DC7E}"/>
            </a:ext>
          </a:extLst>
        </xdr:cNvPr>
        <xdr:cNvSpPr/>
      </xdr:nvSpPr>
      <xdr:spPr>
        <a:xfrm>
          <a:off x="5736426" y="2493156"/>
          <a:ext cx="5148790" cy="3272643"/>
        </a:xfrm>
        <a:prstGeom prst="roundRect">
          <a:avLst>
            <a:gd name="adj" fmla="val 12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600"/>
        </a:p>
      </xdr:txBody>
    </xdr:sp>
    <xdr:clientData/>
  </xdr:twoCellAnchor>
  <xdr:twoCellAnchor>
    <xdr:from>
      <xdr:col>18</xdr:col>
      <xdr:colOff>105544</xdr:colOff>
      <xdr:row>13</xdr:row>
      <xdr:rowOff>33988</xdr:rowOff>
    </xdr:from>
    <xdr:to>
      <xdr:col>26</xdr:col>
      <xdr:colOff>355599</xdr:colOff>
      <xdr:row>30</xdr:row>
      <xdr:rowOff>60567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21F61CC-9BFC-AE7A-B288-041127B07979}"/>
            </a:ext>
          </a:extLst>
        </xdr:cNvPr>
        <xdr:cNvSpPr/>
      </xdr:nvSpPr>
      <xdr:spPr>
        <a:xfrm>
          <a:off x="11078344" y="2510488"/>
          <a:ext cx="5126855" cy="3265079"/>
        </a:xfrm>
        <a:prstGeom prst="roundRect">
          <a:avLst>
            <a:gd name="adj" fmla="val 12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600"/>
        </a:p>
      </xdr:txBody>
    </xdr:sp>
    <xdr:clientData/>
  </xdr:twoCellAnchor>
  <xdr:twoCellAnchor editAs="oneCell">
    <xdr:from>
      <xdr:col>0</xdr:col>
      <xdr:colOff>449013</xdr:colOff>
      <xdr:row>0</xdr:row>
      <xdr:rowOff>0</xdr:rowOff>
    </xdr:from>
    <xdr:to>
      <xdr:col>2</xdr:col>
      <xdr:colOff>50800</xdr:colOff>
      <xdr:row>3</xdr:row>
      <xdr:rowOff>119827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2A2B7B7-B744-4E78-8427-498B0C31E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036" b="23348"/>
        <a:stretch>
          <a:fillRect/>
        </a:stretch>
      </xdr:blipFill>
      <xdr:spPr>
        <a:xfrm>
          <a:off x="449013" y="0"/>
          <a:ext cx="820987" cy="691327"/>
        </a:xfrm>
        <a:prstGeom prst="ellipse">
          <a:avLst/>
        </a:prstGeom>
      </xdr:spPr>
    </xdr:pic>
    <xdr:clientData/>
  </xdr:twoCellAnchor>
  <xdr:twoCellAnchor>
    <xdr:from>
      <xdr:col>18</xdr:col>
      <xdr:colOff>165100</xdr:colOff>
      <xdr:row>5</xdr:row>
      <xdr:rowOff>25400</xdr:rowOff>
    </xdr:from>
    <xdr:to>
      <xdr:col>26</xdr:col>
      <xdr:colOff>279400</xdr:colOff>
      <xdr:row>12</xdr:row>
      <xdr:rowOff>12700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DFF3D4D9-C8DA-A0EB-80BB-34D71AEDFFAE}"/>
            </a:ext>
          </a:extLst>
        </xdr:cNvPr>
        <xdr:cNvGrpSpPr/>
      </xdr:nvGrpSpPr>
      <xdr:grpSpPr>
        <a:xfrm>
          <a:off x="11023600" y="977900"/>
          <a:ext cx="4940300" cy="1320800"/>
          <a:chOff x="11214100" y="2032000"/>
          <a:chExt cx="4991100" cy="1320800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0A0224F5-E9B3-4CCD-89E7-A22C4D0E35A0}"/>
              </a:ext>
            </a:extLst>
          </xdr:cNvPr>
          <xdr:cNvSpPr/>
        </xdr:nvSpPr>
        <xdr:spPr>
          <a:xfrm>
            <a:off x="11214100" y="2032000"/>
            <a:ext cx="4991100" cy="1320800"/>
          </a:xfrm>
          <a:prstGeom prst="roundRect">
            <a:avLst>
              <a:gd name="adj" fmla="val 11472"/>
            </a:avLst>
          </a:prstGeom>
          <a:solidFill>
            <a:schemeClr val="tx2">
              <a:lumMod val="25000"/>
              <a:lumOff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FBB7AAB2-A6AD-B338-FADB-7C19A7E46151}"/>
              </a:ext>
            </a:extLst>
          </xdr:cNvPr>
          <xdr:cNvGrpSpPr/>
        </xdr:nvGrpSpPr>
        <xdr:grpSpPr>
          <a:xfrm>
            <a:off x="11350626" y="2179150"/>
            <a:ext cx="4645555" cy="1006434"/>
            <a:chOff x="11210926" y="1569550"/>
            <a:chExt cx="4645555" cy="1006434"/>
          </a:xfrm>
        </xdr:grpSpPr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CA4E1DC9-3310-45F2-9D8A-B5002F8EEF19}"/>
                </a:ext>
              </a:extLst>
            </xdr:cNvPr>
            <xdr:cNvSpPr/>
          </xdr:nvSpPr>
          <xdr:spPr>
            <a:xfrm>
              <a:off x="11210926" y="1569550"/>
              <a:ext cx="4645555" cy="1006434"/>
            </a:xfrm>
            <a:prstGeom prst="roundRect">
              <a:avLst>
                <a:gd name="adj" fmla="val 2193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73FD19B-E9FC-49E4-A3D9-82DE3EB54595}"/>
                </a:ext>
              </a:extLst>
            </xdr:cNvPr>
            <xdr:cNvSpPr txBox="1"/>
          </xdr:nvSpPr>
          <xdr:spPr>
            <a:xfrm>
              <a:off x="11688234" y="1637688"/>
              <a:ext cx="3908954" cy="4974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d-ID" sz="1800" b="1">
                  <a:solidFill>
                    <a:schemeClr val="bg1">
                      <a:lumMod val="65000"/>
                    </a:schemeClr>
                  </a:solidFill>
                </a:rPr>
                <a:t>Open    |   Application        |     Hired</a:t>
              </a:r>
            </a:p>
          </xdr:txBody>
        </xdr:sp>
        <xdr:sp macro="" textlink="Pivot!$B$5">
          <xdr:nvSpPr>
            <xdr:cNvPr id="35" name="TextBox 34">
              <a:extLst>
                <a:ext uri="{FF2B5EF4-FFF2-40B4-BE49-F238E27FC236}">
                  <a16:creationId xmlns:a16="http://schemas.microsoft.com/office/drawing/2014/main" id="{B86CD31B-A7FC-4A34-B63A-DE312222FD41}"/>
                </a:ext>
              </a:extLst>
            </xdr:cNvPr>
            <xdr:cNvSpPr txBox="1"/>
          </xdr:nvSpPr>
          <xdr:spPr>
            <a:xfrm>
              <a:off x="11646959" y="1980141"/>
              <a:ext cx="853546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0898262-CFDF-4836-86E8-38BB25E74B0B}" type="TxLink">
                <a:rPr lang="en-US" sz="2800" b="1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2</a:t>
              </a:fld>
              <a:endParaRPr lang="id-ID" sz="5400" b="1"/>
            </a:p>
          </xdr:txBody>
        </xdr:sp>
        <xdr:sp macro="" textlink="Pivot!$H$5">
          <xdr:nvSpPr>
            <xdr:cNvPr id="36" name="TextBox 35">
              <a:extLst>
                <a:ext uri="{FF2B5EF4-FFF2-40B4-BE49-F238E27FC236}">
                  <a16:creationId xmlns:a16="http://schemas.microsoft.com/office/drawing/2014/main" id="{48BE3D5B-5BDF-46E3-ABE5-331C6BE00BBA}"/>
                </a:ext>
              </a:extLst>
            </xdr:cNvPr>
            <xdr:cNvSpPr txBox="1"/>
          </xdr:nvSpPr>
          <xdr:spPr>
            <a:xfrm>
              <a:off x="12931776" y="1998661"/>
              <a:ext cx="854604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7B91956-7C08-4B01-970E-101CF6EE01AF}" type="TxLink">
                <a:rPr lang="en-US" sz="2800" b="1" i="0" u="none" strike="noStrike">
                  <a:solidFill>
                    <a:srgbClr val="000000"/>
                  </a:solidFill>
                  <a:latin typeface="Aptos Narrow"/>
                </a:rPr>
                <a:t>10</a:t>
              </a:fld>
              <a:endParaRPr lang="id-ID" sz="5400" b="1"/>
            </a:p>
          </xdr:txBody>
        </xdr:sp>
        <xdr:sp macro="" textlink="[1]PIVOT!$H$6">
          <xdr:nvSpPr>
            <xdr:cNvPr id="37" name="TextBox 36">
              <a:extLst>
                <a:ext uri="{FF2B5EF4-FFF2-40B4-BE49-F238E27FC236}">
                  <a16:creationId xmlns:a16="http://schemas.microsoft.com/office/drawing/2014/main" id="{DE15F2C9-78C4-45B9-8467-667E8B51E979}"/>
                </a:ext>
              </a:extLst>
            </xdr:cNvPr>
            <xdr:cNvSpPr txBox="1"/>
          </xdr:nvSpPr>
          <xdr:spPr>
            <a:xfrm>
              <a:off x="14439371" y="2006599"/>
              <a:ext cx="762529" cy="4699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d-ID" sz="2500" b="1" i="0" u="none" strike="noStrike">
                  <a:solidFill>
                    <a:srgbClr val="000000"/>
                  </a:solidFill>
                  <a:latin typeface="Aptos Narrow"/>
                </a:rPr>
                <a:t>1</a:t>
              </a:r>
              <a:endParaRPr lang="id-ID" sz="2500" b="1"/>
            </a:p>
          </xdr:txBody>
        </xdr:sp>
      </xdr:grpSp>
    </xdr:grpSp>
    <xdr:clientData/>
  </xdr:twoCellAnchor>
  <xdr:twoCellAnchor>
    <xdr:from>
      <xdr:col>18</xdr:col>
      <xdr:colOff>177800</xdr:colOff>
      <xdr:row>31</xdr:row>
      <xdr:rowOff>130814</xdr:rowOff>
    </xdr:from>
    <xdr:to>
      <xdr:col>26</xdr:col>
      <xdr:colOff>368299</xdr:colOff>
      <xdr:row>48</xdr:row>
      <xdr:rowOff>177800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30011C6-5951-43AC-B2E4-D51C3A16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406400</xdr:colOff>
      <xdr:row>13</xdr:row>
      <xdr:rowOff>12700</xdr:rowOff>
    </xdr:from>
    <xdr:to>
      <xdr:col>9</xdr:col>
      <xdr:colOff>76200</xdr:colOff>
      <xdr:row>30</xdr:row>
      <xdr:rowOff>38100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8E3FD4E6-8B4C-4B3E-B8C5-1CA741C0E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406400</xdr:colOff>
      <xdr:row>31</xdr:row>
      <xdr:rowOff>38100</xdr:rowOff>
    </xdr:from>
    <xdr:to>
      <xdr:col>9</xdr:col>
      <xdr:colOff>76200</xdr:colOff>
      <xdr:row>48</xdr:row>
      <xdr:rowOff>177800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3944AFDB-B2DA-4748-A531-818910315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101600</xdr:colOff>
      <xdr:row>13</xdr:row>
      <xdr:rowOff>38100</xdr:rowOff>
    </xdr:from>
    <xdr:to>
      <xdr:col>26</xdr:col>
      <xdr:colOff>342899</xdr:colOff>
      <xdr:row>30</xdr:row>
      <xdr:rowOff>76200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706E57C8-3F27-4B56-AA9D-DFBA05209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241300</xdr:colOff>
      <xdr:row>13</xdr:row>
      <xdr:rowOff>0</xdr:rowOff>
    </xdr:from>
    <xdr:to>
      <xdr:col>17</xdr:col>
      <xdr:colOff>508000</xdr:colOff>
      <xdr:row>30</xdr:row>
      <xdr:rowOff>38100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2FC748F8-A1DE-4E72-9ADA-1A0B6013D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215900</xdr:colOff>
      <xdr:row>31</xdr:row>
      <xdr:rowOff>76200</xdr:rowOff>
    </xdr:from>
    <xdr:to>
      <xdr:col>17</xdr:col>
      <xdr:colOff>482600</xdr:colOff>
      <xdr:row>49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C81743D6-683F-4045-8CD2-72F4FA101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03346e95a27af5f/Documents/myportofolio/Portofolio/Metric.xlsx" TargetMode="External"/><Relationship Id="rId1" Type="http://schemas.openxmlformats.org/officeDocument/2006/relationships/externalLinkPath" Target="Metri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03346e95a27af5f/Documents/myportofolio/Portofolio/Payroll.xlsx" TargetMode="External"/><Relationship Id="rId1" Type="http://schemas.openxmlformats.org/officeDocument/2006/relationships/externalLinkPath" Target="Payro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hsboard"/>
      <sheetName val="Data Employee"/>
      <sheetName val="Data Karyawan (2)"/>
      <sheetName val="Monitoring Contract"/>
      <sheetName val="Data Family"/>
      <sheetName val="Reference"/>
      <sheetName val="PIVOT"/>
    </sheetNames>
    <sheetDataSet>
      <sheetData sheetId="0"/>
      <sheetData sheetId="1">
        <row r="1">
          <cell r="T1" t="str">
            <v>Divison</v>
          </cell>
        </row>
        <row r="2">
          <cell r="T2" t="str">
            <v>Supply Chain Management</v>
          </cell>
        </row>
        <row r="3">
          <cell r="T3" t="str">
            <v>Supply Chain Management</v>
          </cell>
        </row>
        <row r="4">
          <cell r="T4" t="str">
            <v>Supply Chain Management</v>
          </cell>
        </row>
        <row r="5">
          <cell r="T5" t="str">
            <v>Supply Chain Management</v>
          </cell>
        </row>
        <row r="6">
          <cell r="T6" t="str">
            <v>Supply Chain Management</v>
          </cell>
        </row>
        <row r="7">
          <cell r="T7" t="str">
            <v>Supply Chain Management</v>
          </cell>
        </row>
        <row r="8">
          <cell r="T8" t="str">
            <v>Supply Chain Management</v>
          </cell>
        </row>
        <row r="9">
          <cell r="T9" t="str">
            <v>Supply Chain Management</v>
          </cell>
        </row>
        <row r="10">
          <cell r="T10" t="str">
            <v>Supply Chain Management</v>
          </cell>
        </row>
        <row r="11">
          <cell r="T11" t="str">
            <v>Supply Chain Management</v>
          </cell>
        </row>
        <row r="12">
          <cell r="T12" t="str">
            <v>Information Technology</v>
          </cell>
        </row>
        <row r="13">
          <cell r="T13" t="str">
            <v>Information Technology</v>
          </cell>
        </row>
        <row r="14">
          <cell r="T14" t="str">
            <v>Management</v>
          </cell>
        </row>
        <row r="15">
          <cell r="T15" t="str">
            <v>Management</v>
          </cell>
        </row>
        <row r="16">
          <cell r="T16" t="str">
            <v>Management</v>
          </cell>
        </row>
        <row r="17">
          <cell r="T17" t="str">
            <v>Management</v>
          </cell>
        </row>
        <row r="18">
          <cell r="T18" t="str">
            <v>Management</v>
          </cell>
        </row>
        <row r="19">
          <cell r="T19" t="str">
            <v>Management</v>
          </cell>
        </row>
        <row r="20">
          <cell r="T20" t="str">
            <v>Management</v>
          </cell>
        </row>
        <row r="21">
          <cell r="T21" t="str">
            <v>Commercial &amp; Marketing</v>
          </cell>
        </row>
        <row r="22">
          <cell r="T22" t="str">
            <v>Commercial &amp; Marketing</v>
          </cell>
        </row>
        <row r="23">
          <cell r="T23" t="str">
            <v>Commercial &amp; Marketing</v>
          </cell>
        </row>
        <row r="24">
          <cell r="T24" t="str">
            <v>Commercial &amp; Marketing</v>
          </cell>
        </row>
        <row r="25">
          <cell r="T25" t="str">
            <v>Commercial &amp; Marketing</v>
          </cell>
        </row>
        <row r="26">
          <cell r="T26" t="str">
            <v>Commercial &amp; Marketing</v>
          </cell>
        </row>
        <row r="27">
          <cell r="T27" t="str">
            <v>Commercial &amp; Marketing</v>
          </cell>
        </row>
        <row r="28">
          <cell r="T28" t="str">
            <v>Commercial &amp; Marketing</v>
          </cell>
        </row>
        <row r="29">
          <cell r="T29" t="str">
            <v>Human Resources</v>
          </cell>
        </row>
        <row r="30">
          <cell r="T30" t="str">
            <v>Human Resources</v>
          </cell>
        </row>
        <row r="31">
          <cell r="T31" t="str">
            <v>Human Resources</v>
          </cell>
        </row>
        <row r="32">
          <cell r="T32" t="str">
            <v>Manufacturing</v>
          </cell>
        </row>
        <row r="33">
          <cell r="T33" t="str">
            <v>Manufacturing</v>
          </cell>
        </row>
        <row r="34">
          <cell r="T34" t="str">
            <v>Manufacturing</v>
          </cell>
        </row>
        <row r="35">
          <cell r="T35" t="str">
            <v>Manufacturing</v>
          </cell>
        </row>
        <row r="36">
          <cell r="T36" t="str">
            <v>Manufacturing</v>
          </cell>
        </row>
        <row r="37">
          <cell r="T37" t="str">
            <v>Manufacturing</v>
          </cell>
        </row>
        <row r="38">
          <cell r="T38" t="str">
            <v>Manufacturing</v>
          </cell>
        </row>
        <row r="39">
          <cell r="T39" t="str">
            <v>Manufacturing</v>
          </cell>
        </row>
        <row r="40">
          <cell r="T40" t="str">
            <v>Manufacturing</v>
          </cell>
        </row>
        <row r="41">
          <cell r="T41" t="str">
            <v>Manufacturing</v>
          </cell>
        </row>
        <row r="42">
          <cell r="T42" t="str">
            <v>Manufacturing</v>
          </cell>
        </row>
        <row r="43">
          <cell r="T43" t="str">
            <v>Manufacturing</v>
          </cell>
        </row>
        <row r="44">
          <cell r="T44" t="str">
            <v>Manufacturing</v>
          </cell>
        </row>
        <row r="45">
          <cell r="T45" t="str">
            <v>Manufacturing</v>
          </cell>
        </row>
        <row r="46">
          <cell r="T46" t="str">
            <v>Manufacturing</v>
          </cell>
        </row>
        <row r="47">
          <cell r="T47" t="str">
            <v>Manufacturing</v>
          </cell>
        </row>
        <row r="48">
          <cell r="T48" t="str">
            <v>Manufacturing</v>
          </cell>
        </row>
        <row r="49">
          <cell r="T49" t="str">
            <v>Manufacturing</v>
          </cell>
        </row>
        <row r="50">
          <cell r="T50" t="str">
            <v>Manufacturing</v>
          </cell>
        </row>
        <row r="51">
          <cell r="T51" t="str">
            <v>Supply Chain Management</v>
          </cell>
        </row>
        <row r="52">
          <cell r="T52" t="str">
            <v>Supply Chain Management</v>
          </cell>
        </row>
        <row r="53">
          <cell r="T53" t="str">
            <v>Supply Chain Management</v>
          </cell>
        </row>
        <row r="54">
          <cell r="T54" t="str">
            <v>Supply Chain Management</v>
          </cell>
        </row>
        <row r="55">
          <cell r="T55" t="str">
            <v>Supply Chain Management</v>
          </cell>
        </row>
        <row r="56">
          <cell r="T56" t="str">
            <v>Supply Chain Management</v>
          </cell>
        </row>
        <row r="57">
          <cell r="T57" t="str">
            <v>Supply Chain Management</v>
          </cell>
        </row>
        <row r="58">
          <cell r="T58" t="str">
            <v>Supply Chain Management</v>
          </cell>
        </row>
        <row r="59">
          <cell r="T59" t="str">
            <v>Supply Chain Management</v>
          </cell>
        </row>
        <row r="60">
          <cell r="T60" t="str">
            <v>Supply Chain Management</v>
          </cell>
        </row>
        <row r="61">
          <cell r="T61" t="str">
            <v>Information Technology</v>
          </cell>
        </row>
        <row r="62">
          <cell r="T62" t="str">
            <v>Information Technology</v>
          </cell>
        </row>
        <row r="63">
          <cell r="T63" t="str">
            <v>Information Technology</v>
          </cell>
        </row>
        <row r="64">
          <cell r="T64" t="str">
            <v>Manufacturing</v>
          </cell>
        </row>
        <row r="65">
          <cell r="T65" t="str">
            <v>Supply Chain Management</v>
          </cell>
        </row>
        <row r="66">
          <cell r="T66" t="str">
            <v>Supply Chain Management</v>
          </cell>
        </row>
        <row r="67">
          <cell r="T67" t="str">
            <v>Supply Chain Management</v>
          </cell>
        </row>
        <row r="68">
          <cell r="T68" t="str">
            <v>Supply Chain Management</v>
          </cell>
        </row>
        <row r="69">
          <cell r="T69" t="str">
            <v>Supply Chain Management</v>
          </cell>
        </row>
        <row r="70">
          <cell r="T70" t="str">
            <v>Supply Chain Management</v>
          </cell>
        </row>
        <row r="71">
          <cell r="T71" t="str">
            <v>Supply Chain Management</v>
          </cell>
        </row>
        <row r="72">
          <cell r="T72" t="str">
            <v>Supply Chain Management</v>
          </cell>
        </row>
        <row r="73">
          <cell r="T73" t="str">
            <v>Supply Chain Management</v>
          </cell>
        </row>
        <row r="74">
          <cell r="T74" t="str">
            <v>Manufacturing</v>
          </cell>
        </row>
        <row r="75">
          <cell r="T75" t="str">
            <v>Manufacturing</v>
          </cell>
        </row>
        <row r="76">
          <cell r="T76" t="str">
            <v>Manufacturing</v>
          </cell>
        </row>
        <row r="77">
          <cell r="T77" t="str">
            <v>Manufacturing</v>
          </cell>
        </row>
        <row r="78">
          <cell r="T78" t="str">
            <v>Manufacturing</v>
          </cell>
        </row>
        <row r="79">
          <cell r="T79" t="str">
            <v>Manufacturing</v>
          </cell>
        </row>
        <row r="80">
          <cell r="T80" t="str">
            <v>Manufacturing</v>
          </cell>
        </row>
        <row r="81">
          <cell r="T81" t="str">
            <v>Manufacturing</v>
          </cell>
        </row>
        <row r="82">
          <cell r="T82" t="str">
            <v>Manufacturing</v>
          </cell>
        </row>
        <row r="83">
          <cell r="T83" t="str">
            <v>Manufacturing</v>
          </cell>
        </row>
        <row r="84">
          <cell r="T84" t="str">
            <v>Manufacturing</v>
          </cell>
        </row>
        <row r="85">
          <cell r="T85" t="str">
            <v>Manufacturing</v>
          </cell>
        </row>
        <row r="86">
          <cell r="T86" t="str">
            <v>Manufacturing</v>
          </cell>
        </row>
        <row r="87">
          <cell r="T87" t="str">
            <v>Manufacturing</v>
          </cell>
        </row>
        <row r="88">
          <cell r="T88" t="str">
            <v>Manufacturing</v>
          </cell>
        </row>
        <row r="89">
          <cell r="T89" t="str">
            <v>Manufacturing</v>
          </cell>
        </row>
        <row r="90">
          <cell r="T90" t="str">
            <v>Manufacturing</v>
          </cell>
        </row>
        <row r="91">
          <cell r="T91" t="str">
            <v>Manufacturing</v>
          </cell>
        </row>
        <row r="92">
          <cell r="T92" t="str">
            <v>Manufacturing</v>
          </cell>
        </row>
        <row r="93">
          <cell r="T93" t="str">
            <v>Manufacturing</v>
          </cell>
        </row>
        <row r="94">
          <cell r="T94" t="str">
            <v>Manufacturing</v>
          </cell>
        </row>
        <row r="95">
          <cell r="T95" t="str">
            <v>Manufacturing</v>
          </cell>
        </row>
        <row r="96">
          <cell r="T96" t="str">
            <v>Manufacturing</v>
          </cell>
        </row>
        <row r="97">
          <cell r="T97" t="str">
            <v>Manufacturing</v>
          </cell>
        </row>
        <row r="98">
          <cell r="T98" t="str">
            <v>Manufacturing</v>
          </cell>
        </row>
        <row r="99">
          <cell r="T99" t="str">
            <v>Manufacturing</v>
          </cell>
        </row>
        <row r="100">
          <cell r="T100" t="str">
            <v>Manufacturing</v>
          </cell>
        </row>
        <row r="101">
          <cell r="T101" t="str">
            <v>Manufacturing</v>
          </cell>
        </row>
        <row r="102">
          <cell r="T102" t="str">
            <v>Manufacturing</v>
          </cell>
        </row>
        <row r="103">
          <cell r="T103" t="str">
            <v>Manufacturing</v>
          </cell>
        </row>
        <row r="104">
          <cell r="T104" t="str">
            <v>Manufacturing</v>
          </cell>
        </row>
        <row r="105">
          <cell r="T105" t="str">
            <v>Manufacturing</v>
          </cell>
        </row>
        <row r="106">
          <cell r="T106" t="str">
            <v>Manufacturing</v>
          </cell>
        </row>
        <row r="107">
          <cell r="T107" t="str">
            <v>Manufacturing</v>
          </cell>
        </row>
        <row r="108">
          <cell r="T108" t="str">
            <v>Manufacturing</v>
          </cell>
        </row>
        <row r="109">
          <cell r="T109" t="str">
            <v>Manufacturing</v>
          </cell>
        </row>
        <row r="110">
          <cell r="T110" t="str">
            <v>Manufacturing</v>
          </cell>
        </row>
        <row r="111">
          <cell r="T111" t="str">
            <v>Manufacturing</v>
          </cell>
        </row>
        <row r="112">
          <cell r="T112" t="str">
            <v>Manufacturing</v>
          </cell>
        </row>
        <row r="113">
          <cell r="T113" t="str">
            <v>Manufacturing</v>
          </cell>
        </row>
        <row r="114">
          <cell r="T114" t="str">
            <v>Manufacturing</v>
          </cell>
        </row>
        <row r="115">
          <cell r="T115" t="str">
            <v>Manufacturing</v>
          </cell>
        </row>
        <row r="116">
          <cell r="T116" t="str">
            <v>Manufacturing</v>
          </cell>
        </row>
        <row r="117">
          <cell r="T117" t="str">
            <v>Manufacturing</v>
          </cell>
        </row>
        <row r="118">
          <cell r="T118" t="str">
            <v>Manufacturing</v>
          </cell>
        </row>
        <row r="119">
          <cell r="T119" t="str">
            <v>Manufacturing</v>
          </cell>
        </row>
        <row r="120">
          <cell r="T120" t="str">
            <v>Manufacturing</v>
          </cell>
        </row>
        <row r="121">
          <cell r="T121" t="str">
            <v>Manufacturing</v>
          </cell>
        </row>
        <row r="122">
          <cell r="T122" t="str">
            <v>Manufacturing</v>
          </cell>
        </row>
        <row r="123">
          <cell r="T123" t="str">
            <v>Manufacturing</v>
          </cell>
        </row>
        <row r="124">
          <cell r="T124" t="str">
            <v>Manufacturing</v>
          </cell>
        </row>
        <row r="125">
          <cell r="T125" t="str">
            <v>Manufacturing</v>
          </cell>
        </row>
        <row r="126">
          <cell r="T126" t="str">
            <v>Manufacturing</v>
          </cell>
        </row>
        <row r="127">
          <cell r="T127" t="str">
            <v>Manufacturing</v>
          </cell>
        </row>
        <row r="128">
          <cell r="T128" t="str">
            <v>Manufacturing</v>
          </cell>
        </row>
        <row r="129">
          <cell r="T129" t="str">
            <v>Manufacturing</v>
          </cell>
        </row>
        <row r="130">
          <cell r="T130" t="str">
            <v>Manufacturing</v>
          </cell>
        </row>
        <row r="131">
          <cell r="T131" t="str">
            <v>Manufacturing</v>
          </cell>
        </row>
        <row r="132">
          <cell r="T132" t="str">
            <v>Manufacturing</v>
          </cell>
        </row>
        <row r="133">
          <cell r="T133" t="str">
            <v>Manufacturing</v>
          </cell>
        </row>
        <row r="134">
          <cell r="T134" t="str">
            <v>Manufacturing</v>
          </cell>
        </row>
        <row r="135">
          <cell r="T135" t="str">
            <v>Manufacturing</v>
          </cell>
        </row>
        <row r="136">
          <cell r="T136" t="str">
            <v>Manufacturing</v>
          </cell>
        </row>
        <row r="137">
          <cell r="T137" t="str">
            <v>Manufacturing</v>
          </cell>
        </row>
        <row r="138">
          <cell r="T138" t="str">
            <v>Manufacturing</v>
          </cell>
        </row>
        <row r="139">
          <cell r="T139" t="str">
            <v>Manufacturing</v>
          </cell>
        </row>
        <row r="140">
          <cell r="T140" t="str">
            <v>Manufacturing</v>
          </cell>
        </row>
        <row r="141">
          <cell r="T141" t="str">
            <v>Manufacturing</v>
          </cell>
        </row>
        <row r="142">
          <cell r="T142" t="str">
            <v>Manufacturing</v>
          </cell>
        </row>
        <row r="143">
          <cell r="T143" t="str">
            <v>Manufacturing</v>
          </cell>
        </row>
        <row r="144">
          <cell r="T144" t="str">
            <v>Manufacturing</v>
          </cell>
        </row>
        <row r="145">
          <cell r="T145" t="str">
            <v>Manufacturing</v>
          </cell>
        </row>
        <row r="146">
          <cell r="T146" t="str">
            <v>Manufacturing</v>
          </cell>
        </row>
        <row r="147">
          <cell r="T147" t="str">
            <v>Manufacturing</v>
          </cell>
        </row>
        <row r="148">
          <cell r="T148" t="str">
            <v>Manufacturing</v>
          </cell>
        </row>
        <row r="149">
          <cell r="T149" t="str">
            <v>Manufacturing</v>
          </cell>
        </row>
        <row r="150">
          <cell r="T150" t="str">
            <v>Manufacturing</v>
          </cell>
        </row>
        <row r="151">
          <cell r="T151" t="str">
            <v>Manufacturing</v>
          </cell>
        </row>
        <row r="152">
          <cell r="T152" t="str">
            <v>Manufacturing</v>
          </cell>
        </row>
        <row r="153">
          <cell r="T153" t="str">
            <v>Manufacturing</v>
          </cell>
        </row>
        <row r="154">
          <cell r="T154" t="str">
            <v>Manufacturing</v>
          </cell>
        </row>
        <row r="155">
          <cell r="T155" t="str">
            <v>Manufacturing</v>
          </cell>
        </row>
        <row r="156">
          <cell r="T156" t="str">
            <v>Manufacturing</v>
          </cell>
        </row>
        <row r="157">
          <cell r="T157" t="str">
            <v>Manufacturing</v>
          </cell>
        </row>
        <row r="158">
          <cell r="T158" t="str">
            <v>Manufacturing</v>
          </cell>
        </row>
        <row r="159">
          <cell r="T159" t="str">
            <v>Manufacturing</v>
          </cell>
        </row>
        <row r="160">
          <cell r="T160" t="str">
            <v>Manufacturing</v>
          </cell>
        </row>
        <row r="161">
          <cell r="T161" t="str">
            <v>Manufacturing</v>
          </cell>
        </row>
        <row r="162">
          <cell r="T162" t="str">
            <v>Manufacturing</v>
          </cell>
        </row>
        <row r="163">
          <cell r="T163" t="str">
            <v>Manufacturing</v>
          </cell>
        </row>
        <row r="164">
          <cell r="T164" t="str">
            <v>Manufacturing</v>
          </cell>
        </row>
        <row r="165">
          <cell r="T165" t="str">
            <v>Manufacturing</v>
          </cell>
        </row>
        <row r="166">
          <cell r="T166" t="str">
            <v>Manufacturing</v>
          </cell>
        </row>
        <row r="167">
          <cell r="T167" t="str">
            <v>Manufacturing</v>
          </cell>
        </row>
        <row r="168">
          <cell r="T168" t="str">
            <v>Manufacturing</v>
          </cell>
        </row>
        <row r="169">
          <cell r="T169" t="str">
            <v>Manufacturing</v>
          </cell>
        </row>
        <row r="170">
          <cell r="T170" t="str">
            <v>Manufacturing</v>
          </cell>
        </row>
        <row r="171">
          <cell r="T171" t="str">
            <v>Manufacturing</v>
          </cell>
        </row>
        <row r="172">
          <cell r="T172" t="str">
            <v>Manufacturing</v>
          </cell>
        </row>
        <row r="173">
          <cell r="T173" t="str">
            <v>Manufacturing</v>
          </cell>
        </row>
        <row r="174">
          <cell r="T174" t="str">
            <v>Manufacturing</v>
          </cell>
        </row>
        <row r="175">
          <cell r="T175" t="str">
            <v>Manufacturing</v>
          </cell>
        </row>
        <row r="176">
          <cell r="T176" t="str">
            <v>Human Resources</v>
          </cell>
        </row>
        <row r="177">
          <cell r="T177" t="str">
            <v>Corporate Governance</v>
          </cell>
        </row>
        <row r="178">
          <cell r="T178" t="str">
            <v>Corporate Governance</v>
          </cell>
        </row>
        <row r="179">
          <cell r="T179" t="str">
            <v>Corporate Governance</v>
          </cell>
        </row>
        <row r="180">
          <cell r="T180" t="str">
            <v>Commercial &amp; Marketing</v>
          </cell>
        </row>
        <row r="181">
          <cell r="T181" t="str">
            <v>Commercial &amp; Marketing</v>
          </cell>
        </row>
        <row r="182">
          <cell r="T182" t="str">
            <v>Commercial &amp; Marketing</v>
          </cell>
        </row>
        <row r="183">
          <cell r="T183" t="str">
            <v>Commercial &amp; Marketing</v>
          </cell>
        </row>
        <row r="184">
          <cell r="T184" t="str">
            <v>Commercial &amp; Marketing</v>
          </cell>
        </row>
        <row r="185">
          <cell r="T185" t="str">
            <v>Commercial &amp; Marketing</v>
          </cell>
        </row>
        <row r="186">
          <cell r="T186" t="str">
            <v>Commercial &amp; Marketing</v>
          </cell>
        </row>
        <row r="187">
          <cell r="T187" t="str">
            <v>Commercial &amp; Marketing</v>
          </cell>
        </row>
        <row r="188">
          <cell r="T188" t="str">
            <v>Commercial &amp; Marketing</v>
          </cell>
        </row>
        <row r="189">
          <cell r="T189" t="str">
            <v>Legal &amp; Compliance</v>
          </cell>
        </row>
        <row r="190">
          <cell r="T190" t="str">
            <v>Legal &amp; Compliance</v>
          </cell>
        </row>
        <row r="191">
          <cell r="T191" t="str">
            <v>Legal &amp; Compliance</v>
          </cell>
        </row>
        <row r="192">
          <cell r="T192" t="str">
            <v>Legal &amp; Compliance</v>
          </cell>
        </row>
        <row r="193">
          <cell r="T193" t="str">
            <v>Human Resources</v>
          </cell>
        </row>
        <row r="194">
          <cell r="T194" t="str">
            <v>Manufacturing</v>
          </cell>
        </row>
        <row r="195">
          <cell r="T195" t="str">
            <v>Manufacturing</v>
          </cell>
        </row>
        <row r="196">
          <cell r="T196" t="str">
            <v>Manufacturing</v>
          </cell>
        </row>
        <row r="197">
          <cell r="T197" t="str">
            <v>Manufacturing</v>
          </cell>
        </row>
        <row r="198">
          <cell r="T198" t="str">
            <v>Manufacturing</v>
          </cell>
        </row>
        <row r="199">
          <cell r="T199" t="str">
            <v>Manufacturing</v>
          </cell>
        </row>
        <row r="200">
          <cell r="T200" t="str">
            <v>Manufacturing</v>
          </cell>
        </row>
        <row r="201">
          <cell r="T201" t="str">
            <v>Manufacturing</v>
          </cell>
        </row>
        <row r="202">
          <cell r="T202" t="str">
            <v>Manufacturing</v>
          </cell>
        </row>
        <row r="203">
          <cell r="T203" t="str">
            <v>Manufacturing</v>
          </cell>
        </row>
        <row r="204">
          <cell r="T204" t="str">
            <v>Manufacturing</v>
          </cell>
        </row>
        <row r="205">
          <cell r="T205" t="str">
            <v>Manufacturing</v>
          </cell>
        </row>
        <row r="206">
          <cell r="T206" t="str">
            <v>Manufacturing</v>
          </cell>
        </row>
        <row r="207">
          <cell r="T207" t="str">
            <v>Manufacturing</v>
          </cell>
        </row>
        <row r="208">
          <cell r="T208" t="str">
            <v>Manufacturing</v>
          </cell>
        </row>
        <row r="209">
          <cell r="T209" t="str">
            <v>Manufacturing</v>
          </cell>
        </row>
        <row r="210">
          <cell r="T210" t="str">
            <v>Manufacturing</v>
          </cell>
        </row>
        <row r="211">
          <cell r="T211" t="str">
            <v>Manufacturing</v>
          </cell>
        </row>
        <row r="212">
          <cell r="T212" t="str">
            <v>Manufacturing</v>
          </cell>
        </row>
        <row r="213">
          <cell r="T213" t="str">
            <v>Manufacturing</v>
          </cell>
        </row>
        <row r="214">
          <cell r="T214" t="str">
            <v>Manufacturing</v>
          </cell>
        </row>
        <row r="215">
          <cell r="T215" t="str">
            <v>Manufacturing</v>
          </cell>
        </row>
        <row r="216">
          <cell r="T216" t="str">
            <v>Manufacturing</v>
          </cell>
        </row>
        <row r="217">
          <cell r="T217" t="str">
            <v>Manufacturing</v>
          </cell>
        </row>
        <row r="218">
          <cell r="T218" t="str">
            <v>Manufacturing</v>
          </cell>
        </row>
        <row r="219">
          <cell r="T219" t="str">
            <v>Information Technology</v>
          </cell>
        </row>
        <row r="220">
          <cell r="T220" t="str">
            <v>Information Technology</v>
          </cell>
        </row>
        <row r="221">
          <cell r="T221" t="str">
            <v>Information Technology</v>
          </cell>
        </row>
        <row r="222">
          <cell r="T222" t="str">
            <v>Information Technology</v>
          </cell>
        </row>
        <row r="223">
          <cell r="T223" t="str">
            <v>Information Technology</v>
          </cell>
        </row>
        <row r="224">
          <cell r="T224" t="str">
            <v>Supply Chain Management</v>
          </cell>
        </row>
        <row r="225">
          <cell r="T225" t="str">
            <v>Supply Chain Management</v>
          </cell>
        </row>
        <row r="226">
          <cell r="T226" t="str">
            <v>Supply Chain Management</v>
          </cell>
        </row>
        <row r="227">
          <cell r="T227" t="str">
            <v>Supply Chain Management</v>
          </cell>
        </row>
        <row r="228">
          <cell r="T228" t="str">
            <v>Supply Chain Management</v>
          </cell>
        </row>
        <row r="229">
          <cell r="T229" t="str">
            <v>Human Resources</v>
          </cell>
        </row>
        <row r="230">
          <cell r="T230" t="str">
            <v>Information Technology</v>
          </cell>
        </row>
        <row r="231">
          <cell r="T231" t="str">
            <v>Information Technology</v>
          </cell>
        </row>
        <row r="232">
          <cell r="T232" t="str">
            <v>Commercial &amp; Marketing</v>
          </cell>
        </row>
        <row r="233">
          <cell r="T233" t="str">
            <v>Manufacturing</v>
          </cell>
        </row>
        <row r="234">
          <cell r="T234" t="str">
            <v>Manufacturing</v>
          </cell>
        </row>
        <row r="235">
          <cell r="T235" t="str">
            <v>Manufacturing</v>
          </cell>
        </row>
        <row r="236">
          <cell r="T236" t="str">
            <v>Manufacturing</v>
          </cell>
        </row>
        <row r="237">
          <cell r="T237" t="str">
            <v>Manufacturing</v>
          </cell>
        </row>
        <row r="238">
          <cell r="T238" t="str">
            <v>Manufacturing</v>
          </cell>
        </row>
        <row r="239">
          <cell r="T239" t="str">
            <v>Manufacturing</v>
          </cell>
        </row>
        <row r="240">
          <cell r="T240" t="str">
            <v>Manufacturing</v>
          </cell>
        </row>
        <row r="241">
          <cell r="T241" t="str">
            <v>Manufacturing</v>
          </cell>
        </row>
        <row r="242">
          <cell r="T242" t="str">
            <v>Manufacturing</v>
          </cell>
        </row>
        <row r="243">
          <cell r="T243" t="str">
            <v>Management</v>
          </cell>
        </row>
        <row r="244">
          <cell r="T244" t="str">
            <v>Commercial &amp; Marketing</v>
          </cell>
        </row>
        <row r="245">
          <cell r="T245" t="str">
            <v>Supply Chain Management</v>
          </cell>
        </row>
        <row r="246">
          <cell r="T246" t="str">
            <v>Supply Chain Management</v>
          </cell>
        </row>
        <row r="247">
          <cell r="T247" t="str">
            <v>Supply Chain Management</v>
          </cell>
        </row>
        <row r="248">
          <cell r="T248" t="str">
            <v>Supply Chain Management</v>
          </cell>
        </row>
        <row r="249">
          <cell r="T249" t="str">
            <v>Human Resources</v>
          </cell>
        </row>
        <row r="250">
          <cell r="T250" t="str">
            <v>Human Resources</v>
          </cell>
        </row>
        <row r="251">
          <cell r="T251" t="str">
            <v>Human Resources</v>
          </cell>
        </row>
        <row r="252">
          <cell r="T252" t="str">
            <v>Human Resources</v>
          </cell>
        </row>
        <row r="253">
          <cell r="T253" t="str">
            <v>Human Resources</v>
          </cell>
        </row>
        <row r="254">
          <cell r="T254" t="str">
            <v>Human Resources</v>
          </cell>
        </row>
        <row r="255">
          <cell r="T255" t="str">
            <v>Human Resources</v>
          </cell>
        </row>
        <row r="256">
          <cell r="T256" t="str">
            <v>Human Resources</v>
          </cell>
        </row>
        <row r="257">
          <cell r="T257" t="str">
            <v>Management</v>
          </cell>
        </row>
        <row r="258">
          <cell r="T258" t="str">
            <v>Information Technology</v>
          </cell>
        </row>
        <row r="259">
          <cell r="T259" t="str">
            <v>Information Technology</v>
          </cell>
        </row>
        <row r="260">
          <cell r="T260" t="str">
            <v>Supply Chain Management</v>
          </cell>
        </row>
        <row r="261">
          <cell r="T261" t="str">
            <v>Supply Chain Management</v>
          </cell>
        </row>
        <row r="262">
          <cell r="T262" t="str">
            <v>Supply Chain Management</v>
          </cell>
        </row>
        <row r="263">
          <cell r="T263" t="str">
            <v>Supply Chain Management</v>
          </cell>
        </row>
        <row r="264">
          <cell r="T264" t="str">
            <v>Supply Chain Management</v>
          </cell>
        </row>
        <row r="265">
          <cell r="T265" t="str">
            <v>Supply Chain Management</v>
          </cell>
        </row>
        <row r="266">
          <cell r="T266" t="str">
            <v>Supply Chain Management</v>
          </cell>
        </row>
        <row r="267">
          <cell r="T267" t="str">
            <v>Supply Chain Management</v>
          </cell>
        </row>
        <row r="268">
          <cell r="T268" t="str">
            <v>Supply Chain Management</v>
          </cell>
        </row>
        <row r="269">
          <cell r="T269" t="str">
            <v>Supply Chain Management</v>
          </cell>
        </row>
        <row r="270">
          <cell r="T270" t="str">
            <v>Supply Chain Management</v>
          </cell>
        </row>
        <row r="271">
          <cell r="T271" t="str">
            <v>Supply Chain Management</v>
          </cell>
        </row>
        <row r="272">
          <cell r="T272" t="str">
            <v>Supply Chain Management</v>
          </cell>
        </row>
        <row r="273">
          <cell r="T273" t="str">
            <v>Supply Chain Management</v>
          </cell>
        </row>
        <row r="274">
          <cell r="T274" t="str">
            <v>Management</v>
          </cell>
        </row>
        <row r="275">
          <cell r="T275" t="str">
            <v>Management</v>
          </cell>
        </row>
        <row r="276">
          <cell r="T276" t="str">
            <v>Management</v>
          </cell>
        </row>
        <row r="277">
          <cell r="T277" t="str">
            <v>Management</v>
          </cell>
        </row>
        <row r="278">
          <cell r="T278" t="str">
            <v>Management</v>
          </cell>
        </row>
        <row r="279">
          <cell r="T279" t="str">
            <v>Management</v>
          </cell>
        </row>
        <row r="280">
          <cell r="T280" t="str">
            <v>Human Resources</v>
          </cell>
        </row>
        <row r="281">
          <cell r="T281" t="str">
            <v>Supply Chain Management</v>
          </cell>
        </row>
        <row r="282">
          <cell r="T282" t="str">
            <v>Information Technology</v>
          </cell>
        </row>
        <row r="283">
          <cell r="T283" t="str">
            <v>Supply Chain Management</v>
          </cell>
        </row>
        <row r="284">
          <cell r="T284" t="str">
            <v>Manufacturing</v>
          </cell>
        </row>
        <row r="285">
          <cell r="T285" t="str">
            <v>Manufacturing</v>
          </cell>
        </row>
        <row r="286">
          <cell r="T286" t="str">
            <v>Manufacturing</v>
          </cell>
        </row>
        <row r="287">
          <cell r="T287" t="str">
            <v>Manufacturing</v>
          </cell>
        </row>
        <row r="288">
          <cell r="T288" t="str">
            <v>Manufacturing</v>
          </cell>
        </row>
        <row r="289">
          <cell r="T289" t="str">
            <v>Human Resources</v>
          </cell>
        </row>
        <row r="290">
          <cell r="T290" t="str">
            <v>Human Resources</v>
          </cell>
        </row>
        <row r="291">
          <cell r="T291" t="str">
            <v>Human Resources</v>
          </cell>
        </row>
        <row r="292">
          <cell r="T292" t="str">
            <v>Human Resources</v>
          </cell>
        </row>
        <row r="293">
          <cell r="T293" t="str">
            <v>Human Resources</v>
          </cell>
        </row>
        <row r="294">
          <cell r="T294" t="str">
            <v>Human Resources</v>
          </cell>
        </row>
        <row r="295">
          <cell r="T295" t="str">
            <v>Human Resources</v>
          </cell>
        </row>
        <row r="296">
          <cell r="T296" t="str">
            <v>Human Resources</v>
          </cell>
        </row>
        <row r="297">
          <cell r="T297" t="str">
            <v>Supply Chain Management</v>
          </cell>
        </row>
        <row r="298">
          <cell r="T298" t="str">
            <v>Supply Chain Management</v>
          </cell>
        </row>
        <row r="299">
          <cell r="T299" t="str">
            <v>Supply Chain Management</v>
          </cell>
        </row>
        <row r="300">
          <cell r="T300" t="str">
            <v>Management</v>
          </cell>
        </row>
        <row r="301">
          <cell r="T301" t="str">
            <v>Management</v>
          </cell>
        </row>
        <row r="302">
          <cell r="T302" t="str">
            <v>Management</v>
          </cell>
        </row>
        <row r="303">
          <cell r="T303" t="str">
            <v>Management</v>
          </cell>
        </row>
        <row r="304">
          <cell r="T304" t="str">
            <v>Management</v>
          </cell>
        </row>
        <row r="305">
          <cell r="T305" t="str">
            <v>Management</v>
          </cell>
        </row>
        <row r="306">
          <cell r="T306" t="str">
            <v>Human Resources</v>
          </cell>
        </row>
        <row r="307">
          <cell r="T307" t="str">
            <v>Human Resources</v>
          </cell>
        </row>
        <row r="308">
          <cell r="T308" t="str">
            <v>Supply Chain Management</v>
          </cell>
        </row>
        <row r="309">
          <cell r="T309" t="str">
            <v>Management</v>
          </cell>
        </row>
        <row r="310">
          <cell r="T310" t="str">
            <v>Management</v>
          </cell>
        </row>
        <row r="311">
          <cell r="T311" t="str">
            <v>Management</v>
          </cell>
        </row>
        <row r="312">
          <cell r="T312" t="str">
            <v>Management</v>
          </cell>
        </row>
        <row r="313">
          <cell r="T313" t="str">
            <v>Management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hsboard"/>
      <sheetName val="Dsboard"/>
      <sheetName val="Payslip"/>
      <sheetName val="Payroll"/>
      <sheetName val="Insentif"/>
      <sheetName val="Potongan"/>
      <sheetName val="Lembur"/>
      <sheetName val="Kehadiran"/>
      <sheetName val="Absensi"/>
      <sheetName val="Upah"/>
      <sheetName val="Struktur Upah"/>
      <sheetName val="Data Employee"/>
      <sheetName val="Referensi"/>
      <sheetName val="Kebijakan"/>
      <sheetName val="Kalender"/>
      <sheetName val="TER"/>
      <sheetName val="PIVO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yu Diansyah" refreshedDate="46243.572225578704" createdVersion="8" refreshedVersion="8" minRefreshableVersion="3" recordCount="2" xr:uid="{18BE9AE3-1857-4E83-B14B-B933F530A647}">
  <cacheSource type="worksheet">
    <worksheetSource name="Table1"/>
  </cacheSource>
  <cacheFields count="9">
    <cacheField name="Posisi" numFmtId="0">
      <sharedItems count="2">
        <s v="Inventory Control &amp; Planning Administrator"/>
        <s v="Operator Produksi"/>
      </sharedItems>
    </cacheField>
    <cacheField name="Departemen" numFmtId="0">
      <sharedItems/>
    </cacheField>
    <cacheField name="Open Date" numFmtId="164">
      <sharedItems containsSemiMixedTypes="0" containsNonDate="0" containsDate="1" containsString="0" minDate="2026-07-05T00:00:00" maxDate="2026-08-06T00:00:00" count="2">
        <d v="2026-07-05T00:00:00"/>
        <d v="2026-08-05T00:00:00"/>
      </sharedItems>
      <fieldGroup par="8"/>
    </cacheField>
    <cacheField name="Target Join Date" numFmtId="164">
      <sharedItems containsSemiMixedTypes="0" containsNonDate="0" containsDate="1" containsString="0" minDate="2026-08-10T00:00:00" maxDate="2026-09-07T00:00:00"/>
    </cacheField>
    <cacheField name="Vacancy Status" numFmtId="0">
      <sharedItems count="2">
        <s v="Filled"/>
        <s v="Open"/>
      </sharedItems>
    </cacheField>
    <cacheField name="Target Hire" numFmtId="0">
      <sharedItems containsSemiMixedTypes="0" containsString="0" containsNumber="1" containsInteger="1" minValue="1" maxValue="1"/>
    </cacheField>
    <cacheField name="Time to fill" numFmtId="165">
      <sharedItems containsSemiMixedTypes="0" containsString="0" containsNumber="1" containsInteger="1" minValue="32" maxValue="36"/>
    </cacheField>
    <cacheField name="Days (Open Date)" numFmtId="0" databaseField="0">
      <fieldGroup base="2">
        <rangePr groupBy="days" startDate="2026-07-05T00:00:00" endDate="2026-08-06T00:00:00"/>
        <groupItems count="368">
          <s v="&lt;05/07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ei"/>
          <s v="02-Mei"/>
          <s v="03-Mei"/>
          <s v="04-Mei"/>
          <s v="05-Mei"/>
          <s v="06-Mei"/>
          <s v="07-Mei"/>
          <s v="08-Mei"/>
          <s v="09-Mei"/>
          <s v="10-Mei"/>
          <s v="11-Mei"/>
          <s v="12-Mei"/>
          <s v="13-Mei"/>
          <s v="14-Mei"/>
          <s v="15-Mei"/>
          <s v="16-Mei"/>
          <s v="17-Mei"/>
          <s v="18-Mei"/>
          <s v="19-Mei"/>
          <s v="20-Mei"/>
          <s v="21-Mei"/>
          <s v="22-Mei"/>
          <s v="23-Mei"/>
          <s v="24-Mei"/>
          <s v="25-Mei"/>
          <s v="26-Mei"/>
          <s v="27-Mei"/>
          <s v="28-Mei"/>
          <s v="29-Mei"/>
          <s v="30-Mei"/>
          <s v="31-Mei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u"/>
          <s v="02-Agu"/>
          <s v="03-Agu"/>
          <s v="04-Agu"/>
          <s v="05-Agu"/>
          <s v="06-Agu"/>
          <s v="07-Agu"/>
          <s v="08-Agu"/>
          <s v="09-Agu"/>
          <s v="10-Agu"/>
          <s v="11-Agu"/>
          <s v="12-Agu"/>
          <s v="13-Agu"/>
          <s v="14-Agu"/>
          <s v="15-Agu"/>
          <s v="16-Agu"/>
          <s v="17-Agu"/>
          <s v="18-Agu"/>
          <s v="19-Agu"/>
          <s v="20-Agu"/>
          <s v="21-Agu"/>
          <s v="22-Agu"/>
          <s v="23-Agu"/>
          <s v="24-Agu"/>
          <s v="25-Agu"/>
          <s v="26-Agu"/>
          <s v="27-Agu"/>
          <s v="28-Agu"/>
          <s v="29-Agu"/>
          <s v="30-Agu"/>
          <s v="31-Agu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kt"/>
          <s v="02-Okt"/>
          <s v="03-Okt"/>
          <s v="04-Okt"/>
          <s v="05-Okt"/>
          <s v="06-Okt"/>
          <s v="07-Okt"/>
          <s v="08-Okt"/>
          <s v="09-Okt"/>
          <s v="10-Okt"/>
          <s v="11-Okt"/>
          <s v="12-Okt"/>
          <s v="13-Okt"/>
          <s v="14-Okt"/>
          <s v="15-Okt"/>
          <s v="16-Okt"/>
          <s v="17-Okt"/>
          <s v="18-Okt"/>
          <s v="19-Okt"/>
          <s v="20-Okt"/>
          <s v="21-Okt"/>
          <s v="22-Okt"/>
          <s v="23-Okt"/>
          <s v="24-Okt"/>
          <s v="25-Okt"/>
          <s v="26-Okt"/>
          <s v="27-Okt"/>
          <s v="28-Okt"/>
          <s v="29-Okt"/>
          <s v="30-Okt"/>
          <s v="31-Ok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s"/>
          <s v="02-Des"/>
          <s v="03-Des"/>
          <s v="04-Des"/>
          <s v="05-Des"/>
          <s v="06-Des"/>
          <s v="07-Des"/>
          <s v="08-Des"/>
          <s v="09-Des"/>
          <s v="10-Des"/>
          <s v="11-Des"/>
          <s v="12-Des"/>
          <s v="13-Des"/>
          <s v="14-Des"/>
          <s v="15-Des"/>
          <s v="16-Des"/>
          <s v="17-Des"/>
          <s v="18-Des"/>
          <s v="19-Des"/>
          <s v="20-Des"/>
          <s v="21-Des"/>
          <s v="22-Des"/>
          <s v="23-Des"/>
          <s v="24-Des"/>
          <s v="25-Des"/>
          <s v="26-Des"/>
          <s v="27-Des"/>
          <s v="28-Des"/>
          <s v="29-Des"/>
          <s v="30-Des"/>
          <s v="31-Des"/>
          <s v="&gt;06/08/2026"/>
        </groupItems>
      </fieldGroup>
    </cacheField>
    <cacheField name="Months (Open Date)" numFmtId="0" databaseField="0">
      <fieldGroup base="2">
        <rangePr groupBy="months" startDate="2026-07-05T00:00:00" endDate="2026-08-06T00:00:00"/>
        <groupItems count="14">
          <s v="&lt;05/07/2026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06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yu Diansyah" refreshedDate="46243.581273032411" createdVersion="8" refreshedVersion="8" minRefreshableVersion="3" recordCount="10" xr:uid="{7EB1E53F-B679-40A2-8A0E-09173179FC62}">
  <cacheSource type="worksheet">
    <worksheetSource name="Table3"/>
  </cacheSource>
  <cacheFields count="6">
    <cacheField name="Nama Lengkap" numFmtId="0">
      <sharedItems count="10">
        <s v="Arumi Nasution"/>
        <s v="Dimas Firmansyah"/>
        <s v="Deon Setya"/>
        <s v="Aldi Sabtudi"/>
        <s v="Ryan Anugrah Putra"/>
        <s v="Delima Raharja"/>
        <s v="Putri Ismawati"/>
        <s v="Ziva Anumiya"/>
        <s v="Hilda Pertiwi"/>
        <s v="Gofar Hilman"/>
      </sharedItems>
    </cacheField>
    <cacheField name="Posisi yang dilamar" numFmtId="0">
      <sharedItems/>
    </cacheField>
    <cacheField name="Tanggal Screening" numFmtId="14">
      <sharedItems containsSemiMixedTypes="0" containsNonDate="0" containsDate="1" containsString="0" minDate="2026-07-09T00:00:00" maxDate="2026-07-19T00:00:00"/>
    </cacheField>
    <cacheField name="Pendidikan" numFmtId="0">
      <sharedItems/>
    </cacheField>
    <cacheField name="Pengalaman" numFmtId="0">
      <sharedItems/>
    </cacheField>
    <cacheField name="Screening Status" numFmtId="0">
      <sharedItems count="2">
        <s v="Lolos"/>
        <s v="Tidak Lol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yu Diansyah" refreshedDate="46243.586209606481" createdVersion="8" refreshedVersion="8" minRefreshableVersion="3" recordCount="10" xr:uid="{4CAE8B41-879B-4BE9-82E8-61BD5391B1CB}">
  <cacheSource type="worksheet">
    <worksheetSource name="Table2"/>
  </cacheSource>
  <cacheFields count="14">
    <cacheField name="Nama Lengkap" numFmtId="0">
      <sharedItems/>
    </cacheField>
    <cacheField name="Jenis Kelamin" numFmtId="0">
      <sharedItems/>
    </cacheField>
    <cacheField name="Tempat Lahir" numFmtId="0">
      <sharedItems/>
    </cacheField>
    <cacheField name="Tanggal Lahir" numFmtId="14">
      <sharedItems containsSemiMixedTypes="0" containsNonDate="0" containsDate="1" containsString="0" minDate="1997-12-13T00:00:00" maxDate="2004-12-18T00:00:00"/>
    </cacheField>
    <cacheField name="Pendidikan" numFmtId="0">
      <sharedItems/>
    </cacheField>
    <cacheField name="Pengalaman Kerja" numFmtId="0">
      <sharedItems/>
    </cacheField>
    <cacheField name="Lama Pengalaman" numFmtId="0">
      <sharedItems/>
    </cacheField>
    <cacheField name="Alamat / Tempat Tinggal" numFmtId="0">
      <sharedItems/>
    </cacheField>
    <cacheField name="Nomor Handphone" numFmtId="0">
      <sharedItems/>
    </cacheField>
    <cacheField name="Email" numFmtId="0">
      <sharedItems/>
    </cacheField>
    <cacheField name="Posisi yang dilamar" numFmtId="0">
      <sharedItems count="2">
        <s v="Inventory Control &amp; Planning Administrator"/>
        <s v="Operator Produksi"/>
      </sharedItems>
    </cacheField>
    <cacheField name="Tanggal Memalar" numFmtId="14">
      <sharedItems containsSemiMixedTypes="0" containsNonDate="0" containsDate="1" containsString="0" minDate="2026-07-09T00:00:00" maxDate="2026-07-19T00:00:00"/>
    </cacheField>
    <cacheField name="Sumber" numFmtId="164">
      <sharedItems count="3">
        <s v="Job Portal"/>
        <s v="Employee Refferal"/>
        <s v="Linekdin"/>
      </sharedItems>
    </cacheField>
    <cacheField name="Curiculum Vitae (CV)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Demand &amp; Supply"/>
    <x v="0"/>
    <d v="2026-08-10T00:00:00"/>
    <x v="0"/>
    <n v="1"/>
    <n v="36"/>
  </r>
  <r>
    <x v="1"/>
    <s v="Production"/>
    <x v="1"/>
    <d v="2026-09-06T00:00:00"/>
    <x v="1"/>
    <n v="1"/>
    <n v="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Inventory Control &amp; Planning Administrator"/>
    <d v="2026-07-09T00:00:00"/>
    <s v="Sesuai"/>
    <s v="Sesuai"/>
    <x v="0"/>
  </r>
  <r>
    <x v="1"/>
    <s v="Operator Produksi"/>
    <d v="2026-07-10T00:00:00"/>
    <s v="Sesuai"/>
    <s v="Sesuai"/>
    <x v="0"/>
  </r>
  <r>
    <x v="2"/>
    <s v="Operator Produksi"/>
    <d v="2026-07-11T00:00:00"/>
    <s v="Sesuai"/>
    <s v="Kurang Sesuai"/>
    <x v="1"/>
  </r>
  <r>
    <x v="3"/>
    <s v="Operator Produksi"/>
    <d v="2026-07-12T00:00:00"/>
    <s v="Sesuai"/>
    <s v="Tidak Sesuai"/>
    <x v="1"/>
  </r>
  <r>
    <x v="4"/>
    <s v="Operator Produksi"/>
    <d v="2026-07-13T00:00:00"/>
    <s v="Sesuai"/>
    <s v="Tidak Sesuai"/>
    <x v="1"/>
  </r>
  <r>
    <x v="5"/>
    <s v="Inventory Control &amp; Planning Administrator"/>
    <d v="2026-07-14T00:00:00"/>
    <s v="Sesuai"/>
    <s v="Kurang Sesuai"/>
    <x v="1"/>
  </r>
  <r>
    <x v="6"/>
    <s v="Operator Produksi"/>
    <d v="2026-07-15T00:00:00"/>
    <s v="Sesuai"/>
    <s v="Tidak Sesuai"/>
    <x v="1"/>
  </r>
  <r>
    <x v="7"/>
    <s v="Inventory Control &amp; Planning Administrator"/>
    <d v="2026-07-16T00:00:00"/>
    <s v="Sesuai"/>
    <s v="Tidak Sesuai"/>
    <x v="1"/>
  </r>
  <r>
    <x v="8"/>
    <s v="Inventory Control &amp; Planning Administrator"/>
    <d v="2026-07-17T00:00:00"/>
    <s v="Sesuai"/>
    <s v="Tidak Sesuai"/>
    <x v="1"/>
  </r>
  <r>
    <x v="9"/>
    <s v="Inventory Control &amp; Planning Administrator"/>
    <d v="2026-07-18T00:00:00"/>
    <s v="Sesuai"/>
    <s v="Tidak Sesuai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rumi Nasution"/>
    <s v="Perempuan"/>
    <s v="Surabaya"/>
    <d v="1997-12-13T00:00:00"/>
    <s v="S1 Manajemen"/>
    <s v="Admin PPIC"/>
    <s v="2 Tahun"/>
    <s v="DKI Jakarta"/>
    <s v="0895-6666-9999"/>
    <s v="aruminasution@dumi.com"/>
    <x v="0"/>
    <d v="2026-07-09T00:00:00"/>
    <x v="0"/>
    <s v="link.cv"/>
  </r>
  <r>
    <s v="Dimas Firmansyah"/>
    <s v="Laki-Laki"/>
    <s v="Bandung"/>
    <d v="1999-02-14T00:00:00"/>
    <s v="SMK Otomotif"/>
    <s v="Operator Produksi"/>
    <s v="1 Tahun"/>
    <s v="DKI Jakarta"/>
    <s v="0895-6666-10000"/>
    <s v="Dimas@dumi.com"/>
    <x v="1"/>
    <d v="2026-07-10T00:00:00"/>
    <x v="1"/>
    <s v="link.cv"/>
  </r>
  <r>
    <s v="Deon Setya"/>
    <s v="Laki-Laki"/>
    <s v="Surabaya"/>
    <d v="2004-07-15T00:00:00"/>
    <s v="SMK Otomotif"/>
    <s v="Kitchen Staff"/>
    <s v="2 Tahun"/>
    <s v="DKI Jakarta"/>
    <s v="0895-6666-10001"/>
    <s v="deon@dumi.com"/>
    <x v="1"/>
    <d v="2026-07-11T00:00:00"/>
    <x v="0"/>
    <s v="link.cv"/>
  </r>
  <r>
    <s v="Aldi Sabtudi"/>
    <s v="Laki-Laki"/>
    <s v="Surabaya"/>
    <d v="2004-12-16T00:00:00"/>
    <s v="SMK Otomotif"/>
    <s v="Koki"/>
    <s v="3 Tahun"/>
    <s v="DKI Jakarta"/>
    <s v="0895-6666-10002"/>
    <s v="aldi@dumi.com"/>
    <x v="1"/>
    <d v="2026-07-12T00:00:00"/>
    <x v="0"/>
    <s v="link.cv"/>
  </r>
  <r>
    <s v="Ryan Anugrah Putra"/>
    <s v="Laki-Laki"/>
    <s v="Subang"/>
    <d v="2004-12-17T00:00:00"/>
    <s v="SMK RPL"/>
    <s v="Barista"/>
    <s v="9 Bulan"/>
    <s v="DKI Jakarta"/>
    <s v="0895-6666-10003"/>
    <s v="ryan@dumi.com"/>
    <x v="1"/>
    <d v="2026-07-13T00:00:00"/>
    <x v="0"/>
    <s v="link.cv"/>
  </r>
  <r>
    <s v="Delima Raharja"/>
    <s v="Perempuan"/>
    <s v="Jakarta"/>
    <d v="2003-12-18T00:00:00"/>
    <s v="SMA IPA"/>
    <s v="Staff Administrasi"/>
    <s v="1 Tahun"/>
    <s v="DKI Jakarta"/>
    <s v="0895-6666-10004"/>
    <s v="delima@dumi.com"/>
    <x v="0"/>
    <d v="2026-07-14T00:00:00"/>
    <x v="2"/>
    <s v="link.cv"/>
  </r>
  <r>
    <s v="Putri Ismawati"/>
    <s v="Perempuan"/>
    <s v="Cikarang"/>
    <d v="2002-12-19T00:00:00"/>
    <s v="SMK Pariwisata"/>
    <s v="Kasir"/>
    <s v="1 Tahun"/>
    <s v="DKI Jakarta"/>
    <s v="0895-6666-10005"/>
    <s v="putri@dumi.com"/>
    <x v="1"/>
    <d v="2026-07-15T00:00:00"/>
    <x v="2"/>
    <s v="link.cv"/>
  </r>
  <r>
    <s v="Ziva Anumiya"/>
    <s v="Perempuan"/>
    <s v="Jakarta"/>
    <d v="2001-12-20T00:00:00"/>
    <s v="S1 Ekonomi"/>
    <s v="MD Store"/>
    <s v="2 Tahun"/>
    <s v="DKI Jakarta"/>
    <s v="0895-6666-10006"/>
    <s v="ziva@dumi.com"/>
    <x v="0"/>
    <d v="2026-07-16T00:00:00"/>
    <x v="2"/>
    <s v="link.cv"/>
  </r>
  <r>
    <s v="Hilda Pertiwi"/>
    <s v="Perempuan"/>
    <s v="Jakarta"/>
    <d v="1999-12-21T00:00:00"/>
    <s v="D3 Administrasi Perkantoran"/>
    <s v="Kasir"/>
    <s v="2 Tahun"/>
    <s v="DKI Jakarta"/>
    <s v="0895-6666-10007"/>
    <s v="hilda@dumi.com"/>
    <x v="0"/>
    <d v="2026-07-17T00:00:00"/>
    <x v="2"/>
    <s v="link.cv"/>
  </r>
  <r>
    <s v="Gofar Hilman"/>
    <s v="Laki-Laki"/>
    <s v="Bandung"/>
    <d v="2000-09-17T00:00:00"/>
    <s v="S1 Teknik Industri"/>
    <s v="Freshgraduated"/>
    <s v="-"/>
    <s v="DKI Jakarta"/>
    <s v="0895-6666-10008"/>
    <s v="gofar@dumi.com"/>
    <x v="0"/>
    <d v="2026-07-18T00:00:00"/>
    <x v="2"/>
    <s v="link.c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0713A-2396-474A-99CC-4E76806BA3AB}" name="PivotTable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8:K11" firstHeaderRow="1" firstDataRow="1" firstDataCol="1"/>
  <pivotFields count="9">
    <pivotField showAll="0"/>
    <pivotField showAll="0"/>
    <pivotField numFmtId="164" showAll="0">
      <items count="3">
        <item x="0"/>
        <item x="1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dataField="1" showAll="0"/>
    <pivotField numFmtId="165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arget Hir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45789-E7A1-42D9-A8DE-9F531551D01F}" name="PivotTable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:N6" firstHeaderRow="1" firstDataRow="1" firstDataCol="1"/>
  <pivotFields count="14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sisi yang dilamar" fld="10" subtotal="count" baseField="0" baseItem="0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0CB7C-9823-47BA-9364-5F57AD21C33D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2:K5" firstHeaderRow="1" firstDataRow="1" firstDataCol="1"/>
  <pivotFields count="6">
    <pivotField dataField="1" showAll="0"/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Nama Lengkap" fld="0" subtotal="count" baseField="0" baseItem="0"/>
  </dataField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676E0-2F21-4B8F-BA84-0886C33EA421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2:H5" firstHeaderRow="1" firstDataRow="1" firstDataCol="1"/>
  <pivotFields count="14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4"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Nama Lengkap" fld="0" subtotal="count" baseField="0" baseItem="0"/>
  </dataFields>
  <chartFormats count="1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4A81E-B2F8-4DB1-8E27-A8E85CEBF1D5}" name="PivotTable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2:E7" firstHeaderRow="1" firstDataRow="1" firstDataCol="1"/>
  <pivotFields count="9">
    <pivotField axis="axisRow" showAll="0">
      <items count="3">
        <item x="0"/>
        <item x="1"/>
        <item t="default"/>
      </items>
    </pivotField>
    <pivotField showAll="0"/>
    <pivotField numFmtId="164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0"/>
    <field x="7"/>
    <field x="8"/>
  </rowFields>
  <rowItems count="5">
    <i>
      <x/>
    </i>
    <i r="1">
      <x v="187"/>
    </i>
    <i>
      <x v="1"/>
    </i>
    <i r="1">
      <x v="218"/>
    </i>
    <i t="grand">
      <x/>
    </i>
  </rowItems>
  <colItems count="1">
    <i/>
  </colItems>
  <dataFields count="1">
    <dataField name="Sum of Time to fill" fld="6" baseField="0" baseItem="0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C8727-85D7-4229-B737-6C7402485FDA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5" firstHeaderRow="1" firstDataRow="1" firstDataCol="1"/>
  <pivotFields count="9">
    <pivotField axis="axisRow" showAll="0">
      <items count="3">
        <item x="0"/>
        <item x="1"/>
        <item t="default"/>
      </items>
    </pivotField>
    <pivotField dataField="1" showAll="0"/>
    <pivotField numFmtId="164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Departeme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73F1B-98C8-4F66-A3D1-D6E7D5F3CF1F}" name="Table1" displayName="Table1" ref="A1:G3" totalsRowShown="0">
  <autoFilter ref="A1:G3" xr:uid="{B8773F1B-98C8-4F66-A3D1-D6E7D5F3CF1F}"/>
  <tableColumns count="7">
    <tableColumn id="2" xr3:uid="{0E10D9FE-E5BA-4ECD-A9C5-22405FC689A1}" name="Posisi"/>
    <tableColumn id="3" xr3:uid="{CA24516D-8412-4457-95B9-78791AD80E37}" name="Departemen"/>
    <tableColumn id="4" xr3:uid="{2E700D74-C746-4852-9E66-312A6E2593DF}" name="Open Date" dataDxfId="15"/>
    <tableColumn id="5" xr3:uid="{BBB46C91-8464-4739-82E6-C2C9D881C836}" name="Target Join Date" dataDxfId="14"/>
    <tableColumn id="6" xr3:uid="{350FA961-BB42-4DA1-B9EC-4C9B8A43ED4D}" name="Vacancy Status"/>
    <tableColumn id="7" xr3:uid="{B469649F-FD75-4FEF-ACCF-8706FE124651}" name="Target Hire"/>
    <tableColumn id="8" xr3:uid="{9804ACC7-6185-421C-B7CD-CB588708A7E6}" name="Time to fill" dataDxfId="0">
      <calculatedColumnFormula>Table1[[#This Row],[Target Join Date]]-Table1[[#This Row],[Open Date]]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495C07-2F72-49B1-BBB9-8D165487213B}" name="Table2" displayName="Table2" ref="A1:N11" totalsRowShown="0">
  <autoFilter ref="A1:N11" xr:uid="{5D495C07-2F72-49B1-BBB9-8D165487213B}"/>
  <tableColumns count="14">
    <tableColumn id="1" xr3:uid="{FD9BF359-4671-430C-9B85-4E1D480A925A}" name="Nama Lengkap"/>
    <tableColumn id="11" xr3:uid="{9A4D6313-E677-4351-99FC-E786A8F8E936}" name="Jenis Kelamin"/>
    <tableColumn id="12" xr3:uid="{C7C8CDD7-E243-4E7B-93BE-E90F7E393144}" name="Tempat Lahir"/>
    <tableColumn id="9" xr3:uid="{6689E80D-B053-4888-BCCB-7D78D689482B}" name="Tanggal Lahir" dataDxfId="13"/>
    <tableColumn id="10" xr3:uid="{3A2BC226-EBA1-4547-8FCD-751930327BF7}" name="Pendidikan"/>
    <tableColumn id="16" xr3:uid="{A616B081-D160-4ABA-B7AD-5F60F04EE25D}" name="Pengalaman Kerja"/>
    <tableColumn id="17" xr3:uid="{4668758D-E401-47F6-8C8F-E018B421C892}" name="Lama Pengalaman"/>
    <tableColumn id="15" xr3:uid="{33A8ACE7-F52A-4E09-8CA3-CE570F3F7B98}" name="Alamat / Tempat Tinggal"/>
    <tableColumn id="14" xr3:uid="{4557275C-7AC7-4648-B950-21D36B8C3EE1}" name="Nomor Handphone"/>
    <tableColumn id="13" xr3:uid="{1BEDC735-D5BB-4D87-9117-F5DAB2F10292}" name="Email" dataCellStyle="Hyperlink"/>
    <tableColumn id="2" xr3:uid="{F23D9087-C15F-4642-81B2-204526AB0F7B}" name="Posisi yang dilamar"/>
    <tableColumn id="3" xr3:uid="{1CD188A3-5700-4A0C-9344-82595C46919E}" name="Tanggal Memalar" dataDxfId="12"/>
    <tableColumn id="4" xr3:uid="{770A0FCE-B33C-4D86-AD01-AD90034BC9E9}" name="Sumber" dataDxfId="11"/>
    <tableColumn id="5" xr3:uid="{BDA21DAE-BD05-45E0-964C-82EFBAB76AB5}" name="Curiculum Vitae (CV)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399180-E251-443B-A212-BDA993E19CF0}" name="Table3" displayName="Table3" ref="A1:F11" totalsRowShown="0">
  <autoFilter ref="A1:F11" xr:uid="{67399180-E251-443B-A212-BDA993E19CF0}"/>
  <tableColumns count="6">
    <tableColumn id="1" xr3:uid="{10D50318-580E-43AE-AB24-4A0F94CE77B0}" name="Nama Lengkap"/>
    <tableColumn id="2" xr3:uid="{B3373A89-E9BB-4E4B-9EA1-1F1E87046A94}" name="Posisi yang dilamar"/>
    <tableColumn id="3" xr3:uid="{7E712908-146F-4B71-B46C-4328A90DD292}" name="Tanggal Screening" dataDxfId="9"/>
    <tableColumn id="4" xr3:uid="{E5782B5E-9CA0-47E6-8477-1F08EB3458D9}" name="Pendidikan"/>
    <tableColumn id="5" xr3:uid="{64DCBBAC-066F-467D-AD83-B11E61470BFA}" name="Pengalaman"/>
    <tableColumn id="7" xr3:uid="{10FCF567-B2B9-4797-8026-0D70DB8B0534}" name="Screening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2751B-3442-4C03-8AE4-A96F2E766744}" name="Table5" displayName="Table5" ref="A1:J3" totalsRowShown="0">
  <autoFilter ref="A1:J3" xr:uid="{6D32751B-3442-4C03-8AE4-A96F2E766744}"/>
  <tableColumns count="10">
    <tableColumn id="1" xr3:uid="{BB05DD71-DFB5-4165-9B1B-99B862C45215}" name="Nama Kandidat"/>
    <tableColumn id="2" xr3:uid="{2C2E5250-928A-4A2B-B994-A8A53C58AF37}" name="Posisi yang dilamar"/>
    <tableColumn id="3" xr3:uid="{E6634C31-1BA8-4EDD-BEBB-15DBF31E952C}" name="Tanggal Interview" dataDxfId="8"/>
    <tableColumn id="4" xr3:uid="{CE05CDFB-B85A-412D-839D-3C48995C06F7}" name="HR Interview"/>
    <tableColumn id="9" xr3:uid="{2C62500E-BA55-4B12-AA45-A8ADA989D25C}" name="Tanggal Interview2"/>
    <tableColumn id="10" xr3:uid="{80F93C56-4F43-4BF6-88E5-BE577C1C60B0}" name="User Intervew"/>
    <tableColumn id="11" xr3:uid="{66CC644F-67F0-421C-9CCB-00E76BC40330}" name="Departemen"/>
    <tableColumn id="6" xr3:uid="{42E339FB-9911-476C-A15E-9B080B4E678A}" name="Nilai"/>
    <tableColumn id="7" xr3:uid="{02115A82-FE78-4465-829D-FBF06D357CE4}" name="Interview Status"/>
    <tableColumn id="8" xr3:uid="{9AFA3675-D386-4BB1-B0EC-BDE53E12E4A3}" name="Catat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918864-BB9A-419F-BF44-2A0820FA0B75}" name="Table6" displayName="Table6" ref="A1:J2" totalsRowShown="0">
  <autoFilter ref="A1:J2" xr:uid="{65918864-BB9A-419F-BF44-2A0820FA0B75}"/>
  <tableColumns count="10">
    <tableColumn id="1" xr3:uid="{6BB7558C-0C79-418F-996F-DFDA5DE74734}" name="Nama Lengkap"/>
    <tableColumn id="2" xr3:uid="{FB1730E6-18B0-4D29-B5CF-8D177F45870E}" name="Posisi yang dilamar"/>
    <tableColumn id="3" xr3:uid="{ED65C6D7-DC97-4960-9DCA-DCC0816E5EC5}" name="Tanggal Offer" dataDxfId="7"/>
    <tableColumn id="4" xr3:uid="{88137AB9-3B34-4762-B0F1-221CA0265FB9}" name="Upah Pokok" dataDxfId="6"/>
    <tableColumn id="7" xr3:uid="{C79B8DDA-0749-4D16-82FF-105264499988}" name="Tunjangan Tetap" dataDxfId="5"/>
    <tableColumn id="8" xr3:uid="{848C89AE-7151-437E-B6EB-A1A66443FC89}" name="Uang Makan" dataDxfId="4"/>
    <tableColumn id="9" xr3:uid="{A0C06B8E-E42D-471F-9107-9A042638E60C}" name="Uang Transport" dataDxfId="3"/>
    <tableColumn id="5" xr3:uid="{12FA7EB0-B29C-4A64-B5ED-64CC98FAC791}" name="Contract Date" dataDxfId="2"/>
    <tableColumn id="6" xr3:uid="{87BA0229-7012-4F94-A093-06F3730518CA}" name="Join Date" dataDxfId="1"/>
    <tableColumn id="10" xr3:uid="{EE83DE6B-511A-464C-9300-F8B3EE9AC62F}" name="Offer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F4542D-85F3-409A-AADA-73D39385A363}" name="Table7" displayName="Table7" ref="A1:A3" totalsRowShown="0">
  <autoFilter ref="A1:A3" xr:uid="{E7F4542D-85F3-409A-AADA-73D39385A363}"/>
  <tableColumns count="1">
    <tableColumn id="1" xr3:uid="{731EDCD8-2001-43A3-A6E1-06190534FDA4}" name="Jenis Kelam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074BEB-78E6-4084-8C3E-4D46705C4AE1}" name="Table8" displayName="Table8" ref="C1:C4" totalsRowShown="0">
  <autoFilter ref="C1:C4" xr:uid="{6B074BEB-78E6-4084-8C3E-4D46705C4AE1}"/>
  <tableColumns count="1">
    <tableColumn id="1" xr3:uid="{9AF50E25-AA05-409D-BD04-3891A7C93EF5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42D4DE-3D74-421E-8157-E00D7C41384A}" name="Table9" displayName="Table9" ref="E1:E4" totalsRowShown="0">
  <autoFilter ref="E1:E4" xr:uid="{5242D4DE-3D74-421E-8157-E00D7C41384A}"/>
  <tableColumns count="1">
    <tableColumn id="1" xr3:uid="{6CF877F8-E748-4E4F-BED4-4BC56E3C77BA}" name="Screening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80892F-947A-4A26-AC90-3CCBD48028B7}" name="Table10" displayName="Table10" ref="G1:G3" totalsRowShown="0">
  <autoFilter ref="G1:G3" xr:uid="{E280892F-947A-4A26-AC90-3CCBD48028B7}"/>
  <tableColumns count="1">
    <tableColumn id="1" xr3:uid="{01BCAC17-F727-4F89-AE9E-9B08B184B682}" name="Interview 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3B26B2-78B8-4F92-A61B-FDAA307CC99E}" name="Table11" displayName="Table11" ref="I1:I3" totalsRowShown="0">
  <autoFilter ref="I1:I3" xr:uid="{3C3B26B2-78B8-4F92-A61B-FDAA307CC99E}"/>
  <tableColumns count="1">
    <tableColumn id="1" xr3:uid="{740138B4-44B7-4130-80B8-64FAF338DF11}" name="Offer 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97FE8E-3932-46DC-96A6-57C71400C13B}" name="Table12" displayName="Table12" ref="K1:K3" totalsRowShown="0">
  <autoFilter ref="K1:K3" xr:uid="{9397FE8E-3932-46DC-96A6-57C71400C13B}"/>
  <tableColumns count="1">
    <tableColumn id="1" xr3:uid="{C985CB57-45C0-46BF-9641-D5E0241699F5}" name="Vacancy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ziva@dumi.com" TargetMode="External"/><Relationship Id="rId3" Type="http://schemas.openxmlformats.org/officeDocument/2006/relationships/hyperlink" Target="mailto:deon@dumi.com" TargetMode="External"/><Relationship Id="rId7" Type="http://schemas.openxmlformats.org/officeDocument/2006/relationships/hyperlink" Target="mailto:putri@dumi.com" TargetMode="External"/><Relationship Id="rId2" Type="http://schemas.openxmlformats.org/officeDocument/2006/relationships/hyperlink" Target="mailto:Dimas@dumi.com" TargetMode="External"/><Relationship Id="rId1" Type="http://schemas.openxmlformats.org/officeDocument/2006/relationships/hyperlink" Target="mailto:aruminasution@dumi.com" TargetMode="External"/><Relationship Id="rId6" Type="http://schemas.openxmlformats.org/officeDocument/2006/relationships/hyperlink" Target="mailto:delima@dumi.com" TargetMode="External"/><Relationship Id="rId11" Type="http://schemas.openxmlformats.org/officeDocument/2006/relationships/table" Target="../tables/table2.xml"/><Relationship Id="rId5" Type="http://schemas.openxmlformats.org/officeDocument/2006/relationships/hyperlink" Target="mailto:ryan@dumi.com" TargetMode="External"/><Relationship Id="rId10" Type="http://schemas.openxmlformats.org/officeDocument/2006/relationships/hyperlink" Target="mailto:gofar@dumi.com" TargetMode="External"/><Relationship Id="rId4" Type="http://schemas.openxmlformats.org/officeDocument/2006/relationships/hyperlink" Target="mailto:aldi@dumi.com" TargetMode="External"/><Relationship Id="rId9" Type="http://schemas.openxmlformats.org/officeDocument/2006/relationships/hyperlink" Target="mailto:hilda@dumi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8ED8-E8F0-4E97-AB6B-92A4E9663817}">
  <sheetPr>
    <pageSetUpPr fitToPage="1"/>
  </sheetPr>
  <dimension ref="AC1:AF24"/>
  <sheetViews>
    <sheetView showGridLines="0" showRowColHeaders="0" tabSelected="1" view="pageBreakPreview" zoomScale="40" zoomScaleNormal="50" zoomScaleSheetLayoutView="40" workbookViewId="0">
      <selection activeCell="AC26" sqref="AC26"/>
    </sheetView>
  </sheetViews>
  <sheetFormatPr defaultRowHeight="14.5" x14ac:dyDescent="0.35"/>
  <cols>
    <col min="6" max="6" width="8.7265625" customWidth="1"/>
    <col min="21" max="22" width="8.7265625" customWidth="1"/>
    <col min="29" max="29" width="23" bestFit="1" customWidth="1"/>
  </cols>
  <sheetData>
    <row r="1" spans="29:29" x14ac:dyDescent="0.35">
      <c r="AC1" s="9"/>
    </row>
    <row r="24" spans="32:32" x14ac:dyDescent="0.35">
      <c r="AF24" s="5"/>
    </row>
  </sheetData>
  <sheetProtection sheet="1" objects="1" scenarios="1"/>
  <pageMargins left="0.23622047244094488" right="0.23622047244094488" top="0.74803149606299213" bottom="0.74803149606299213" header="0.31496062992125984" footer="0.31496062992125984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15B0-1F4F-45B1-A7B9-8C7BF6E759F8}">
  <dimension ref="A1:G3"/>
  <sheetViews>
    <sheetView workbookViewId="0">
      <selection activeCell="A2" sqref="A2:G3"/>
    </sheetView>
  </sheetViews>
  <sheetFormatPr defaultRowHeight="14.5" x14ac:dyDescent="0.35"/>
  <cols>
    <col min="1" max="1" width="35.26953125" bestFit="1" customWidth="1"/>
    <col min="2" max="2" width="14.90625" bestFit="1" customWidth="1"/>
    <col min="3" max="3" width="14.08984375" bestFit="1" customWidth="1"/>
    <col min="4" max="4" width="16.453125" bestFit="1" customWidth="1"/>
    <col min="5" max="5" width="16" bestFit="1" customWidth="1"/>
    <col min="6" max="6" width="11.7265625" customWidth="1"/>
    <col min="7" max="7" width="11.81640625" bestFit="1" customWidth="1"/>
  </cols>
  <sheetData>
    <row r="1" spans="1:7" x14ac:dyDescent="0.35">
      <c r="A1" t="s">
        <v>90</v>
      </c>
      <c r="B1" t="s">
        <v>105</v>
      </c>
      <c r="C1" t="s">
        <v>0</v>
      </c>
      <c r="D1" t="s">
        <v>122</v>
      </c>
      <c r="E1" t="s">
        <v>121</v>
      </c>
      <c r="F1" t="s">
        <v>1</v>
      </c>
      <c r="G1" s="4" t="s">
        <v>13</v>
      </c>
    </row>
    <row r="2" spans="1:7" x14ac:dyDescent="0.35">
      <c r="A2" t="s">
        <v>5</v>
      </c>
      <c r="B2" t="s">
        <v>7</v>
      </c>
      <c r="C2" s="3">
        <v>46208</v>
      </c>
      <c r="D2" s="3">
        <v>46244</v>
      </c>
      <c r="E2" t="s">
        <v>2</v>
      </c>
      <c r="F2">
        <v>1</v>
      </c>
      <c r="G2" s="4">
        <f>Table1[[#This Row],[Target Join Date]]-Table1[[#This Row],[Open Date]]</f>
        <v>36</v>
      </c>
    </row>
    <row r="3" spans="1:7" x14ac:dyDescent="0.35">
      <c r="A3" t="s">
        <v>6</v>
      </c>
      <c r="B3" t="s">
        <v>8</v>
      </c>
      <c r="C3" s="3">
        <v>46239</v>
      </c>
      <c r="D3" s="3">
        <v>46271</v>
      </c>
      <c r="E3" t="s">
        <v>4</v>
      </c>
      <c r="F3">
        <v>1</v>
      </c>
      <c r="G3" s="4">
        <f>Table1[[#This Row],[Target Join Date]]-Table1[[#This Row],[Open Date]]</f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F7B3-8ED3-43FF-9E18-CB71FDFC3222}">
  <dimension ref="A1:N11"/>
  <sheetViews>
    <sheetView workbookViewId="0"/>
  </sheetViews>
  <sheetFormatPr defaultRowHeight="14.5" x14ac:dyDescent="0.35"/>
  <cols>
    <col min="1" max="1" width="15.453125" bestFit="1" customWidth="1"/>
    <col min="2" max="3" width="15.453125" customWidth="1"/>
    <col min="4" max="4" width="14" bestFit="1" customWidth="1"/>
    <col min="5" max="10" width="24.54296875" customWidth="1"/>
    <col min="11" max="11" width="35.26953125" bestFit="1" customWidth="1"/>
    <col min="12" max="12" width="14.54296875" bestFit="1" customWidth="1"/>
    <col min="13" max="13" width="11.453125" bestFit="1" customWidth="1"/>
    <col min="14" max="14" width="20.81640625" bestFit="1" customWidth="1"/>
  </cols>
  <sheetData>
    <row r="1" spans="1:14" x14ac:dyDescent="0.35">
      <c r="A1" t="s">
        <v>14</v>
      </c>
      <c r="B1" t="s">
        <v>19</v>
      </c>
      <c r="C1" t="s">
        <v>22</v>
      </c>
      <c r="D1" t="s">
        <v>21</v>
      </c>
      <c r="E1" t="s">
        <v>18</v>
      </c>
      <c r="F1" t="s">
        <v>61</v>
      </c>
      <c r="G1" t="s">
        <v>62</v>
      </c>
      <c r="H1" t="s">
        <v>31</v>
      </c>
      <c r="I1" t="s">
        <v>25</v>
      </c>
      <c r="J1" t="s">
        <v>26</v>
      </c>
      <c r="K1" t="s">
        <v>15</v>
      </c>
      <c r="L1" t="s">
        <v>16</v>
      </c>
      <c r="M1" t="s">
        <v>17</v>
      </c>
      <c r="N1" t="s">
        <v>29</v>
      </c>
    </row>
    <row r="2" spans="1:14" x14ac:dyDescent="0.35">
      <c r="A2" t="s">
        <v>11</v>
      </c>
      <c r="B2" t="s">
        <v>20</v>
      </c>
      <c r="C2" t="s">
        <v>23</v>
      </c>
      <c r="D2" s="1">
        <v>35777</v>
      </c>
      <c r="E2" t="s">
        <v>24</v>
      </c>
      <c r="F2" t="s">
        <v>63</v>
      </c>
      <c r="G2" t="s">
        <v>65</v>
      </c>
      <c r="H2" t="s">
        <v>50</v>
      </c>
      <c r="I2" t="s">
        <v>28</v>
      </c>
      <c r="J2" s="5" t="s">
        <v>27</v>
      </c>
      <c r="K2" t="s">
        <v>5</v>
      </c>
      <c r="L2" s="1">
        <v>46212</v>
      </c>
      <c r="M2" s="2" t="s">
        <v>87</v>
      </c>
      <c r="N2" s="2" t="s">
        <v>30</v>
      </c>
    </row>
    <row r="3" spans="1:14" x14ac:dyDescent="0.35">
      <c r="A3" t="s">
        <v>35</v>
      </c>
      <c r="B3" t="s">
        <v>44</v>
      </c>
      <c r="C3" t="s">
        <v>45</v>
      </c>
      <c r="D3" s="1">
        <v>36205</v>
      </c>
      <c r="E3" t="s">
        <v>49</v>
      </c>
      <c r="F3" t="s">
        <v>6</v>
      </c>
      <c r="G3" t="s">
        <v>64</v>
      </c>
      <c r="H3" t="s">
        <v>50</v>
      </c>
      <c r="I3" t="s">
        <v>32</v>
      </c>
      <c r="J3" s="5" t="s">
        <v>51</v>
      </c>
      <c r="K3" t="s">
        <v>6</v>
      </c>
      <c r="L3" s="1">
        <v>46213</v>
      </c>
      <c r="M3" s="2" t="s">
        <v>118</v>
      </c>
      <c r="N3" s="2" t="s">
        <v>30</v>
      </c>
    </row>
    <row r="4" spans="1:14" x14ac:dyDescent="0.35">
      <c r="A4" t="s">
        <v>36</v>
      </c>
      <c r="B4" t="s">
        <v>44</v>
      </c>
      <c r="C4" t="s">
        <v>23</v>
      </c>
      <c r="D4" s="1">
        <v>38183</v>
      </c>
      <c r="E4" t="s">
        <v>49</v>
      </c>
      <c r="F4" t="s">
        <v>66</v>
      </c>
      <c r="G4" t="s">
        <v>65</v>
      </c>
      <c r="H4" t="s">
        <v>50</v>
      </c>
      <c r="I4" t="s">
        <v>33</v>
      </c>
      <c r="J4" s="5" t="s">
        <v>52</v>
      </c>
      <c r="K4" t="s">
        <v>6</v>
      </c>
      <c r="L4" s="1">
        <v>46214</v>
      </c>
      <c r="M4" s="2" t="s">
        <v>87</v>
      </c>
      <c r="N4" s="2" t="s">
        <v>30</v>
      </c>
    </row>
    <row r="5" spans="1:14" x14ac:dyDescent="0.35">
      <c r="A5" t="s">
        <v>37</v>
      </c>
      <c r="B5" t="s">
        <v>44</v>
      </c>
      <c r="C5" t="s">
        <v>23</v>
      </c>
      <c r="D5" s="1">
        <v>38337</v>
      </c>
      <c r="E5" t="s">
        <v>49</v>
      </c>
      <c r="F5" t="s">
        <v>67</v>
      </c>
      <c r="G5" t="s">
        <v>68</v>
      </c>
      <c r="H5" t="s">
        <v>50</v>
      </c>
      <c r="I5" t="s">
        <v>34</v>
      </c>
      <c r="J5" s="5" t="s">
        <v>53</v>
      </c>
      <c r="K5" t="s">
        <v>6</v>
      </c>
      <c r="L5" s="1">
        <v>46215</v>
      </c>
      <c r="M5" s="2" t="s">
        <v>87</v>
      </c>
      <c r="N5" s="2" t="s">
        <v>30</v>
      </c>
    </row>
    <row r="6" spans="1:14" x14ac:dyDescent="0.35">
      <c r="A6" t="s">
        <v>38</v>
      </c>
      <c r="B6" t="s">
        <v>44</v>
      </c>
      <c r="C6" t="s">
        <v>48</v>
      </c>
      <c r="D6" s="1">
        <v>38338</v>
      </c>
      <c r="E6" t="s">
        <v>74</v>
      </c>
      <c r="F6" t="s">
        <v>76</v>
      </c>
      <c r="G6" t="s">
        <v>79</v>
      </c>
      <c r="H6" t="s">
        <v>50</v>
      </c>
      <c r="I6" t="s">
        <v>80</v>
      </c>
      <c r="J6" s="5" t="s">
        <v>54</v>
      </c>
      <c r="K6" t="s">
        <v>6</v>
      </c>
      <c r="L6" s="1">
        <v>46216</v>
      </c>
      <c r="M6" s="2" t="s">
        <v>87</v>
      </c>
      <c r="N6" s="2" t="s">
        <v>30</v>
      </c>
    </row>
    <row r="7" spans="1:14" x14ac:dyDescent="0.35">
      <c r="A7" t="s">
        <v>39</v>
      </c>
      <c r="B7" t="s">
        <v>20</v>
      </c>
      <c r="C7" t="s">
        <v>46</v>
      </c>
      <c r="D7" s="1">
        <v>37973</v>
      </c>
      <c r="E7" t="s">
        <v>73</v>
      </c>
      <c r="F7" t="s">
        <v>75</v>
      </c>
      <c r="G7" t="s">
        <v>64</v>
      </c>
      <c r="H7" t="s">
        <v>50</v>
      </c>
      <c r="I7" t="s">
        <v>81</v>
      </c>
      <c r="J7" s="5" t="s">
        <v>55</v>
      </c>
      <c r="K7" t="s">
        <v>5</v>
      </c>
      <c r="L7" s="1">
        <v>46217</v>
      </c>
      <c r="M7" s="2" t="s">
        <v>88</v>
      </c>
      <c r="N7" s="2" t="s">
        <v>30</v>
      </c>
    </row>
    <row r="8" spans="1:14" x14ac:dyDescent="0.35">
      <c r="A8" t="s">
        <v>40</v>
      </c>
      <c r="B8" t="s">
        <v>20</v>
      </c>
      <c r="C8" t="s">
        <v>47</v>
      </c>
      <c r="D8" s="1">
        <v>37609</v>
      </c>
      <c r="E8" t="s">
        <v>72</v>
      </c>
      <c r="F8" t="s">
        <v>71</v>
      </c>
      <c r="G8" t="s">
        <v>64</v>
      </c>
      <c r="H8" t="s">
        <v>50</v>
      </c>
      <c r="I8" t="s">
        <v>82</v>
      </c>
      <c r="J8" s="5" t="s">
        <v>56</v>
      </c>
      <c r="K8" t="s">
        <v>6</v>
      </c>
      <c r="L8" s="1">
        <v>46218</v>
      </c>
      <c r="M8" s="2" t="s">
        <v>88</v>
      </c>
      <c r="N8" s="2" t="s">
        <v>30</v>
      </c>
    </row>
    <row r="9" spans="1:14" x14ac:dyDescent="0.35">
      <c r="A9" t="s">
        <v>41</v>
      </c>
      <c r="B9" t="s">
        <v>20</v>
      </c>
      <c r="C9" t="s">
        <v>46</v>
      </c>
      <c r="D9" s="1">
        <v>37245</v>
      </c>
      <c r="E9" t="s">
        <v>70</v>
      </c>
      <c r="F9" t="s">
        <v>77</v>
      </c>
      <c r="G9" t="s">
        <v>65</v>
      </c>
      <c r="H9" t="s">
        <v>50</v>
      </c>
      <c r="I9" t="s">
        <v>83</v>
      </c>
      <c r="J9" s="5" t="s">
        <v>57</v>
      </c>
      <c r="K9" t="s">
        <v>5</v>
      </c>
      <c r="L9" s="1">
        <v>46219</v>
      </c>
      <c r="M9" s="2" t="s">
        <v>88</v>
      </c>
      <c r="N9" s="2" t="s">
        <v>30</v>
      </c>
    </row>
    <row r="10" spans="1:14" x14ac:dyDescent="0.35">
      <c r="A10" t="s">
        <v>136</v>
      </c>
      <c r="B10" t="s">
        <v>44</v>
      </c>
      <c r="C10" t="s">
        <v>46</v>
      </c>
      <c r="D10" s="1">
        <v>36515</v>
      </c>
      <c r="E10" t="s">
        <v>69</v>
      </c>
      <c r="F10" t="s">
        <v>71</v>
      </c>
      <c r="G10" t="s">
        <v>65</v>
      </c>
      <c r="H10" t="s">
        <v>50</v>
      </c>
      <c r="I10" t="s">
        <v>84</v>
      </c>
      <c r="J10" s="5" t="s">
        <v>58</v>
      </c>
      <c r="K10" t="s">
        <v>5</v>
      </c>
      <c r="L10" s="1">
        <v>46220</v>
      </c>
      <c r="M10" s="2" t="s">
        <v>88</v>
      </c>
      <c r="N10" s="2" t="s">
        <v>30</v>
      </c>
    </row>
    <row r="11" spans="1:14" x14ac:dyDescent="0.35">
      <c r="A11" t="s">
        <v>43</v>
      </c>
      <c r="B11" t="s">
        <v>44</v>
      </c>
      <c r="C11" t="s">
        <v>45</v>
      </c>
      <c r="D11" s="1">
        <v>36786</v>
      </c>
      <c r="E11" t="s">
        <v>60</v>
      </c>
      <c r="F11" t="s">
        <v>78</v>
      </c>
      <c r="G11" t="s">
        <v>3</v>
      </c>
      <c r="H11" t="s">
        <v>50</v>
      </c>
      <c r="I11" t="s">
        <v>85</v>
      </c>
      <c r="J11" s="5" t="s">
        <v>59</v>
      </c>
      <c r="K11" t="s">
        <v>5</v>
      </c>
      <c r="L11" s="1">
        <v>46221</v>
      </c>
      <c r="M11" s="2" t="s">
        <v>88</v>
      </c>
      <c r="N11" s="2" t="s">
        <v>30</v>
      </c>
    </row>
  </sheetData>
  <sheetProtection sheet="1" objects="1" scenarios="1"/>
  <phoneticPr fontId="3" type="noConversion"/>
  <hyperlinks>
    <hyperlink ref="J2" r:id="rId1" xr:uid="{212ACF1F-DB0D-405A-A7F3-AB39BFF600D5}"/>
    <hyperlink ref="J3" r:id="rId2" xr:uid="{4C513AB6-2F9D-48A2-8268-AB543A11AF42}"/>
    <hyperlink ref="J4" r:id="rId3" xr:uid="{50B7F1BC-405F-46BE-8AEE-16C1C5D66DED}"/>
    <hyperlink ref="J5" r:id="rId4" xr:uid="{8BE5766A-97C7-423C-8493-FBB9C1638ED3}"/>
    <hyperlink ref="J6" r:id="rId5" xr:uid="{406F7841-4246-4C68-B712-BA630258DBA2}"/>
    <hyperlink ref="J7" r:id="rId6" xr:uid="{1D161FAB-92E7-4709-A873-12A1FC9653AF}"/>
    <hyperlink ref="J8" r:id="rId7" xr:uid="{2DCE9D4A-DF11-46FB-9452-C48B1EAD6CAE}"/>
    <hyperlink ref="J9" r:id="rId8" xr:uid="{8AC6ADD0-2576-4BAA-9D74-3B23DA0D3451}"/>
    <hyperlink ref="J10" r:id="rId9" xr:uid="{9464B559-0F49-4F80-919F-1F056F895BFD}"/>
    <hyperlink ref="J11" r:id="rId10" xr:uid="{ECFEEA7A-28D1-496C-834C-B703CB9383AB}"/>
  </hyperlinks>
  <pageMargins left="0.7" right="0.7" top="0.75" bottom="0.75" header="0.3" footer="0.3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AE0D-DAB7-4887-A743-6D411226408F}">
  <dimension ref="A1:F11"/>
  <sheetViews>
    <sheetView workbookViewId="0"/>
  </sheetViews>
  <sheetFormatPr defaultRowHeight="14.5" x14ac:dyDescent="0.35"/>
  <cols>
    <col min="1" max="1" width="15.81640625" bestFit="1" customWidth="1"/>
    <col min="2" max="2" width="35.26953125" bestFit="1" customWidth="1"/>
    <col min="3" max="3" width="17.90625" customWidth="1"/>
    <col min="4" max="4" width="12.36328125" customWidth="1"/>
    <col min="5" max="5" width="13.1796875" customWidth="1"/>
    <col min="6" max="6" width="15.81640625" customWidth="1"/>
  </cols>
  <sheetData>
    <row r="1" spans="1:6" x14ac:dyDescent="0.35">
      <c r="A1" t="s">
        <v>14</v>
      </c>
      <c r="B1" t="s">
        <v>15</v>
      </c>
      <c r="C1" t="s">
        <v>91</v>
      </c>
      <c r="D1" t="s">
        <v>18</v>
      </c>
      <c r="E1" t="s">
        <v>92</v>
      </c>
      <c r="F1" t="s">
        <v>119</v>
      </c>
    </row>
    <row r="2" spans="1:6" x14ac:dyDescent="0.35">
      <c r="A2" t="s">
        <v>11</v>
      </c>
      <c r="B2" t="s">
        <v>5</v>
      </c>
      <c r="C2" s="1">
        <v>46212</v>
      </c>
      <c r="D2" t="s">
        <v>94</v>
      </c>
      <c r="E2" t="s">
        <v>94</v>
      </c>
      <c r="F2" t="s">
        <v>95</v>
      </c>
    </row>
    <row r="3" spans="1:6" x14ac:dyDescent="0.35">
      <c r="A3" t="s">
        <v>35</v>
      </c>
      <c r="B3" t="s">
        <v>6</v>
      </c>
      <c r="C3" s="1">
        <v>46213</v>
      </c>
      <c r="D3" t="s">
        <v>94</v>
      </c>
      <c r="E3" t="s">
        <v>94</v>
      </c>
      <c r="F3" t="s">
        <v>95</v>
      </c>
    </row>
    <row r="4" spans="1:6" x14ac:dyDescent="0.35">
      <c r="A4" t="s">
        <v>36</v>
      </c>
      <c r="B4" t="s">
        <v>6</v>
      </c>
      <c r="C4" s="1">
        <v>46214</v>
      </c>
      <c r="D4" t="s">
        <v>94</v>
      </c>
      <c r="E4" t="s">
        <v>108</v>
      </c>
      <c r="F4" t="s">
        <v>96</v>
      </c>
    </row>
    <row r="5" spans="1:6" x14ac:dyDescent="0.35">
      <c r="A5" t="s">
        <v>37</v>
      </c>
      <c r="B5" t="s">
        <v>6</v>
      </c>
      <c r="C5" s="1">
        <v>46215</v>
      </c>
      <c r="D5" t="s">
        <v>94</v>
      </c>
      <c r="E5" t="s">
        <v>107</v>
      </c>
      <c r="F5" t="s">
        <v>96</v>
      </c>
    </row>
    <row r="6" spans="1:6" x14ac:dyDescent="0.35">
      <c r="A6" t="s">
        <v>38</v>
      </c>
      <c r="B6" t="s">
        <v>6</v>
      </c>
      <c r="C6" s="1">
        <v>46216</v>
      </c>
      <c r="D6" t="s">
        <v>94</v>
      </c>
      <c r="E6" t="s">
        <v>107</v>
      </c>
      <c r="F6" t="s">
        <v>96</v>
      </c>
    </row>
    <row r="7" spans="1:6" x14ac:dyDescent="0.35">
      <c r="A7" t="s">
        <v>39</v>
      </c>
      <c r="B7" t="s">
        <v>5</v>
      </c>
      <c r="C7" s="1">
        <v>46217</v>
      </c>
      <c r="D7" t="s">
        <v>94</v>
      </c>
      <c r="E7" t="s">
        <v>108</v>
      </c>
      <c r="F7" t="s">
        <v>96</v>
      </c>
    </row>
    <row r="8" spans="1:6" x14ac:dyDescent="0.35">
      <c r="A8" t="s">
        <v>40</v>
      </c>
      <c r="B8" t="s">
        <v>6</v>
      </c>
      <c r="C8" s="1">
        <v>46218</v>
      </c>
      <c r="D8" t="s">
        <v>94</v>
      </c>
      <c r="E8" t="s">
        <v>107</v>
      </c>
      <c r="F8" t="s">
        <v>96</v>
      </c>
    </row>
    <row r="9" spans="1:6" x14ac:dyDescent="0.35">
      <c r="A9" t="s">
        <v>41</v>
      </c>
      <c r="B9" t="s">
        <v>5</v>
      </c>
      <c r="C9" s="1">
        <v>46219</v>
      </c>
      <c r="D9" t="s">
        <v>94</v>
      </c>
      <c r="E9" t="s">
        <v>107</v>
      </c>
      <c r="F9" t="s">
        <v>96</v>
      </c>
    </row>
    <row r="10" spans="1:6" x14ac:dyDescent="0.35">
      <c r="A10" t="s">
        <v>42</v>
      </c>
      <c r="B10" t="s">
        <v>5</v>
      </c>
      <c r="C10" s="1">
        <v>46220</v>
      </c>
      <c r="D10" t="s">
        <v>94</v>
      </c>
      <c r="E10" t="s">
        <v>107</v>
      </c>
      <c r="F10" t="s">
        <v>96</v>
      </c>
    </row>
    <row r="11" spans="1:6" x14ac:dyDescent="0.35">
      <c r="A11" t="s">
        <v>43</v>
      </c>
      <c r="B11" t="s">
        <v>5</v>
      </c>
      <c r="C11" s="1">
        <v>46221</v>
      </c>
      <c r="D11" t="s">
        <v>94</v>
      </c>
      <c r="E11" t="s">
        <v>107</v>
      </c>
      <c r="F11" t="s">
        <v>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BF0D-14DD-4C6B-8FE4-02EF29ED0F4B}">
  <dimension ref="A1:J3"/>
  <sheetViews>
    <sheetView workbookViewId="0"/>
  </sheetViews>
  <sheetFormatPr defaultRowHeight="14.5" x14ac:dyDescent="0.35"/>
  <cols>
    <col min="1" max="1" width="15.6328125" customWidth="1"/>
    <col min="2" max="2" width="35.26953125" bestFit="1" customWidth="1"/>
    <col min="3" max="3" width="17.26953125" customWidth="1"/>
    <col min="4" max="7" width="16" customWidth="1"/>
    <col min="9" max="9" width="16.6328125" bestFit="1" customWidth="1"/>
    <col min="10" max="10" width="22.26953125" bestFit="1" customWidth="1"/>
  </cols>
  <sheetData>
    <row r="1" spans="1:10" x14ac:dyDescent="0.35">
      <c r="A1" t="s">
        <v>89</v>
      </c>
      <c r="B1" t="s">
        <v>15</v>
      </c>
      <c r="C1" t="s">
        <v>97</v>
      </c>
      <c r="D1" t="s">
        <v>99</v>
      </c>
      <c r="E1" t="s">
        <v>101</v>
      </c>
      <c r="F1" t="s">
        <v>103</v>
      </c>
      <c r="G1" t="s">
        <v>105</v>
      </c>
      <c r="H1" t="s">
        <v>98</v>
      </c>
      <c r="I1" t="s">
        <v>120</v>
      </c>
      <c r="J1" t="s">
        <v>93</v>
      </c>
    </row>
    <row r="2" spans="1:10" x14ac:dyDescent="0.35">
      <c r="A2" t="s">
        <v>11</v>
      </c>
      <c r="B2" t="s">
        <v>5</v>
      </c>
      <c r="C2" s="1">
        <v>46231</v>
      </c>
      <c r="D2" t="s">
        <v>102</v>
      </c>
      <c r="E2" s="1">
        <v>46231</v>
      </c>
      <c r="F2" t="s">
        <v>104</v>
      </c>
      <c r="G2" t="s">
        <v>7</v>
      </c>
      <c r="H2">
        <v>31</v>
      </c>
      <c r="I2" t="s">
        <v>95</v>
      </c>
      <c r="J2" t="s">
        <v>106</v>
      </c>
    </row>
    <row r="3" spans="1:10" x14ac:dyDescent="0.35">
      <c r="A3" t="s">
        <v>35</v>
      </c>
      <c r="B3" t="s">
        <v>6</v>
      </c>
      <c r="C3" s="1">
        <v>46228</v>
      </c>
      <c r="D3" t="s">
        <v>102</v>
      </c>
      <c r="H3">
        <v>28</v>
      </c>
      <c r="I3" t="s">
        <v>95</v>
      </c>
      <c r="J3" t="s">
        <v>100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51D2-D871-4C7A-84BE-D19D4CDD5125}">
  <dimension ref="A1:J3"/>
  <sheetViews>
    <sheetView workbookViewId="0">
      <selection activeCell="J2" sqref="J2"/>
    </sheetView>
  </sheetViews>
  <sheetFormatPr defaultRowHeight="14.5" x14ac:dyDescent="0.35"/>
  <cols>
    <col min="1" max="1" width="15.453125" bestFit="1" customWidth="1"/>
    <col min="2" max="2" width="19.36328125" bestFit="1" customWidth="1"/>
    <col min="3" max="3" width="14" bestFit="1" customWidth="1"/>
    <col min="4" max="4" width="13.6328125" bestFit="1" customWidth="1"/>
    <col min="5" max="5" width="16.90625" bestFit="1" customWidth="1"/>
    <col min="6" max="6" width="13.26953125" bestFit="1" customWidth="1"/>
    <col min="7" max="7" width="15.7265625" bestFit="1" customWidth="1"/>
    <col min="8" max="8" width="14.6328125" bestFit="1" customWidth="1"/>
    <col min="9" max="9" width="10.6328125" bestFit="1" customWidth="1"/>
  </cols>
  <sheetData>
    <row r="1" spans="1:10" x14ac:dyDescent="0.35">
      <c r="A1" t="s">
        <v>14</v>
      </c>
      <c r="B1" t="s">
        <v>15</v>
      </c>
      <c r="C1" t="s">
        <v>109</v>
      </c>
      <c r="D1" t="s">
        <v>113</v>
      </c>
      <c r="E1" t="s">
        <v>114</v>
      </c>
      <c r="F1" t="s">
        <v>115</v>
      </c>
      <c r="G1" t="s">
        <v>116</v>
      </c>
      <c r="H1" t="s">
        <v>111</v>
      </c>
      <c r="I1" t="s">
        <v>12</v>
      </c>
      <c r="J1" t="s">
        <v>110</v>
      </c>
    </row>
    <row r="2" spans="1:10" x14ac:dyDescent="0.35">
      <c r="A2" t="s">
        <v>11</v>
      </c>
      <c r="B2" t="s">
        <v>9</v>
      </c>
      <c r="C2" s="1">
        <v>46237</v>
      </c>
      <c r="D2" s="7">
        <v>4728193.68</v>
      </c>
      <c r="E2" s="7">
        <v>1576064.56</v>
      </c>
      <c r="F2" s="8">
        <v>19870</v>
      </c>
      <c r="G2" s="8">
        <v>15270</v>
      </c>
      <c r="H2" s="1">
        <v>46244</v>
      </c>
      <c r="I2" s="1">
        <v>46244</v>
      </c>
      <c r="J2" t="s">
        <v>10</v>
      </c>
    </row>
    <row r="3" spans="1:10" x14ac:dyDescent="0.35">
      <c r="C3" s="1"/>
      <c r="D3" s="6"/>
      <c r="E3" s="6"/>
      <c r="F3" s="6"/>
      <c r="G3" s="6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3CD8-99DE-411B-BC59-2A2F49617BD0}">
  <dimension ref="A1:K4"/>
  <sheetViews>
    <sheetView workbookViewId="0">
      <selection activeCell="C4" sqref="C4"/>
    </sheetView>
  </sheetViews>
  <sheetFormatPr defaultRowHeight="14.5" x14ac:dyDescent="0.35"/>
  <cols>
    <col min="1" max="1" width="14.26953125" customWidth="1"/>
    <col min="3" max="3" width="15.36328125" bestFit="1" customWidth="1"/>
    <col min="5" max="5" width="16.90625" customWidth="1"/>
    <col min="7" max="7" width="16.26953125" customWidth="1"/>
    <col min="9" max="9" width="13.36328125" customWidth="1"/>
    <col min="11" max="11" width="15.6328125" customWidth="1"/>
  </cols>
  <sheetData>
    <row r="1" spans="1:11" x14ac:dyDescent="0.35">
      <c r="A1" t="s">
        <v>19</v>
      </c>
      <c r="C1" t="s">
        <v>117</v>
      </c>
      <c r="E1" t="s">
        <v>119</v>
      </c>
      <c r="G1" t="s">
        <v>120</v>
      </c>
      <c r="I1" t="s">
        <v>110</v>
      </c>
      <c r="K1" t="s">
        <v>121</v>
      </c>
    </row>
    <row r="2" spans="1:11" x14ac:dyDescent="0.35">
      <c r="A2" t="s">
        <v>44</v>
      </c>
      <c r="C2" t="s">
        <v>87</v>
      </c>
      <c r="E2" t="s">
        <v>94</v>
      </c>
      <c r="G2" t="s">
        <v>95</v>
      </c>
      <c r="I2" t="s">
        <v>10</v>
      </c>
      <c r="K2" t="s">
        <v>4</v>
      </c>
    </row>
    <row r="3" spans="1:11" x14ac:dyDescent="0.35">
      <c r="A3" t="s">
        <v>20</v>
      </c>
      <c r="C3" t="s">
        <v>86</v>
      </c>
      <c r="E3" t="s">
        <v>108</v>
      </c>
      <c r="G3" t="s">
        <v>96</v>
      </c>
      <c r="I3" t="s">
        <v>112</v>
      </c>
      <c r="K3" t="s">
        <v>2</v>
      </c>
    </row>
    <row r="4" spans="1:11" x14ac:dyDescent="0.35">
      <c r="C4" t="s">
        <v>118</v>
      </c>
      <c r="E4" t="s">
        <v>107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2DA0-88F4-48C0-B27A-141792051F43}">
  <dimension ref="A1:N11"/>
  <sheetViews>
    <sheetView workbookViewId="0">
      <selection activeCell="C15" sqref="C15"/>
    </sheetView>
  </sheetViews>
  <sheetFormatPr defaultRowHeight="14.5" x14ac:dyDescent="0.35"/>
  <cols>
    <col min="1" max="1" width="35.26953125" bestFit="1" customWidth="1"/>
    <col min="2" max="2" width="18.81640625" bestFit="1" customWidth="1"/>
    <col min="4" max="4" width="38.54296875" bestFit="1" customWidth="1"/>
    <col min="5" max="5" width="15.81640625" bestFit="1" customWidth="1"/>
    <col min="6" max="6" width="10.36328125" bestFit="1" customWidth="1"/>
    <col min="7" max="7" width="35.26953125" bestFit="1" customWidth="1"/>
    <col min="8" max="8" width="20.7265625" bestFit="1" customWidth="1"/>
    <col min="9" max="9" width="19.90625" bestFit="1" customWidth="1"/>
    <col min="10" max="10" width="12.453125" bestFit="1" customWidth="1"/>
    <col min="11" max="11" width="16" bestFit="1" customWidth="1"/>
    <col min="13" max="13" width="15.36328125" bestFit="1" customWidth="1"/>
    <col min="14" max="14" width="24.6328125" bestFit="1" customWidth="1"/>
  </cols>
  <sheetData>
    <row r="1" spans="1:14" x14ac:dyDescent="0.35">
      <c r="A1" t="s">
        <v>123</v>
      </c>
      <c r="D1" t="s">
        <v>127</v>
      </c>
      <c r="G1" t="s">
        <v>130</v>
      </c>
      <c r="M1" t="s">
        <v>133</v>
      </c>
    </row>
    <row r="2" spans="1:14" x14ac:dyDescent="0.35">
      <c r="A2" s="10" t="s">
        <v>124</v>
      </c>
      <c r="B2" t="s">
        <v>126</v>
      </c>
      <c r="D2" s="10" t="s">
        <v>124</v>
      </c>
      <c r="E2" t="s">
        <v>135</v>
      </c>
      <c r="G2" s="10" t="s">
        <v>124</v>
      </c>
      <c r="H2" t="s">
        <v>131</v>
      </c>
      <c r="J2" s="10" t="s">
        <v>124</v>
      </c>
      <c r="K2" t="s">
        <v>131</v>
      </c>
      <c r="M2" s="10" t="s">
        <v>124</v>
      </c>
      <c r="N2" t="s">
        <v>132</v>
      </c>
    </row>
    <row r="3" spans="1:14" x14ac:dyDescent="0.35">
      <c r="A3" s="11" t="s">
        <v>5</v>
      </c>
      <c r="B3" s="12">
        <v>1</v>
      </c>
      <c r="D3" s="11" t="s">
        <v>5</v>
      </c>
      <c r="E3" s="12">
        <v>36</v>
      </c>
      <c r="G3" s="11" t="s">
        <v>5</v>
      </c>
      <c r="H3" s="12">
        <v>5</v>
      </c>
      <c r="J3" s="11" t="s">
        <v>95</v>
      </c>
      <c r="K3" s="12">
        <v>2</v>
      </c>
      <c r="M3" s="11" t="s">
        <v>87</v>
      </c>
      <c r="N3" s="12">
        <v>4</v>
      </c>
    </row>
    <row r="4" spans="1:14" x14ac:dyDescent="0.35">
      <c r="A4" s="11" t="s">
        <v>6</v>
      </c>
      <c r="B4" s="12">
        <v>1</v>
      </c>
      <c r="D4" s="13" t="s">
        <v>129</v>
      </c>
      <c r="E4" s="12">
        <v>36</v>
      </c>
      <c r="G4" s="11" t="s">
        <v>6</v>
      </c>
      <c r="H4" s="12">
        <v>5</v>
      </c>
      <c r="J4" s="11" t="s">
        <v>96</v>
      </c>
      <c r="K4" s="12">
        <v>8</v>
      </c>
      <c r="M4" s="11" t="s">
        <v>88</v>
      </c>
      <c r="N4" s="12">
        <v>5</v>
      </c>
    </row>
    <row r="5" spans="1:14" x14ac:dyDescent="0.35">
      <c r="A5" s="11" t="s">
        <v>125</v>
      </c>
      <c r="B5" s="12">
        <v>2</v>
      </c>
      <c r="D5" s="11" t="s">
        <v>6</v>
      </c>
      <c r="E5" s="12">
        <v>32</v>
      </c>
      <c r="G5" s="11" t="s">
        <v>125</v>
      </c>
      <c r="H5" s="12">
        <v>10</v>
      </c>
      <c r="J5" s="11" t="s">
        <v>125</v>
      </c>
      <c r="K5" s="12">
        <v>10</v>
      </c>
      <c r="M5" s="11" t="s">
        <v>118</v>
      </c>
      <c r="N5" s="12">
        <v>1</v>
      </c>
    </row>
    <row r="6" spans="1:14" x14ac:dyDescent="0.35">
      <c r="D6" s="13" t="s">
        <v>134</v>
      </c>
      <c r="E6" s="12">
        <v>32</v>
      </c>
      <c r="M6" s="11" t="s">
        <v>125</v>
      </c>
      <c r="N6" s="12">
        <v>10</v>
      </c>
    </row>
    <row r="7" spans="1:14" x14ac:dyDescent="0.35">
      <c r="D7" s="11" t="s">
        <v>125</v>
      </c>
      <c r="E7" s="12">
        <v>68</v>
      </c>
    </row>
    <row r="8" spans="1:14" x14ac:dyDescent="0.35">
      <c r="J8" s="10" t="s">
        <v>124</v>
      </c>
      <c r="K8" t="s">
        <v>128</v>
      </c>
    </row>
    <row r="9" spans="1:14" x14ac:dyDescent="0.35">
      <c r="J9" s="11" t="s">
        <v>2</v>
      </c>
      <c r="K9" s="12">
        <v>1</v>
      </c>
    </row>
    <row r="10" spans="1:14" x14ac:dyDescent="0.35">
      <c r="J10" s="11" t="s">
        <v>4</v>
      </c>
      <c r="K10" s="12">
        <v>1</v>
      </c>
    </row>
    <row r="11" spans="1:14" x14ac:dyDescent="0.35">
      <c r="J11" s="11" t="s">
        <v>125</v>
      </c>
      <c r="K11" s="12">
        <v>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Dahsboard</vt:lpstr>
      <vt:lpstr>Vacancy</vt:lpstr>
      <vt:lpstr>Applicants</vt:lpstr>
      <vt:lpstr>Screening</vt:lpstr>
      <vt:lpstr>Interview</vt:lpstr>
      <vt:lpstr>Offer</vt:lpstr>
      <vt:lpstr>Referensi</vt:lpstr>
      <vt:lpstr>Pivot</vt:lpstr>
      <vt:lpstr>Dahsboard!Print_Area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Diansyah</dc:creator>
  <cp:lastModifiedBy>Wahyu Diansyah</cp:lastModifiedBy>
  <cp:lastPrinted>2026-08-09T06:27:36Z</cp:lastPrinted>
  <dcterms:created xsi:type="dcterms:W3CDTF">2026-08-09T03:30:41Z</dcterms:created>
  <dcterms:modified xsi:type="dcterms:W3CDTF">2026-08-09T06:29:03Z</dcterms:modified>
</cp:coreProperties>
</file>