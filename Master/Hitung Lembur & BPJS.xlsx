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wahyu\OneDrive\Documents\myportofolio\Master\"/>
    </mc:Choice>
  </mc:AlternateContent>
  <xr:revisionPtr revIDLastSave="0" documentId="13_ncr:1_{CD3091F8-052D-4CC2-A980-920EF88FF1B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bsensi (Hari Kerja)" sheetId="6" r:id="rId1"/>
    <sheet name="Lembur" sheetId="4" r:id="rId2"/>
    <sheet name="BPJS" sheetId="3" r:id="rId3"/>
    <sheet name="Contoh Slip Gaji" sheetId="5" r:id="rId4"/>
    <sheet name="Contoh Slip Gaji (2)" sheetId="7" r:id="rId5"/>
  </sheets>
  <definedNames>
    <definedName name="_xlnm.Print_Area" localSheetId="0">'Absensi (Hari Kerja)'!$A$1:$AF$16</definedName>
    <definedName name="_xlnm.Print_Area" localSheetId="2">BPJS!$A$1:$I$28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4" l="1"/>
  <c r="C18" i="4"/>
  <c r="C16" i="4"/>
  <c r="C12" i="4"/>
  <c r="C11" i="4"/>
  <c r="A7" i="3"/>
  <c r="A19" i="3" s="1"/>
  <c r="B7" i="3"/>
  <c r="B8" i="4"/>
  <c r="H7" i="3" l="1"/>
  <c r="F7" i="3"/>
  <c r="E7" i="3"/>
  <c r="G7" i="3"/>
  <c r="D7" i="3"/>
  <c r="C9" i="3" s="1"/>
  <c r="C7" i="3"/>
  <c r="B19" i="3"/>
  <c r="E11" i="4"/>
  <c r="E17" i="4"/>
  <c r="E18" i="4"/>
  <c r="E12" i="4"/>
  <c r="E16" i="4"/>
  <c r="M14" i="7"/>
  <c r="M18" i="7"/>
  <c r="H18" i="7"/>
  <c r="M17" i="7"/>
  <c r="H17" i="7"/>
  <c r="M16" i="7"/>
  <c r="H15" i="7"/>
  <c r="H14" i="7"/>
  <c r="M18" i="5"/>
  <c r="M17" i="5"/>
  <c r="M16" i="5"/>
  <c r="H15" i="5"/>
  <c r="H14" i="5"/>
  <c r="H18" i="5"/>
  <c r="H17" i="5"/>
  <c r="D19" i="3" l="1"/>
  <c r="C21" i="3" s="1"/>
  <c r="C19" i="3"/>
  <c r="C22" i="3" s="1"/>
  <c r="E13" i="4"/>
  <c r="M21" i="7"/>
  <c r="H21" i="7"/>
  <c r="K24" i="7" s="1"/>
  <c r="M21" i="5"/>
  <c r="E19" i="3" l="1"/>
  <c r="I7" i="3" l="1"/>
  <c r="C10" i="3"/>
  <c r="E19" i="4" l="1"/>
  <c r="H21" i="5" s="1"/>
  <c r="K24" i="5" s="1"/>
</calcChain>
</file>

<file path=xl/sharedStrings.xml><?xml version="1.0" encoding="utf-8"?>
<sst xmlns="http://schemas.openxmlformats.org/spreadsheetml/2006/main" count="232" uniqueCount="128">
  <si>
    <t>JHT</t>
  </si>
  <si>
    <t>JKK</t>
  </si>
  <si>
    <t>JKM</t>
  </si>
  <si>
    <t>JP</t>
  </si>
  <si>
    <t>TOTAL</t>
  </si>
  <si>
    <t>KOMPONEN</t>
  </si>
  <si>
    <t>TUL</t>
  </si>
  <si>
    <t>JAM BERIKUTNYA</t>
  </si>
  <si>
    <t>8 JAM PERTAMA</t>
  </si>
  <si>
    <t>JAM KE-9</t>
  </si>
  <si>
    <t>NAMA</t>
  </si>
  <si>
    <t>Bebeb</t>
  </si>
  <si>
    <t>JAM KE-10, 11, 12</t>
  </si>
  <si>
    <t>SLIP GAJI</t>
  </si>
  <si>
    <t>PT. Kopi Aroma Generasi (KANGEN)</t>
  </si>
  <si>
    <t>Nama / NIK</t>
  </si>
  <si>
    <t>Jl. Yang Pernah Kita Lalui Bersama No. 23</t>
  </si>
  <si>
    <t>Dept / Jabatan</t>
  </si>
  <si>
    <t>IT / Staff</t>
  </si>
  <si>
    <t>Bandung, Jawa Barat</t>
  </si>
  <si>
    <t>Golongan</t>
  </si>
  <si>
    <t>2a</t>
  </si>
  <si>
    <t>Status Pajak</t>
  </si>
  <si>
    <t>TK/0</t>
  </si>
  <si>
    <t>Indonesia</t>
  </si>
  <si>
    <t>Tanggal Bergabung</t>
  </si>
  <si>
    <t>Periode</t>
  </si>
  <si>
    <t>Income</t>
  </si>
  <si>
    <t>Potongan</t>
  </si>
  <si>
    <t>Upah Pokok</t>
  </si>
  <si>
    <t>Absensi</t>
  </si>
  <si>
    <t>Tunjangan Jabatan</t>
  </si>
  <si>
    <t>Lain-lain</t>
  </si>
  <si>
    <t>Lembur</t>
  </si>
  <si>
    <t>hari</t>
  </si>
  <si>
    <t>Tunjangan Hari Raya / Bonus</t>
  </si>
  <si>
    <t>Pajak Penghasilan (PPh21)</t>
  </si>
  <si>
    <t>Total Pendapatan (Kotor)</t>
  </si>
  <si>
    <t>Total Potongan</t>
  </si>
  <si>
    <t>Total Upah (Bersih)</t>
  </si>
  <si>
    <t xml:space="preserve">Pembayaran upah telah dilakukan oleh perusahaan </t>
  </si>
  <si>
    <t xml:space="preserve">Secara transfer ke rekening karyawan </t>
  </si>
  <si>
    <t>Bank Cuan Aslinya No: 2223334441 (Bebeb)</t>
  </si>
  <si>
    <t>BPJS Ketenagakerjaan JHT (2%)</t>
  </si>
  <si>
    <t>BPJS Ketenagakerjaan JP (1%)</t>
  </si>
  <si>
    <t>BPJS Kesehatan (1%)</t>
  </si>
  <si>
    <t>Tunjangan Makan</t>
  </si>
  <si>
    <t>Tunjangan Transportasi</t>
  </si>
  <si>
    <t>Upah Pokok (Prorate)</t>
  </si>
  <si>
    <t>5 hari kerja</t>
  </si>
  <si>
    <t>1/21</t>
  </si>
  <si>
    <t>6 hari kerja</t>
  </si>
  <si>
    <t>1/25</t>
  </si>
  <si>
    <t>pekerja harian</t>
  </si>
  <si>
    <t>pekerja bulanan</t>
  </si>
  <si>
    <t>jumlah hari mulai bekerja/jumlah total hari kerja</t>
  </si>
  <si>
    <t>14/21</t>
  </si>
  <si>
    <t>cuti = 12 hari = setelah bekerja 12 bulan (1 tahun)</t>
  </si>
  <si>
    <t>hutang cuti?</t>
  </si>
  <si>
    <t>potong upah</t>
  </si>
  <si>
    <t>tukar hari</t>
  </si>
  <si>
    <t>Absensi (Cuti, Mangkir)</t>
  </si>
  <si>
    <t>unpaid leave</t>
  </si>
  <si>
    <t>annual leave</t>
  </si>
  <si>
    <t>sisa cuti 5</t>
  </si>
  <si>
    <t>phk: meninggal dunia</t>
  </si>
  <si>
    <t>phk: resign</t>
  </si>
  <si>
    <t>30 hari sebelum</t>
  </si>
  <si>
    <t>21 hari kerja</t>
  </si>
  <si>
    <t>16 hari kerja</t>
  </si>
  <si>
    <t>5 hari cuti</t>
  </si>
  <si>
    <t>JABATAN</t>
  </si>
  <si>
    <t>No. Karyawan</t>
  </si>
  <si>
    <t>Nama Lengkap</t>
  </si>
  <si>
    <t>Tunjangan tetap</t>
  </si>
  <si>
    <t>Pembagi</t>
  </si>
  <si>
    <t>Tarif Upah Lembur (TUL)</t>
  </si>
  <si>
    <t>SIMULASI PERHITUNGAN LEMBUR</t>
  </si>
  <si>
    <t>Total Lembur HK</t>
  </si>
  <si>
    <t>Total Lembur LN</t>
  </si>
  <si>
    <t>Agus Wijaya</t>
  </si>
  <si>
    <t>LEMBUR HARI LIBUR (LN)</t>
  </si>
  <si>
    <t>LEMBUR HARI KERJA (HK)</t>
  </si>
  <si>
    <t>JAM KE-1</t>
  </si>
  <si>
    <t>TOTAL JAM</t>
  </si>
  <si>
    <t>Jabatan</t>
  </si>
  <si>
    <t>Departemen</t>
  </si>
  <si>
    <t>Divisi</t>
  </si>
  <si>
    <t>Staff Warehouse</t>
  </si>
  <si>
    <t>Warehouse</t>
  </si>
  <si>
    <t>SCM</t>
  </si>
  <si>
    <t>Total Hari Kerja</t>
  </si>
  <si>
    <t>PENGALI</t>
  </si>
  <si>
    <t>TARIF EFEKTIF</t>
  </si>
  <si>
    <t>Kontribusi perusahaan = biaya</t>
  </si>
  <si>
    <t>Kontribusi karyawan = potongan upah</t>
  </si>
  <si>
    <t>Total Iuran Karyawan</t>
  </si>
  <si>
    <t>Total Iuran Perusahaan</t>
  </si>
  <si>
    <t>Nama Karyawan</t>
  </si>
  <si>
    <t>Simulasi Perhitungan BPJS Kesehatan dan Jaminan Sosial</t>
  </si>
  <si>
    <r>
      <t xml:space="preserve">Batas Maksimal Upah: </t>
    </r>
    <r>
      <rPr>
        <b/>
        <sz val="11"/>
        <color theme="1"/>
        <rFont val="Arial"/>
        <family val="2"/>
      </rPr>
      <t>Rp12.000.000</t>
    </r>
    <r>
      <rPr>
        <sz val="11"/>
        <color theme="1"/>
        <rFont val="Arial"/>
        <family val="2"/>
      </rPr>
      <t xml:space="preserve"> per bulan.</t>
    </r>
  </si>
  <si>
    <r>
      <t xml:space="preserve">Batas Maksimal Upah: </t>
    </r>
    <r>
      <rPr>
        <b/>
        <sz val="11"/>
        <color theme="1"/>
        <rFont val="Arial"/>
        <family val="2"/>
      </rPr>
      <t>Rp11.086.300</t>
    </r>
    <r>
      <rPr>
        <sz val="11"/>
        <color theme="1"/>
        <rFont val="Arial"/>
        <family val="2"/>
      </rPr>
      <t xml:space="preserve"> per bulan.</t>
    </r>
  </si>
  <si>
    <t>Total Upah</t>
  </si>
  <si>
    <t>DATA KARYAWAN</t>
  </si>
  <si>
    <r>
      <rPr>
        <b/>
        <sz val="11"/>
        <color theme="1"/>
        <rFont val="Arial"/>
        <family val="2"/>
      </rPr>
      <t>Source</t>
    </r>
    <r>
      <rPr>
        <sz val="11"/>
        <color theme="1"/>
        <rFont val="Arial"/>
        <family val="2"/>
      </rPr>
      <t>: Portofolio/Payroll Management System/Potongan</t>
    </r>
  </si>
  <si>
    <r>
      <rPr>
        <b/>
        <sz val="11"/>
        <color theme="1"/>
        <rFont val="Arial"/>
        <family val="2"/>
      </rPr>
      <t>Source:</t>
    </r>
    <r>
      <rPr>
        <sz val="11"/>
        <color theme="1"/>
        <rFont val="Arial"/>
        <family val="2"/>
      </rPr>
      <t xml:space="preserve"> Portofolio/Payroll Management System/Lembur</t>
    </r>
  </si>
  <si>
    <t>Senin</t>
  </si>
  <si>
    <t>Selasa</t>
  </si>
  <si>
    <t>Rabu</t>
  </si>
  <si>
    <t>Kamis</t>
  </si>
  <si>
    <t>Sabtu</t>
  </si>
  <si>
    <t>Minggu</t>
  </si>
  <si>
    <t>Juni</t>
  </si>
  <si>
    <t>Juli</t>
  </si>
  <si>
    <t>H</t>
  </si>
  <si>
    <t>Jumat</t>
  </si>
  <si>
    <t>C</t>
  </si>
  <si>
    <t>H = Hadir</t>
  </si>
  <si>
    <t>C = Cuti</t>
  </si>
  <si>
    <t>Rekap Absen Karyawan</t>
  </si>
  <si>
    <t>Keterangan</t>
  </si>
  <si>
    <t>S= Sakit</t>
  </si>
  <si>
    <t>I = Izin/Unpaid Leave</t>
  </si>
  <si>
    <t>M= Mangkir</t>
  </si>
  <si>
    <t>HL</t>
  </si>
  <si>
    <t>Total Lembur (HL)   : 2 Hari</t>
  </si>
  <si>
    <t>Total Kehadiran      : 20 Hari</t>
  </si>
  <si>
    <t>Total Hari Kerja      : 21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</si>
</sst>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  <numFmt numFmtId="165" formatCode="0.0%"/>
    <numFmt numFmtId="166" formatCode="_(* #,##0.0_);_(* \(#,##0.0\);_(* &quot;-&quot;_);_(@_)"/>
    <numFmt numFmtId="167" formatCode="_-* #,##0_-;\-* #,##0_-;_-* &quot;-&quot;??_-;_-@_-"/>
    <numFmt numFmtId="168" formatCode="0\ &quot;Hari&quot;"/>
    <numFmt numFmtId="169" formatCode="0\ &quot;Kali&quot;"/>
    <numFmt numFmtId="170" formatCode="dd/mm/yyyy\ hh:mm:ss"/>
    <numFmt numFmtId="171" formatCode="[$-409]mmm\-yy;@"/>
    <numFmt numFmtId="172" formatCode="[$-409]d\-mmm\-yy;@"/>
    <numFmt numFmtId="173" formatCode="&quot;Rp&quot;#,##0"/>
    <numFmt numFmtId="174" formatCode="&quot;Rp&quot;#,##0.00"/>
    <numFmt numFmtId="175" formatCode="0.0"/>
    <numFmt numFmtId="176" formatCode="@\ * &quot;:&quot;"/>
    <numFmt numFmtId="177" formatCode="General\ &quot;Hari&quot;"/>
    <numFmt numFmtId="178" formatCode="General\ &quot;Jam&quot;"/>
    <numFmt numFmtId="179" formatCode="* @\ &quot;:&quot;"/>
    <numFmt numFmtId="180" formatCode="&quot;Rp&quot;#,##0\ &quot;per bulan.&quot;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36"/>
      <color theme="1"/>
      <name val="Calibri"/>
      <family val="2"/>
      <scheme val="minor"/>
    </font>
    <font>
      <sz val="9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11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2"/>
      <name val="Arial"/>
      <family val="2"/>
    </font>
    <font>
      <sz val="12"/>
      <color theme="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164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162">
    <xf numFmtId="0" fontId="0" fillId="0" borderId="0" xfId="0">
      <alignment vertical="center"/>
    </xf>
    <xf numFmtId="0" fontId="3" fillId="0" borderId="0" xfId="2"/>
    <xf numFmtId="0" fontId="3" fillId="0" borderId="7" xfId="2" applyBorder="1"/>
    <xf numFmtId="0" fontId="3" fillId="0" borderId="8" xfId="2" applyBorder="1"/>
    <xf numFmtId="0" fontId="3" fillId="0" borderId="9" xfId="2" applyBorder="1"/>
    <xf numFmtId="0" fontId="3" fillId="0" borderId="10" xfId="2" applyBorder="1"/>
    <xf numFmtId="0" fontId="3" fillId="0" borderId="11" xfId="2" applyBorder="1"/>
    <xf numFmtId="0" fontId="5" fillId="0" borderId="0" xfId="2" applyFont="1"/>
    <xf numFmtId="0" fontId="5" fillId="0" borderId="0" xfId="2" applyFont="1" applyAlignment="1">
      <alignment horizontal="right"/>
    </xf>
    <xf numFmtId="14" fontId="5" fillId="0" borderId="0" xfId="2" applyNumberFormat="1" applyFont="1" applyAlignment="1">
      <alignment horizontal="right"/>
    </xf>
    <xf numFmtId="0" fontId="1" fillId="5" borderId="0" xfId="2" applyFont="1" applyFill="1"/>
    <xf numFmtId="0" fontId="3" fillId="5" borderId="0" xfId="2" applyFill="1"/>
    <xf numFmtId="167" fontId="0" fillId="0" borderId="0" xfId="3" applyNumberFormat="1" applyFont="1" applyBorder="1"/>
    <xf numFmtId="0" fontId="3" fillId="0" borderId="0" xfId="2" applyAlignment="1">
      <alignment horizontal="right"/>
    </xf>
    <xf numFmtId="0" fontId="3" fillId="0" borderId="12" xfId="2" applyBorder="1"/>
    <xf numFmtId="167" fontId="0" fillId="0" borderId="12" xfId="3" applyNumberFormat="1" applyFont="1" applyBorder="1"/>
    <xf numFmtId="0" fontId="1" fillId="0" borderId="0" xfId="2" applyFont="1"/>
    <xf numFmtId="168" fontId="5" fillId="0" borderId="0" xfId="2" applyNumberFormat="1" applyFont="1"/>
    <xf numFmtId="169" fontId="5" fillId="0" borderId="0" xfId="2" applyNumberFormat="1" applyFont="1"/>
    <xf numFmtId="0" fontId="3" fillId="0" borderId="20" xfId="2" applyBorder="1"/>
    <xf numFmtId="0" fontId="3" fillId="0" borderId="21" xfId="2" applyBorder="1"/>
    <xf numFmtId="0" fontId="3" fillId="0" borderId="22" xfId="2" applyBorder="1"/>
    <xf numFmtId="171" fontId="5" fillId="0" borderId="0" xfId="2" applyNumberFormat="1" applyFont="1" applyAlignment="1">
      <alignment horizontal="right"/>
    </xf>
    <xf numFmtId="172" fontId="5" fillId="0" borderId="0" xfId="2" applyNumberFormat="1" applyFont="1" applyAlignment="1">
      <alignment horizontal="right"/>
    </xf>
    <xf numFmtId="167" fontId="7" fillId="0" borderId="0" xfId="3" applyNumberFormat="1" applyFont="1" applyBorder="1"/>
    <xf numFmtId="167" fontId="8" fillId="0" borderId="0" xfId="3" applyNumberFormat="1" applyFont="1" applyBorder="1"/>
    <xf numFmtId="167" fontId="9" fillId="0" borderId="0" xfId="3" applyNumberFormat="1" applyFont="1" applyBorder="1"/>
    <xf numFmtId="167" fontId="10" fillId="0" borderId="0" xfId="3" applyNumberFormat="1" applyFont="1" applyBorder="1"/>
    <xf numFmtId="0" fontId="6" fillId="6" borderId="0" xfId="2" applyFont="1" applyFill="1"/>
    <xf numFmtId="0" fontId="3" fillId="6" borderId="0" xfId="2" applyFill="1"/>
    <xf numFmtId="167" fontId="9" fillId="7" borderId="3" xfId="3" applyNumberFormat="1" applyFont="1" applyFill="1" applyBorder="1"/>
    <xf numFmtId="173" fontId="3" fillId="0" borderId="0" xfId="1" applyNumberFormat="1" applyFont="1"/>
    <xf numFmtId="173" fontId="3" fillId="0" borderId="8" xfId="1" applyNumberFormat="1" applyFont="1" applyBorder="1"/>
    <xf numFmtId="173" fontId="3" fillId="5" borderId="0" xfId="1" applyNumberFormat="1" applyFont="1" applyFill="1"/>
    <xf numFmtId="173" fontId="3" fillId="0" borderId="0" xfId="1" applyNumberFormat="1" applyFont="1" applyAlignment="1">
      <alignment horizontal="right"/>
    </xf>
    <xf numFmtId="173" fontId="3" fillId="0" borderId="12" xfId="1" applyNumberFormat="1" applyFont="1" applyBorder="1"/>
    <xf numFmtId="173" fontId="1" fillId="0" borderId="0" xfId="1" applyNumberFormat="1" applyFont="1"/>
    <xf numFmtId="173" fontId="5" fillId="0" borderId="0" xfId="1" applyNumberFormat="1" applyFont="1"/>
    <xf numFmtId="173" fontId="3" fillId="0" borderId="21" xfId="1" applyNumberFormat="1" applyFont="1" applyBorder="1"/>
    <xf numFmtId="1" fontId="3" fillId="0" borderId="0" xfId="1" applyNumberFormat="1" applyFont="1"/>
    <xf numFmtId="0" fontId="3" fillId="0" borderId="0" xfId="2" quotePrefix="1"/>
    <xf numFmtId="0" fontId="11" fillId="0" borderId="0" xfId="0" applyFont="1" applyAlignment="1">
      <alignment horizontal="center" vertical="center"/>
    </xf>
    <xf numFmtId="164" fontId="12" fillId="0" borderId="0" xfId="1" applyFont="1" applyAlignment="1">
      <alignment vertical="center"/>
    </xf>
    <xf numFmtId="0" fontId="12" fillId="0" borderId="0" xfId="0" applyFont="1">
      <alignment vertical="center"/>
    </xf>
    <xf numFmtId="176" fontId="12" fillId="0" borderId="0" xfId="0" applyNumberFormat="1" applyFont="1">
      <alignment vertical="center"/>
    </xf>
    <xf numFmtId="164" fontId="12" fillId="0" borderId="0" xfId="1" applyFont="1" applyBorder="1" applyAlignment="1">
      <alignment vertical="center"/>
    </xf>
    <xf numFmtId="174" fontId="11" fillId="0" borderId="0" xfId="1" applyNumberFormat="1" applyFont="1" applyBorder="1" applyAlignment="1">
      <alignment horizontal="left" vertical="top"/>
    </xf>
    <xf numFmtId="0" fontId="12" fillId="0" borderId="3" xfId="0" applyFont="1" applyBorder="1">
      <alignment vertical="center"/>
    </xf>
    <xf numFmtId="166" fontId="12" fillId="0" borderId="3" xfId="1" applyNumberFormat="1" applyFont="1" applyBorder="1" applyAlignment="1">
      <alignment vertical="center"/>
    </xf>
    <xf numFmtId="164" fontId="12" fillId="0" borderId="3" xfId="1" applyFont="1" applyBorder="1" applyAlignment="1">
      <alignment vertical="center"/>
    </xf>
    <xf numFmtId="0" fontId="11" fillId="4" borderId="3" xfId="0" applyFont="1" applyFill="1" applyBorder="1" applyAlignment="1">
      <alignment horizontal="center" vertical="center"/>
    </xf>
    <xf numFmtId="164" fontId="11" fillId="4" borderId="3" xfId="1" applyFont="1" applyFill="1" applyBorder="1" applyAlignment="1">
      <alignment horizontal="center" vertical="center"/>
    </xf>
    <xf numFmtId="166" fontId="11" fillId="4" borderId="3" xfId="1" applyNumberFormat="1" applyFont="1" applyFill="1" applyBorder="1" applyAlignment="1">
      <alignment horizontal="center" vertical="center"/>
    </xf>
    <xf numFmtId="164" fontId="12" fillId="0" borderId="3" xfId="1" applyFont="1" applyBorder="1" applyAlignment="1">
      <alignment horizontal="center" vertical="center"/>
    </xf>
    <xf numFmtId="164" fontId="11" fillId="0" borderId="0" xfId="1" applyFont="1" applyBorder="1" applyAlignment="1">
      <alignment vertical="center"/>
    </xf>
    <xf numFmtId="175" fontId="12" fillId="0" borderId="3" xfId="1" applyNumberFormat="1" applyFont="1" applyBorder="1" applyAlignment="1">
      <alignment horizontal="right" vertical="center"/>
    </xf>
    <xf numFmtId="174" fontId="12" fillId="0" borderId="3" xfId="1" applyNumberFormat="1" applyFont="1" applyBorder="1" applyAlignment="1">
      <alignment vertical="center"/>
    </xf>
    <xf numFmtId="174" fontId="11" fillId="0" borderId="23" xfId="1" applyNumberFormat="1" applyFont="1" applyBorder="1" applyAlignment="1">
      <alignment vertical="center"/>
    </xf>
    <xf numFmtId="174" fontId="11" fillId="0" borderId="0" xfId="1" applyNumberFormat="1" applyFont="1" applyBorder="1" applyAlignment="1">
      <alignment vertical="center"/>
    </xf>
    <xf numFmtId="0" fontId="11" fillId="0" borderId="0" xfId="0" applyFont="1" applyAlignment="1">
      <alignment horizontal="right" vertical="center"/>
    </xf>
    <xf numFmtId="1" fontId="12" fillId="0" borderId="5" xfId="1" applyNumberFormat="1" applyFont="1" applyBorder="1" applyAlignment="1">
      <alignment horizontal="right" vertical="center"/>
    </xf>
    <xf numFmtId="174" fontId="11" fillId="0" borderId="3" xfId="1" applyNumberFormat="1" applyFont="1" applyBorder="1" applyAlignment="1">
      <alignment vertical="center"/>
    </xf>
    <xf numFmtId="0" fontId="12" fillId="0" borderId="3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0" xfId="1" applyNumberFormat="1" applyFont="1" applyBorder="1" applyAlignment="1">
      <alignment vertical="center"/>
    </xf>
    <xf numFmtId="177" fontId="12" fillId="0" borderId="0" xfId="1" applyNumberFormat="1" applyFont="1" applyBorder="1" applyAlignment="1">
      <alignment horizontal="left" vertical="center"/>
    </xf>
    <xf numFmtId="178" fontId="12" fillId="0" borderId="0" xfId="1" applyNumberFormat="1" applyFont="1" applyBorder="1" applyAlignment="1">
      <alignment horizontal="left" vertical="center"/>
    </xf>
    <xf numFmtId="174" fontId="12" fillId="0" borderId="0" xfId="0" applyNumberFormat="1" applyFont="1">
      <alignment vertical="center"/>
    </xf>
    <xf numFmtId="179" fontId="12" fillId="0" borderId="12" xfId="0" applyNumberFormat="1" applyFont="1" applyBorder="1">
      <alignment vertical="center"/>
    </xf>
    <xf numFmtId="0" fontId="11" fillId="0" borderId="3" xfId="0" applyFont="1" applyBorder="1" applyAlignment="1">
      <alignment horizontal="center" vertical="center"/>
    </xf>
    <xf numFmtId="164" fontId="11" fillId="0" borderId="3" xfId="1" applyFont="1" applyFill="1" applyBorder="1" applyAlignment="1">
      <alignment horizontal="center" vertical="center"/>
    </xf>
    <xf numFmtId="9" fontId="12" fillId="2" borderId="3" xfId="1" applyNumberFormat="1" applyFont="1" applyFill="1" applyBorder="1" applyAlignment="1">
      <alignment horizontal="center" vertical="center"/>
    </xf>
    <xf numFmtId="10" fontId="12" fillId="3" borderId="3" xfId="1" applyNumberFormat="1" applyFont="1" applyFill="1" applyBorder="1" applyAlignment="1">
      <alignment horizontal="center" vertical="center"/>
    </xf>
    <xf numFmtId="165" fontId="12" fillId="3" borderId="3" xfId="0" applyNumberFormat="1" applyFont="1" applyFill="1" applyBorder="1" applyAlignment="1">
      <alignment horizontal="center" vertical="center"/>
    </xf>
    <xf numFmtId="9" fontId="12" fillId="3" borderId="3" xfId="0" applyNumberFormat="1" applyFont="1" applyFill="1" applyBorder="1" applyAlignment="1">
      <alignment horizontal="center" vertical="center"/>
    </xf>
    <xf numFmtId="9" fontId="12" fillId="2" borderId="3" xfId="0" applyNumberFormat="1" applyFont="1" applyFill="1" applyBorder="1" applyAlignment="1">
      <alignment horizontal="center" vertical="center"/>
    </xf>
    <xf numFmtId="0" fontId="12" fillId="0" borderId="14" xfId="0" applyFont="1" applyBorder="1">
      <alignment vertical="center"/>
    </xf>
    <xf numFmtId="174" fontId="12" fillId="0" borderId="14" xfId="1" applyNumberFormat="1" applyFont="1" applyBorder="1" applyAlignment="1">
      <alignment vertical="center"/>
    </xf>
    <xf numFmtId="44" fontId="12" fillId="0" borderId="0" xfId="0" applyNumberFormat="1" applyFont="1">
      <alignment vertical="center"/>
    </xf>
    <xf numFmtId="44" fontId="12" fillId="0" borderId="0" xfId="1" applyNumberFormat="1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164" fontId="12" fillId="2" borderId="3" xfId="1" applyFont="1" applyFill="1" applyBorder="1" applyAlignment="1">
      <alignment vertical="center"/>
    </xf>
    <xf numFmtId="10" fontId="12" fillId="0" borderId="0" xfId="0" applyNumberFormat="1" applyFont="1">
      <alignment vertical="center"/>
    </xf>
    <xf numFmtId="174" fontId="12" fillId="0" borderId="3" xfId="0" applyNumberFormat="1" applyFont="1" applyBorder="1">
      <alignment vertical="center"/>
    </xf>
    <xf numFmtId="174" fontId="11" fillId="0" borderId="12" xfId="1" applyNumberFormat="1" applyFont="1" applyBorder="1" applyAlignment="1">
      <alignment vertical="center"/>
    </xf>
    <xf numFmtId="174" fontId="11" fillId="0" borderId="2" xfId="0" applyNumberFormat="1" applyFont="1" applyBorder="1">
      <alignment vertical="center"/>
    </xf>
    <xf numFmtId="174" fontId="11" fillId="0" borderId="12" xfId="1" applyNumberFormat="1" applyFont="1" applyBorder="1" applyAlignment="1">
      <alignment horizontal="left" vertical="top"/>
    </xf>
    <xf numFmtId="174" fontId="11" fillId="0" borderId="2" xfId="0" applyNumberFormat="1" applyFont="1" applyBorder="1" applyAlignment="1">
      <alignment horizontal="left" vertical="top"/>
    </xf>
    <xf numFmtId="164" fontId="12" fillId="3" borderId="3" xfId="1" applyFont="1" applyFill="1" applyBorder="1" applyAlignment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26" xfId="0" applyFont="1" applyBorder="1" applyAlignment="1">
      <alignment horizontal="left" vertical="center"/>
    </xf>
    <xf numFmtId="0" fontId="16" fillId="0" borderId="34" xfId="0" applyFont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/>
    </xf>
    <xf numFmtId="0" fontId="18" fillId="8" borderId="34" xfId="0" applyFont="1" applyFill="1" applyBorder="1" applyAlignment="1">
      <alignment horizontal="center" vertical="center"/>
    </xf>
    <xf numFmtId="0" fontId="16" fillId="8" borderId="34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16" fillId="0" borderId="18" xfId="0" applyFont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7" borderId="24" xfId="0" applyFont="1" applyFill="1" applyBorder="1" applyAlignment="1">
      <alignment horizontal="center" vertical="center"/>
    </xf>
    <xf numFmtId="0" fontId="16" fillId="7" borderId="25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9" borderId="31" xfId="0" applyFont="1" applyFill="1" applyBorder="1" applyAlignment="1">
      <alignment horizontal="center" vertical="center"/>
    </xf>
    <xf numFmtId="0" fontId="15" fillId="10" borderId="30" xfId="0" applyFont="1" applyFill="1" applyBorder="1" applyAlignment="1">
      <alignment horizontal="center" vertical="center"/>
    </xf>
    <xf numFmtId="0" fontId="15" fillId="10" borderId="31" xfId="0" applyFont="1" applyFill="1" applyBorder="1" applyAlignment="1">
      <alignment horizontal="center" vertical="center"/>
    </xf>
    <xf numFmtId="0" fontId="15" fillId="10" borderId="28" xfId="0" applyFont="1" applyFill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74" fontId="11" fillId="0" borderId="0" xfId="1" applyNumberFormat="1" applyFont="1" applyBorder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right" vertical="center"/>
    </xf>
    <xf numFmtId="0" fontId="12" fillId="0" borderId="0" xfId="1" applyNumberFormat="1" applyFont="1" applyBorder="1" applyAlignment="1">
      <alignment horizontal="left" vertical="top"/>
    </xf>
    <xf numFmtId="1" fontId="12" fillId="0" borderId="0" xfId="1" applyNumberFormat="1" applyFont="1" applyBorder="1" applyAlignment="1">
      <alignment horizontal="left" vertical="top"/>
    </xf>
    <xf numFmtId="0" fontId="12" fillId="0" borderId="12" xfId="0" applyFont="1" applyBorder="1" applyAlignment="1">
      <alignment horizontal="right" vertical="center"/>
    </xf>
    <xf numFmtId="0" fontId="11" fillId="0" borderId="3" xfId="0" applyFont="1" applyBorder="1" applyAlignment="1">
      <alignment horizontal="center" vertical="center"/>
    </xf>
    <xf numFmtId="176" fontId="12" fillId="0" borderId="2" xfId="0" applyNumberFormat="1" applyFont="1" applyBorder="1" applyAlignment="1">
      <alignment horizontal="center" vertical="top"/>
    </xf>
    <xf numFmtId="180" fontId="12" fillId="0" borderId="16" xfId="0" applyNumberFormat="1" applyFont="1" applyBorder="1" applyAlignment="1">
      <alignment horizontal="left" vertical="center"/>
    </xf>
    <xf numFmtId="180" fontId="12" fillId="0" borderId="0" xfId="0" applyNumberFormat="1" applyFont="1" applyAlignment="1">
      <alignment horizontal="left" vertical="center"/>
    </xf>
    <xf numFmtId="176" fontId="12" fillId="0" borderId="12" xfId="0" applyNumberFormat="1" applyFont="1" applyBorder="1" applyAlignment="1">
      <alignment horizontal="left" vertical="top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64" fontId="11" fillId="0" borderId="5" xfId="1" applyFont="1" applyFill="1" applyBorder="1" applyAlignment="1">
      <alignment horizontal="center" vertical="center"/>
    </xf>
    <xf numFmtId="164" fontId="11" fillId="0" borderId="6" xfId="1" applyFont="1" applyFill="1" applyBorder="1" applyAlignment="1">
      <alignment horizontal="center" vertical="center"/>
    </xf>
    <xf numFmtId="9" fontId="12" fillId="3" borderId="5" xfId="0" applyNumberFormat="1" applyFont="1" applyFill="1" applyBorder="1" applyAlignment="1">
      <alignment horizontal="center" vertical="center"/>
    </xf>
    <xf numFmtId="9" fontId="12" fillId="3" borderId="6" xfId="0" applyNumberFormat="1" applyFont="1" applyFill="1" applyBorder="1" applyAlignment="1">
      <alignment horizontal="center" vertical="center"/>
    </xf>
    <xf numFmtId="9" fontId="12" fillId="2" borderId="5" xfId="1" applyNumberFormat="1" applyFont="1" applyFill="1" applyBorder="1" applyAlignment="1">
      <alignment horizontal="center" vertical="center"/>
    </xf>
    <xf numFmtId="9" fontId="12" fillId="2" borderId="6" xfId="1" applyNumberFormat="1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76" fontId="12" fillId="0" borderId="12" xfId="0" applyNumberFormat="1" applyFont="1" applyBorder="1" applyAlignment="1">
      <alignment horizontal="center" vertical="top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0" xfId="2" applyFont="1" applyAlignment="1">
      <alignment horizontal="left"/>
    </xf>
    <xf numFmtId="0" fontId="3" fillId="0" borderId="13" xfId="2" applyBorder="1" applyAlignment="1">
      <alignment horizontal="center"/>
    </xf>
    <xf numFmtId="0" fontId="3" fillId="0" borderId="14" xfId="2" applyBorder="1" applyAlignment="1">
      <alignment horizontal="center"/>
    </xf>
    <xf numFmtId="0" fontId="3" fillId="0" borderId="15" xfId="2" applyBorder="1" applyAlignment="1">
      <alignment horizontal="center"/>
    </xf>
    <xf numFmtId="167" fontId="4" fillId="0" borderId="16" xfId="2" applyNumberFormat="1" applyFont="1" applyBorder="1" applyAlignment="1">
      <alignment horizontal="right"/>
    </xf>
    <xf numFmtId="0" fontId="4" fillId="0" borderId="0" xfId="2" applyFont="1" applyAlignment="1">
      <alignment horizontal="right"/>
    </xf>
    <xf numFmtId="0" fontId="4" fillId="0" borderId="17" xfId="2" applyFont="1" applyBorder="1" applyAlignment="1">
      <alignment horizontal="right"/>
    </xf>
    <xf numFmtId="0" fontId="4" fillId="0" borderId="16" xfId="2" applyFont="1" applyBorder="1" applyAlignment="1">
      <alignment horizontal="right"/>
    </xf>
    <xf numFmtId="0" fontId="4" fillId="0" borderId="18" xfId="2" applyFont="1" applyBorder="1" applyAlignment="1">
      <alignment horizontal="right"/>
    </xf>
    <xf numFmtId="0" fontId="4" fillId="0" borderId="12" xfId="2" applyFont="1" applyBorder="1" applyAlignment="1">
      <alignment horizontal="right"/>
    </xf>
    <xf numFmtId="0" fontId="4" fillId="0" borderId="19" xfId="2" applyFont="1" applyBorder="1" applyAlignment="1">
      <alignment horizontal="right"/>
    </xf>
    <xf numFmtId="170" fontId="3" fillId="0" borderId="0" xfId="2" applyNumberFormat="1" applyAlignment="1">
      <alignment horizontal="center"/>
    </xf>
    <xf numFmtId="0" fontId="4" fillId="0" borderId="0" xfId="2" applyFont="1" applyAlignment="1">
      <alignment horizontal="right" vertical="center"/>
    </xf>
    <xf numFmtId="0" fontId="3" fillId="0" borderId="0" xfId="2" applyAlignment="1">
      <alignment horizontal="center"/>
    </xf>
    <xf numFmtId="0" fontId="5" fillId="0" borderId="0" xfId="2" applyFont="1" applyAlignment="1">
      <alignment horizontal="right"/>
    </xf>
    <xf numFmtId="1" fontId="12" fillId="0" borderId="3" xfId="1" applyNumberFormat="1" applyFont="1" applyBorder="1" applyAlignment="1">
      <alignment vertical="center"/>
    </xf>
    <xf numFmtId="164" fontId="12" fillId="0" borderId="3" xfId="1" applyNumberFormat="1" applyFont="1" applyBorder="1" applyAlignment="1">
      <alignment vertical="center"/>
    </xf>
  </cellXfs>
  <cellStyles count="4">
    <cellStyle name="Comma [0]" xfId="1" builtinId="6"/>
    <cellStyle name="Comma 2" xfId="3" xr:uid="{0DA76FF6-FEAC-3C48-B1A8-A6409DEFAB28}"/>
    <cellStyle name="Normal" xfId="0" builtinId="0"/>
    <cellStyle name="Normal 2" xfId="2" xr:uid="{5CD576DA-FCB8-8243-8DFE-C6F9BFA69D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144319</xdr:colOff>
      <xdr:row>1</xdr:row>
      <xdr:rowOff>69018</xdr:rowOff>
    </xdr:from>
    <xdr:to>
      <xdr:col>3</xdr:col>
      <xdr:colOff>259774</xdr:colOff>
      <xdr:row>7</xdr:row>
      <xdr:rowOff>13854</xdr:rowOff>
    </xdr:to>
    <xdr:pic>
      <xdr:nvPicPr>
        <xdr:cNvPr id="2" name="Picture 1" descr="Beautiful and unique logo design for ecommerce and retail ...">
          <a:extLst>
            <a:ext uri="{FF2B5EF4-FFF2-40B4-BE49-F238E27FC236}">
              <a16:creationId xmlns:a16="http://schemas.microsoft.com/office/drawing/2014/main" id="{63FEEEFD-4EF0-F64E-BE74-8A5205AC5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419" y="272218"/>
          <a:ext cx="979055" cy="948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144319</xdr:colOff>
      <xdr:row>1</xdr:row>
      <xdr:rowOff>69018</xdr:rowOff>
    </xdr:from>
    <xdr:to>
      <xdr:col>3</xdr:col>
      <xdr:colOff>259774</xdr:colOff>
      <xdr:row>7</xdr:row>
      <xdr:rowOff>13854</xdr:rowOff>
    </xdr:to>
    <xdr:pic>
      <xdr:nvPicPr>
        <xdr:cNvPr id="2" name="Picture 1" descr="Beautiful and unique logo design for ecommerce and retail ...">
          <a:extLst>
            <a:ext uri="{FF2B5EF4-FFF2-40B4-BE49-F238E27FC236}">
              <a16:creationId xmlns:a16="http://schemas.microsoft.com/office/drawing/2014/main" id="{99831789-D789-0149-B969-97B24CF68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419" y="272218"/>
          <a:ext cx="979055" cy="948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79622-B9A4-8F48-9D2D-26CE10ED13D0}">
  <sheetPr>
    <pageSetUpPr fitToPage="1"/>
  </sheetPr>
  <dimension ref="A1:AF16"/>
  <sheetViews>
    <sheetView view="pageBreakPreview" zoomScale="60" zoomScaleNormal="100" workbookViewId="0">
      <selection sqref="A1:AF1"/>
    </sheetView>
  </sheetViews>
  <sheetFormatPr defaultColWidth="10.81640625" defaultRowHeight="15.5"/>
  <cols>
    <col min="1" max="1" width="13.26953125" style="89" bestFit="1" customWidth="1"/>
    <col min="2" max="2" width="17.54296875" style="90" bestFit="1" customWidth="1"/>
    <col min="3" max="32" width="7.6328125" style="90" customWidth="1"/>
    <col min="33" max="16384" width="10.81640625" style="89"/>
  </cols>
  <sheetData>
    <row r="1" spans="1:32" ht="20.5" thickBot="1">
      <c r="A1" s="110" t="s">
        <v>119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</row>
    <row r="2" spans="1:32" ht="16" thickBot="1">
      <c r="A2" s="119"/>
      <c r="B2" s="120"/>
      <c r="C2" s="111" t="s">
        <v>112</v>
      </c>
      <c r="D2" s="111"/>
      <c r="E2" s="111"/>
      <c r="F2" s="111"/>
      <c r="G2" s="111"/>
      <c r="H2" s="111"/>
      <c r="I2" s="111"/>
      <c r="J2" s="111"/>
      <c r="K2" s="111"/>
      <c r="L2" s="111"/>
      <c r="M2" s="112" t="s">
        <v>113</v>
      </c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4"/>
    </row>
    <row r="3" spans="1:32">
      <c r="A3" s="115" t="s">
        <v>10</v>
      </c>
      <c r="B3" s="117" t="s">
        <v>71</v>
      </c>
      <c r="C3" s="91" t="s">
        <v>111</v>
      </c>
      <c r="D3" s="91" t="s">
        <v>106</v>
      </c>
      <c r="E3" s="91" t="s">
        <v>107</v>
      </c>
      <c r="F3" s="91" t="s">
        <v>108</v>
      </c>
      <c r="G3" s="91" t="s">
        <v>109</v>
      </c>
      <c r="H3" s="91" t="s">
        <v>115</v>
      </c>
      <c r="I3" s="91" t="s">
        <v>110</v>
      </c>
      <c r="J3" s="91" t="s">
        <v>111</v>
      </c>
      <c r="K3" s="91" t="s">
        <v>106</v>
      </c>
      <c r="L3" s="102" t="s">
        <v>107</v>
      </c>
      <c r="M3" s="93" t="s">
        <v>108</v>
      </c>
      <c r="N3" s="91" t="s">
        <v>109</v>
      </c>
      <c r="O3" s="91" t="s">
        <v>115</v>
      </c>
      <c r="P3" s="91" t="s">
        <v>110</v>
      </c>
      <c r="Q3" s="91" t="s">
        <v>111</v>
      </c>
      <c r="R3" s="91" t="s">
        <v>106</v>
      </c>
      <c r="S3" s="91" t="s">
        <v>107</v>
      </c>
      <c r="T3" s="91" t="s">
        <v>108</v>
      </c>
      <c r="U3" s="91" t="s">
        <v>109</v>
      </c>
      <c r="V3" s="91" t="s">
        <v>115</v>
      </c>
      <c r="W3" s="91" t="s">
        <v>110</v>
      </c>
      <c r="X3" s="91" t="s">
        <v>111</v>
      </c>
      <c r="Y3" s="91" t="s">
        <v>106</v>
      </c>
      <c r="Z3" s="91" t="s">
        <v>107</v>
      </c>
      <c r="AA3" s="91" t="s">
        <v>108</v>
      </c>
      <c r="AB3" s="91" t="s">
        <v>109</v>
      </c>
      <c r="AC3" s="91" t="s">
        <v>115</v>
      </c>
      <c r="AD3" s="91" t="s">
        <v>110</v>
      </c>
      <c r="AE3" s="91" t="s">
        <v>111</v>
      </c>
      <c r="AF3" s="105" t="s">
        <v>106</v>
      </c>
    </row>
    <row r="4" spans="1:32" s="90" customFormat="1">
      <c r="A4" s="116"/>
      <c r="B4" s="118"/>
      <c r="C4" s="92">
        <v>21</v>
      </c>
      <c r="D4" s="92">
        <v>22</v>
      </c>
      <c r="E4" s="92">
        <v>23</v>
      </c>
      <c r="F4" s="92">
        <v>24</v>
      </c>
      <c r="G4" s="92">
        <v>25</v>
      </c>
      <c r="H4" s="92">
        <v>26</v>
      </c>
      <c r="I4" s="92">
        <v>27</v>
      </c>
      <c r="J4" s="92">
        <v>28</v>
      </c>
      <c r="K4" s="92">
        <v>29</v>
      </c>
      <c r="L4" s="103">
        <v>30</v>
      </c>
      <c r="M4" s="106">
        <v>1</v>
      </c>
      <c r="N4" s="92">
        <v>2</v>
      </c>
      <c r="O4" s="92">
        <v>3</v>
      </c>
      <c r="P4" s="92">
        <v>4</v>
      </c>
      <c r="Q4" s="92">
        <v>5</v>
      </c>
      <c r="R4" s="92">
        <v>6</v>
      </c>
      <c r="S4" s="92">
        <v>7</v>
      </c>
      <c r="T4" s="92">
        <v>8</v>
      </c>
      <c r="U4" s="92">
        <v>9</v>
      </c>
      <c r="V4" s="92">
        <v>10</v>
      </c>
      <c r="W4" s="92">
        <v>11</v>
      </c>
      <c r="X4" s="92">
        <v>12</v>
      </c>
      <c r="Y4" s="92">
        <v>13</v>
      </c>
      <c r="Z4" s="92">
        <v>14</v>
      </c>
      <c r="AA4" s="92">
        <v>15</v>
      </c>
      <c r="AB4" s="92">
        <v>16</v>
      </c>
      <c r="AC4" s="92">
        <v>17</v>
      </c>
      <c r="AD4" s="92">
        <v>18</v>
      </c>
      <c r="AE4" s="92">
        <v>19</v>
      </c>
      <c r="AF4" s="107">
        <v>20</v>
      </c>
    </row>
    <row r="5" spans="1:32" s="90" customFormat="1" ht="16" thickBot="1">
      <c r="A5" s="94" t="s">
        <v>80</v>
      </c>
      <c r="B5" s="95" t="s">
        <v>88</v>
      </c>
      <c r="C5" s="96" t="s">
        <v>124</v>
      </c>
      <c r="D5" s="95" t="s">
        <v>124</v>
      </c>
      <c r="E5" s="95" t="s">
        <v>114</v>
      </c>
      <c r="F5" s="95" t="s">
        <v>114</v>
      </c>
      <c r="G5" s="95" t="s">
        <v>116</v>
      </c>
      <c r="H5" s="95" t="s">
        <v>114</v>
      </c>
      <c r="I5" s="97"/>
      <c r="J5" s="97"/>
      <c r="K5" s="95" t="s">
        <v>114</v>
      </c>
      <c r="L5" s="104" t="s">
        <v>114</v>
      </c>
      <c r="M5" s="108" t="s">
        <v>114</v>
      </c>
      <c r="N5" s="95" t="s">
        <v>114</v>
      </c>
      <c r="O5" s="95" t="s">
        <v>114</v>
      </c>
      <c r="P5" s="98"/>
      <c r="Q5" s="98"/>
      <c r="R5" s="95" t="s">
        <v>114</v>
      </c>
      <c r="S5" s="95" t="s">
        <v>114</v>
      </c>
      <c r="T5" s="95" t="s">
        <v>114</v>
      </c>
      <c r="U5" s="95" t="s">
        <v>114</v>
      </c>
      <c r="V5" s="95" t="s">
        <v>114</v>
      </c>
      <c r="W5" s="98"/>
      <c r="X5" s="98"/>
      <c r="Y5" s="95" t="s">
        <v>114</v>
      </c>
      <c r="Z5" s="95" t="s">
        <v>114</v>
      </c>
      <c r="AA5" s="95" t="s">
        <v>114</v>
      </c>
      <c r="AB5" s="95" t="s">
        <v>114</v>
      </c>
      <c r="AC5" s="95" t="s">
        <v>114</v>
      </c>
      <c r="AD5" s="98"/>
      <c r="AE5" s="98"/>
      <c r="AF5" s="99" t="s">
        <v>114</v>
      </c>
    </row>
    <row r="7" spans="1:32">
      <c r="A7" s="100" t="s">
        <v>127</v>
      </c>
    </row>
    <row r="8" spans="1:32">
      <c r="A8" s="100" t="s">
        <v>126</v>
      </c>
    </row>
    <row r="9" spans="1:32">
      <c r="A9" s="100" t="s">
        <v>125</v>
      </c>
    </row>
    <row r="11" spans="1:32">
      <c r="A11" s="109" t="s">
        <v>120</v>
      </c>
      <c r="B11" s="109"/>
    </row>
    <row r="12" spans="1:32">
      <c r="A12" s="89" t="s">
        <v>117</v>
      </c>
      <c r="B12" s="89"/>
    </row>
    <row r="13" spans="1:32">
      <c r="A13" s="89" t="s">
        <v>118</v>
      </c>
      <c r="B13" s="89"/>
    </row>
    <row r="14" spans="1:32">
      <c r="A14" s="89" t="s">
        <v>122</v>
      </c>
    </row>
    <row r="15" spans="1:32">
      <c r="A15" s="101" t="s">
        <v>121</v>
      </c>
    </row>
    <row r="16" spans="1:32">
      <c r="A16" s="89" t="s">
        <v>123</v>
      </c>
    </row>
  </sheetData>
  <mergeCells count="7">
    <mergeCell ref="A11:B11"/>
    <mergeCell ref="A1:AF1"/>
    <mergeCell ref="C2:L2"/>
    <mergeCell ref="M2:AF2"/>
    <mergeCell ref="A3:A4"/>
    <mergeCell ref="B3:B4"/>
    <mergeCell ref="A2:B2"/>
  </mergeCells>
  <printOptions horizontalCentered="1"/>
  <pageMargins left="0.39370078740157483" right="0.39370078740157483" top="0.39370078740157483" bottom="0.39370078740157483" header="0.31496062992125984" footer="0.31496062992125984"/>
  <pageSetup paperSize="158" scale="84" fitToHeight="0" orientation="landscape" r:id="rId1"/>
  <headerFooter>
    <oddFooter>&amp;L     &amp;"-,Bold"Source:&amp;"-,Regular" Portofolio/Payroll Management System/Absen+Calender
     Creat by Wahyudiansyah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AA3E-F5B6-8841-8941-5B5E0F04CD0F}">
  <sheetPr>
    <pageSetUpPr fitToPage="1"/>
  </sheetPr>
  <dimension ref="A1:I21"/>
  <sheetViews>
    <sheetView showGridLines="0" tabSelected="1" view="pageLayout" zoomScaleNormal="90" workbookViewId="0">
      <selection activeCell="B4" sqref="B4:C4"/>
    </sheetView>
  </sheetViews>
  <sheetFormatPr defaultColWidth="10.90625" defaultRowHeight="14"/>
  <cols>
    <col min="1" max="1" width="26.81640625" style="43" customWidth="1"/>
    <col min="2" max="2" width="14.90625" style="42" customWidth="1"/>
    <col min="3" max="3" width="17" style="42" bestFit="1" customWidth="1"/>
    <col min="4" max="4" width="18.1796875" style="42" bestFit="1" customWidth="1"/>
    <col min="5" max="5" width="15.7265625" style="42" bestFit="1" customWidth="1"/>
    <col min="6" max="8" width="10.81640625" style="42"/>
    <col min="9" max="9" width="12.453125" style="43" bestFit="1" customWidth="1"/>
    <col min="10" max="16384" width="10.90625" style="43"/>
  </cols>
  <sheetData>
    <row r="1" spans="1:9">
      <c r="A1" s="122" t="s">
        <v>77</v>
      </c>
      <c r="B1" s="122"/>
      <c r="C1" s="122"/>
      <c r="D1" s="122"/>
      <c r="E1" s="122"/>
    </row>
    <row r="2" spans="1:9">
      <c r="A2" s="41"/>
      <c r="B2" s="41"/>
      <c r="C2" s="41"/>
      <c r="D2" s="41"/>
      <c r="E2" s="41"/>
    </row>
    <row r="3" spans="1:9">
      <c r="A3" s="44" t="s">
        <v>72</v>
      </c>
      <c r="B3" s="124">
        <v>201441661</v>
      </c>
      <c r="C3" s="124"/>
      <c r="D3" s="44" t="s">
        <v>85</v>
      </c>
      <c r="E3" s="64" t="s">
        <v>88</v>
      </c>
    </row>
    <row r="4" spans="1:9">
      <c r="A4" s="44" t="s">
        <v>73</v>
      </c>
      <c r="B4" s="124" t="s">
        <v>80</v>
      </c>
      <c r="C4" s="124"/>
      <c r="D4" s="44" t="s">
        <v>86</v>
      </c>
      <c r="E4" s="64" t="s">
        <v>89</v>
      </c>
    </row>
    <row r="5" spans="1:9">
      <c r="A5" s="44" t="s">
        <v>29</v>
      </c>
      <c r="B5" s="121">
        <v>4827725.4906000001</v>
      </c>
      <c r="C5" s="121"/>
      <c r="D5" s="44" t="s">
        <v>87</v>
      </c>
      <c r="E5" s="64" t="s">
        <v>90</v>
      </c>
    </row>
    <row r="6" spans="1:9">
      <c r="A6" s="44" t="s">
        <v>74</v>
      </c>
      <c r="B6" s="121">
        <v>1609241.8302</v>
      </c>
      <c r="C6" s="121"/>
      <c r="D6" s="44" t="s">
        <v>91</v>
      </c>
      <c r="E6" s="65">
        <v>20</v>
      </c>
    </row>
    <row r="7" spans="1:9">
      <c r="A7" s="44" t="s">
        <v>75</v>
      </c>
      <c r="B7" s="125">
        <v>173</v>
      </c>
      <c r="C7" s="125"/>
      <c r="D7" s="44" t="s">
        <v>78</v>
      </c>
      <c r="E7" s="66">
        <v>1</v>
      </c>
    </row>
    <row r="8" spans="1:9">
      <c r="A8" s="44" t="s">
        <v>76</v>
      </c>
      <c r="B8" s="121">
        <f>(B5+B6)/B7</f>
        <v>37207.903588439309</v>
      </c>
      <c r="C8" s="121"/>
      <c r="D8" s="44" t="s">
        <v>79</v>
      </c>
      <c r="E8" s="66">
        <v>4</v>
      </c>
    </row>
    <row r="9" spans="1:9">
      <c r="B9" s="46"/>
      <c r="C9" s="46"/>
      <c r="D9" s="45"/>
      <c r="E9" s="45"/>
    </row>
    <row r="10" spans="1:9">
      <c r="A10" s="50" t="s">
        <v>82</v>
      </c>
      <c r="B10" s="51" t="s">
        <v>92</v>
      </c>
      <c r="C10" s="52" t="s">
        <v>93</v>
      </c>
      <c r="D10" s="51" t="s">
        <v>84</v>
      </c>
      <c r="E10" s="51" t="s">
        <v>6</v>
      </c>
    </row>
    <row r="11" spans="1:9">
      <c r="A11" s="62" t="s">
        <v>83</v>
      </c>
      <c r="B11" s="55">
        <v>1.5</v>
      </c>
      <c r="C11" s="56">
        <f>B11*$B$8</f>
        <v>55811.855382658963</v>
      </c>
      <c r="D11" s="160">
        <v>1</v>
      </c>
      <c r="E11" s="56">
        <f>C11*D11</f>
        <v>55811.855382658963</v>
      </c>
    </row>
    <row r="12" spans="1:9">
      <c r="A12" s="63" t="s">
        <v>7</v>
      </c>
      <c r="B12" s="60">
        <v>2</v>
      </c>
      <c r="C12" s="56">
        <f>B12*$B$8</f>
        <v>74415.807176878618</v>
      </c>
      <c r="D12" s="48">
        <v>0</v>
      </c>
      <c r="E12" s="56">
        <f>C12*D12</f>
        <v>0</v>
      </c>
      <c r="I12" s="67"/>
    </row>
    <row r="13" spans="1:9">
      <c r="A13" s="123" t="s">
        <v>4</v>
      </c>
      <c r="B13" s="123"/>
      <c r="C13" s="123"/>
      <c r="D13" s="123"/>
      <c r="E13" s="61">
        <f>SUM(E11:E12)</f>
        <v>55811.855382658963</v>
      </c>
    </row>
    <row r="14" spans="1:9">
      <c r="A14" s="59"/>
      <c r="B14" s="59"/>
      <c r="C14" s="59"/>
      <c r="D14" s="59"/>
      <c r="E14" s="58"/>
    </row>
    <row r="15" spans="1:9">
      <c r="A15" s="50" t="s">
        <v>81</v>
      </c>
      <c r="B15" s="51" t="s">
        <v>92</v>
      </c>
      <c r="C15" s="51" t="s">
        <v>93</v>
      </c>
      <c r="D15" s="51" t="s">
        <v>93</v>
      </c>
      <c r="E15" s="51" t="s">
        <v>6</v>
      </c>
    </row>
    <row r="16" spans="1:9">
      <c r="A16" s="62" t="s">
        <v>8</v>
      </c>
      <c r="B16" s="53">
        <v>2</v>
      </c>
      <c r="C16" s="56">
        <f>B16*$B$8</f>
        <v>74415.807176878618</v>
      </c>
      <c r="D16" s="161">
        <v>4</v>
      </c>
      <c r="E16" s="56">
        <f>C16*D16</f>
        <v>297663.22870751447</v>
      </c>
    </row>
    <row r="17" spans="1:5">
      <c r="A17" s="62" t="s">
        <v>9</v>
      </c>
      <c r="B17" s="53">
        <v>3</v>
      </c>
      <c r="C17" s="56">
        <f t="shared" ref="C17:C18" si="0">B17*$B$8</f>
        <v>111623.71076531793</v>
      </c>
      <c r="D17" s="161">
        <v>0</v>
      </c>
      <c r="E17" s="56">
        <f t="shared" ref="E17:E18" si="1">C17*D17</f>
        <v>0</v>
      </c>
    </row>
    <row r="18" spans="1:5" ht="14.5" thickBot="1">
      <c r="A18" s="62" t="s">
        <v>12</v>
      </c>
      <c r="B18" s="49">
        <v>4</v>
      </c>
      <c r="C18" s="56">
        <f t="shared" si="0"/>
        <v>148831.61435375724</v>
      </c>
      <c r="D18" s="161">
        <v>0</v>
      </c>
      <c r="E18" s="56">
        <f t="shared" si="1"/>
        <v>0</v>
      </c>
    </row>
    <row r="19" spans="1:5" ht="14.5" thickBot="1">
      <c r="A19" s="123" t="s">
        <v>4</v>
      </c>
      <c r="B19" s="123"/>
      <c r="C19" s="123"/>
      <c r="D19" s="123"/>
      <c r="E19" s="57">
        <f>SUM(E16:E18)</f>
        <v>297663.22870751447</v>
      </c>
    </row>
    <row r="21" spans="1:5">
      <c r="A21" s="43" t="s">
        <v>105</v>
      </c>
    </row>
  </sheetData>
  <mergeCells count="9">
    <mergeCell ref="B8:C8"/>
    <mergeCell ref="A1:E1"/>
    <mergeCell ref="A13:D13"/>
    <mergeCell ref="A19:D19"/>
    <mergeCell ref="B3:C3"/>
    <mergeCell ref="B4:C4"/>
    <mergeCell ref="B5:C5"/>
    <mergeCell ref="B6:C6"/>
    <mergeCell ref="B7:C7"/>
  </mergeCells>
  <phoneticPr fontId="13" type="noConversion"/>
  <printOptions horizontalCentered="1"/>
  <pageMargins left="0.39370078740157483" right="0.39370078740157483" top="0.39370078740157483" bottom="0.39370078740157483" header="0.31496062992125984" footer="0.31496062992125984"/>
  <pageSetup paperSize="11" fitToWidth="0" orientation="landscape" r:id="rId1"/>
  <headerFooter>
    <oddFooter>&amp;L      Creat by Wahyudiansyah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DBFCA-2FC0-6B46-9AF9-97A486678C99}">
  <sheetPr>
    <pageSetUpPr fitToPage="1"/>
  </sheetPr>
  <dimension ref="A1:I28"/>
  <sheetViews>
    <sheetView showGridLines="0" view="pageBreakPreview" zoomScale="60" zoomScaleNormal="90" workbookViewId="0">
      <selection activeCell="A27" sqref="A27"/>
    </sheetView>
  </sheetViews>
  <sheetFormatPr defaultColWidth="10.90625" defaultRowHeight="14"/>
  <cols>
    <col min="1" max="1" width="15.453125" style="43" customWidth="1"/>
    <col min="2" max="2" width="15.08984375" style="42" customWidth="1"/>
    <col min="3" max="3" width="14.36328125" style="43" customWidth="1"/>
    <col min="4" max="5" width="14.36328125" style="42" customWidth="1"/>
    <col min="6" max="8" width="14.36328125" style="43" customWidth="1"/>
    <col min="9" max="9" width="14" style="43" customWidth="1"/>
    <col min="10" max="16384" width="10.90625" style="43"/>
  </cols>
  <sheetData>
    <row r="1" spans="1:9" ht="20">
      <c r="A1" s="110" t="s">
        <v>99</v>
      </c>
      <c r="B1" s="110"/>
      <c r="C1" s="110"/>
      <c r="D1" s="110"/>
      <c r="E1" s="110"/>
      <c r="F1" s="110"/>
      <c r="G1" s="110"/>
      <c r="H1" s="110"/>
      <c r="I1" s="110"/>
    </row>
    <row r="2" spans="1:9">
      <c r="A2" s="41"/>
      <c r="B2" s="41"/>
      <c r="C2" s="41"/>
      <c r="D2" s="41"/>
      <c r="E2" s="41"/>
      <c r="F2" s="41"/>
      <c r="G2" s="41"/>
      <c r="H2" s="41"/>
    </row>
    <row r="3" spans="1:9">
      <c r="E3" s="68"/>
      <c r="F3" s="126" t="s">
        <v>101</v>
      </c>
      <c r="G3" s="126"/>
      <c r="H3" s="126"/>
    </row>
    <row r="4" spans="1:9">
      <c r="A4" s="127" t="s">
        <v>103</v>
      </c>
      <c r="B4" s="127"/>
      <c r="C4" s="142" t="s">
        <v>5</v>
      </c>
      <c r="D4" s="144"/>
      <c r="E4" s="144"/>
      <c r="F4" s="144"/>
      <c r="G4" s="144"/>
      <c r="H4" s="143"/>
      <c r="I4" s="127" t="s">
        <v>4</v>
      </c>
    </row>
    <row r="5" spans="1:9">
      <c r="A5" s="132" t="s">
        <v>98</v>
      </c>
      <c r="B5" s="134" t="s">
        <v>102</v>
      </c>
      <c r="C5" s="127" t="s">
        <v>0</v>
      </c>
      <c r="D5" s="127"/>
      <c r="E5" s="70" t="s">
        <v>1</v>
      </c>
      <c r="F5" s="69" t="s">
        <v>2</v>
      </c>
      <c r="G5" s="142" t="s">
        <v>3</v>
      </c>
      <c r="H5" s="143"/>
      <c r="I5" s="127"/>
    </row>
    <row r="6" spans="1:9">
      <c r="A6" s="133"/>
      <c r="B6" s="135"/>
      <c r="C6" s="73">
        <v>3.6999999999999998E-2</v>
      </c>
      <c r="D6" s="71">
        <v>0.02</v>
      </c>
      <c r="E6" s="72">
        <v>1.2699999999999999E-2</v>
      </c>
      <c r="F6" s="73">
        <v>3.0000000000000001E-3</v>
      </c>
      <c r="G6" s="74">
        <v>0.02</v>
      </c>
      <c r="H6" s="75">
        <v>0.01</v>
      </c>
      <c r="I6" s="127"/>
    </row>
    <row r="7" spans="1:9">
      <c r="A7" s="47" t="str">
        <f>Lembur!B4</f>
        <v>Agus Wijaya</v>
      </c>
      <c r="B7" s="56">
        <f>Lembur!B5+Lembur!B6</f>
        <v>6436967.3207999999</v>
      </c>
      <c r="C7" s="83">
        <f>ROUND(C6*$B$7,2)</f>
        <v>238167.79</v>
      </c>
      <c r="D7" s="83">
        <f t="shared" ref="D7:F7" si="0">ROUND(D6*$B$7,2)</f>
        <v>128739.35</v>
      </c>
      <c r="E7" s="83">
        <f t="shared" si="0"/>
        <v>81749.48</v>
      </c>
      <c r="F7" s="83">
        <f t="shared" si="0"/>
        <v>19310.900000000001</v>
      </c>
      <c r="G7" s="83">
        <f>ROUND(G$6 * MIN($B7, 11086300), 2)</f>
        <v>128739.35</v>
      </c>
      <c r="H7" s="83">
        <f>ROUND(H$6 * MIN($B7, 11086300), 2)</f>
        <v>64369.67</v>
      </c>
      <c r="I7" s="83">
        <f>SUM(C7:H7)</f>
        <v>661076.54</v>
      </c>
    </row>
    <row r="8" spans="1:9">
      <c r="A8" s="76"/>
      <c r="B8" s="77"/>
      <c r="C8" s="78"/>
      <c r="D8" s="79"/>
      <c r="E8" s="79"/>
      <c r="F8" s="78"/>
      <c r="G8" s="78"/>
      <c r="H8" s="78"/>
    </row>
    <row r="9" spans="1:9">
      <c r="A9" s="141" t="s">
        <v>96</v>
      </c>
      <c r="B9" s="141"/>
      <c r="C9" s="84">
        <f>SUM(D7,H7)</f>
        <v>193109.02000000002</v>
      </c>
      <c r="D9" s="78"/>
      <c r="H9" s="78"/>
    </row>
    <row r="10" spans="1:9">
      <c r="A10" s="128" t="s">
        <v>97</v>
      </c>
      <c r="B10" s="128"/>
      <c r="C10" s="85">
        <f>SUM(C7,E7,F7:G7)</f>
        <v>467967.52</v>
      </c>
      <c r="D10" s="78"/>
      <c r="H10" s="78"/>
    </row>
    <row r="11" spans="1:9">
      <c r="A11" s="80"/>
      <c r="B11" s="80"/>
      <c r="D11" s="78"/>
      <c r="H11" s="78"/>
    </row>
    <row r="12" spans="1:9">
      <c r="A12" s="88"/>
      <c r="B12" s="43" t="s">
        <v>94</v>
      </c>
      <c r="C12" s="42"/>
      <c r="D12" s="43"/>
    </row>
    <row r="13" spans="1:9">
      <c r="A13" s="81"/>
      <c r="B13" s="43" t="s">
        <v>95</v>
      </c>
      <c r="C13" s="42"/>
      <c r="D13" s="43"/>
    </row>
    <row r="14" spans="1:9">
      <c r="B14" s="45"/>
      <c r="D14" s="45"/>
      <c r="E14" s="45"/>
      <c r="G14" s="82"/>
    </row>
    <row r="15" spans="1:9">
      <c r="B15" s="45"/>
      <c r="C15" s="126" t="s">
        <v>100</v>
      </c>
      <c r="D15" s="126"/>
      <c r="E15" s="126"/>
    </row>
    <row r="16" spans="1:9">
      <c r="A16" s="127" t="s">
        <v>103</v>
      </c>
      <c r="B16" s="127"/>
      <c r="C16" s="127" t="s">
        <v>5</v>
      </c>
      <c r="D16" s="127"/>
      <c r="E16" s="132" t="s">
        <v>4</v>
      </c>
    </row>
    <row r="17" spans="1:8">
      <c r="A17" s="132" t="s">
        <v>98</v>
      </c>
      <c r="B17" s="134" t="s">
        <v>102</v>
      </c>
      <c r="C17" s="136">
        <v>0.04</v>
      </c>
      <c r="D17" s="138">
        <v>0.01</v>
      </c>
      <c r="E17" s="140"/>
      <c r="F17" s="129"/>
      <c r="G17" s="130"/>
    </row>
    <row r="18" spans="1:8">
      <c r="A18" s="133"/>
      <c r="B18" s="135"/>
      <c r="C18" s="137"/>
      <c r="D18" s="139"/>
      <c r="E18" s="133"/>
    </row>
    <row r="19" spans="1:8">
      <c r="A19" s="47" t="str">
        <f>A7</f>
        <v>Agus Wijaya</v>
      </c>
      <c r="B19" s="56">
        <f>B7</f>
        <v>6436967.3207999999</v>
      </c>
      <c r="C19" s="83">
        <f>ROUND(C17* MIN($B$19,12000000),2)</f>
        <v>257478.69</v>
      </c>
      <c r="D19" s="83">
        <f>ROUND(D17* MIN($B$19,12000000),2)</f>
        <v>64369.67</v>
      </c>
      <c r="E19" s="83">
        <f t="shared" ref="E19" si="1">SUM(C19:D19)</f>
        <v>321848.36</v>
      </c>
    </row>
    <row r="20" spans="1:8">
      <c r="D20" s="79"/>
      <c r="E20" s="79"/>
      <c r="F20" s="78"/>
      <c r="G20" s="78"/>
      <c r="H20" s="78"/>
    </row>
    <row r="21" spans="1:8">
      <c r="A21" s="131" t="s">
        <v>96</v>
      </c>
      <c r="B21" s="131"/>
      <c r="C21" s="86">
        <f>D19</f>
        <v>64369.67</v>
      </c>
      <c r="D21" s="78"/>
      <c r="E21" s="79"/>
      <c r="F21" s="78"/>
      <c r="G21" s="78"/>
      <c r="H21" s="78"/>
    </row>
    <row r="22" spans="1:8">
      <c r="A22" s="128" t="s">
        <v>97</v>
      </c>
      <c r="B22" s="128"/>
      <c r="C22" s="87">
        <f>C19</f>
        <v>257478.69</v>
      </c>
      <c r="D22" s="78"/>
      <c r="E22" s="54"/>
    </row>
    <row r="23" spans="1:8">
      <c r="B23" s="43"/>
      <c r="C23" s="45"/>
      <c r="D23" s="43"/>
      <c r="E23" s="45"/>
    </row>
    <row r="24" spans="1:8">
      <c r="A24" s="88"/>
      <c r="B24" s="43" t="s">
        <v>94</v>
      </c>
      <c r="C24" s="42"/>
      <c r="D24" s="43"/>
      <c r="E24" s="45"/>
    </row>
    <row r="25" spans="1:8">
      <c r="A25" s="81"/>
      <c r="B25" s="43" t="s">
        <v>95</v>
      </c>
      <c r="C25" s="42"/>
      <c r="D25" s="43"/>
      <c r="E25" s="45"/>
    </row>
    <row r="26" spans="1:8">
      <c r="E26" s="45"/>
    </row>
    <row r="27" spans="1:8">
      <c r="A27" s="43" t="s">
        <v>104</v>
      </c>
      <c r="E27" s="54"/>
    </row>
    <row r="28" spans="1:8">
      <c r="E28" s="45"/>
    </row>
  </sheetData>
  <mergeCells count="22">
    <mergeCell ref="C16:D16"/>
    <mergeCell ref="A16:B16"/>
    <mergeCell ref="B5:B6"/>
    <mergeCell ref="C4:H4"/>
    <mergeCell ref="A4:B4"/>
    <mergeCell ref="A10:B10"/>
    <mergeCell ref="F3:H3"/>
    <mergeCell ref="I4:I6"/>
    <mergeCell ref="A1:I1"/>
    <mergeCell ref="A22:B22"/>
    <mergeCell ref="F17:G17"/>
    <mergeCell ref="A21:B21"/>
    <mergeCell ref="A5:A6"/>
    <mergeCell ref="A17:A18"/>
    <mergeCell ref="B17:B18"/>
    <mergeCell ref="C17:C18"/>
    <mergeCell ref="D17:D18"/>
    <mergeCell ref="E16:E18"/>
    <mergeCell ref="C15:E15"/>
    <mergeCell ref="A9:B9"/>
    <mergeCell ref="C5:D5"/>
    <mergeCell ref="G5:H5"/>
  </mergeCells>
  <printOptions horizontalCentered="1"/>
  <pageMargins left="0.39370078740157483" right="0.39370078740157483" top="0.39370078740157483" bottom="0.39370078740157483" header="0.31496062992125984" footer="0.31496062992125984"/>
  <pageSetup paperSize="9" fitToHeight="0" orientation="landscape" r:id="rId1"/>
  <headerFooter>
    <oddFooter>&amp;L       Creat by Wahyudiansyah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0AF8-E2A0-F646-80CE-5AF11677C11F}">
  <dimension ref="B1:Q30"/>
  <sheetViews>
    <sheetView showGridLines="0" topLeftCell="A11" zoomScale="139" zoomScaleNormal="140" workbookViewId="0">
      <selection activeCell="H35" sqref="H35"/>
    </sheetView>
  </sheetViews>
  <sheetFormatPr defaultColWidth="8.81640625" defaultRowHeight="14.5"/>
  <cols>
    <col min="1" max="1" width="8.81640625" style="1"/>
    <col min="2" max="2" width="1.6328125" style="1" customWidth="1"/>
    <col min="3" max="3" width="11.36328125" style="1" customWidth="1"/>
    <col min="4" max="4" width="13.81640625" style="1" customWidth="1"/>
    <col min="5" max="5" width="3.1796875" style="1" bestFit="1" customWidth="1"/>
    <col min="6" max="6" width="4.1796875" style="1" bestFit="1" customWidth="1"/>
    <col min="7" max="7" width="8.6328125" style="31" bestFit="1" customWidth="1"/>
    <col min="8" max="8" width="12.36328125" style="1" customWidth="1"/>
    <col min="9" max="9" width="10.1796875" style="1" customWidth="1"/>
    <col min="10" max="10" width="3.453125" style="1" customWidth="1"/>
    <col min="11" max="11" width="12.81640625" style="1" customWidth="1"/>
    <col min="12" max="12" width="10.81640625" style="1" bestFit="1" customWidth="1"/>
    <col min="13" max="13" width="9.6328125" style="1" customWidth="1"/>
    <col min="14" max="14" width="1.6328125" style="1" customWidth="1"/>
    <col min="15" max="16384" width="8.81640625" style="1"/>
  </cols>
  <sheetData>
    <row r="1" spans="2:17" ht="15" thickBot="1"/>
    <row r="2" spans="2:17" ht="10" customHeight="1">
      <c r="B2" s="2"/>
      <c r="C2" s="3"/>
      <c r="D2" s="3"/>
      <c r="E2" s="3"/>
      <c r="F2" s="3"/>
      <c r="G2" s="32"/>
      <c r="H2" s="3"/>
      <c r="I2" s="3"/>
      <c r="J2" s="3"/>
      <c r="K2" s="3"/>
      <c r="L2" s="3"/>
      <c r="M2" s="3"/>
      <c r="N2" s="4"/>
    </row>
    <row r="3" spans="2:17" ht="14.5" customHeight="1">
      <c r="B3" s="5"/>
      <c r="K3" s="157" t="s">
        <v>13</v>
      </c>
      <c r="L3" s="157"/>
      <c r="M3" s="157"/>
      <c r="N3" s="6"/>
    </row>
    <row r="4" spans="2:17" ht="14.5" customHeight="1">
      <c r="B4" s="5"/>
      <c r="K4" s="157"/>
      <c r="L4" s="157"/>
      <c r="M4" s="157"/>
      <c r="N4" s="6"/>
    </row>
    <row r="5" spans="2:17" ht="14.5" customHeight="1">
      <c r="B5" s="5"/>
      <c r="K5" s="157"/>
      <c r="L5" s="157"/>
      <c r="M5" s="157"/>
      <c r="N5" s="6"/>
    </row>
    <row r="6" spans="2:17" ht="5.5" customHeight="1">
      <c r="B6" s="5"/>
      <c r="N6" s="6"/>
    </row>
    <row r="7" spans="2:17" ht="22.25" customHeight="1">
      <c r="B7" s="5"/>
      <c r="K7" s="158"/>
      <c r="L7" s="158"/>
      <c r="M7" s="158"/>
      <c r="N7" s="6"/>
    </row>
    <row r="8" spans="2:17">
      <c r="B8" s="5"/>
      <c r="C8" s="7" t="s">
        <v>14</v>
      </c>
      <c r="I8" s="145" t="s">
        <v>15</v>
      </c>
      <c r="J8" s="145"/>
      <c r="K8" s="159" t="s">
        <v>11</v>
      </c>
      <c r="L8" s="159"/>
      <c r="M8" s="159"/>
      <c r="N8" s="6"/>
    </row>
    <row r="9" spans="2:17">
      <c r="B9" s="5"/>
      <c r="C9" s="7" t="s">
        <v>16</v>
      </c>
      <c r="I9" s="145" t="s">
        <v>17</v>
      </c>
      <c r="J9" s="145"/>
      <c r="K9" s="159" t="s">
        <v>18</v>
      </c>
      <c r="L9" s="159"/>
      <c r="M9" s="159"/>
      <c r="N9" s="6"/>
      <c r="P9" s="1" t="s">
        <v>53</v>
      </c>
    </row>
    <row r="10" spans="2:17">
      <c r="B10" s="5"/>
      <c r="C10" s="7" t="s">
        <v>19</v>
      </c>
      <c r="I10" s="145" t="s">
        <v>20</v>
      </c>
      <c r="J10" s="145"/>
      <c r="K10" s="9" t="s">
        <v>21</v>
      </c>
      <c r="L10" s="8" t="s">
        <v>22</v>
      </c>
      <c r="M10" s="8" t="s">
        <v>23</v>
      </c>
      <c r="N10" s="6"/>
      <c r="P10" s="1" t="s">
        <v>49</v>
      </c>
      <c r="Q10" s="40" t="s">
        <v>50</v>
      </c>
    </row>
    <row r="11" spans="2:17">
      <c r="B11" s="5"/>
      <c r="C11" s="7" t="s">
        <v>24</v>
      </c>
      <c r="I11" s="145" t="s">
        <v>25</v>
      </c>
      <c r="J11" s="145"/>
      <c r="K11" s="23">
        <v>44583</v>
      </c>
      <c r="L11" s="8" t="s">
        <v>26</v>
      </c>
      <c r="M11" s="22">
        <v>45931</v>
      </c>
      <c r="N11" s="6"/>
      <c r="P11" s="1" t="s">
        <v>51</v>
      </c>
      <c r="Q11" s="40" t="s">
        <v>52</v>
      </c>
    </row>
    <row r="12" spans="2:17">
      <c r="B12" s="5"/>
      <c r="N12" s="6"/>
    </row>
    <row r="13" spans="2:17">
      <c r="B13" s="5"/>
      <c r="C13" s="10" t="s">
        <v>27</v>
      </c>
      <c r="D13" s="11"/>
      <c r="E13" s="11"/>
      <c r="F13" s="11"/>
      <c r="G13" s="33"/>
      <c r="H13" s="11"/>
      <c r="I13" s="11"/>
      <c r="J13" s="10" t="s">
        <v>28</v>
      </c>
      <c r="K13" s="11"/>
      <c r="L13" s="11"/>
      <c r="M13" s="11"/>
      <c r="N13" s="6"/>
      <c r="P13" s="1" t="s">
        <v>54</v>
      </c>
    </row>
    <row r="14" spans="2:17" ht="25" customHeight="1">
      <c r="B14" s="5"/>
      <c r="C14" s="1" t="s">
        <v>48</v>
      </c>
      <c r="E14" s="1">
        <v>21</v>
      </c>
      <c r="G14" s="39">
        <v>14</v>
      </c>
      <c r="H14" s="24">
        <f>(G14/21)*5000000</f>
        <v>3333333.333333333</v>
      </c>
      <c r="J14" s="1" t="s">
        <v>30</v>
      </c>
      <c r="M14" s="26">
        <v>0</v>
      </c>
      <c r="N14" s="6"/>
      <c r="P14" s="1" t="s">
        <v>55</v>
      </c>
    </row>
    <row r="15" spans="2:17">
      <c r="B15" s="5"/>
      <c r="C15" s="1" t="s">
        <v>31</v>
      </c>
      <c r="E15" s="1">
        <v>21</v>
      </c>
      <c r="G15" s="39">
        <v>14</v>
      </c>
      <c r="H15" s="24">
        <f>(G15/E15)*500000</f>
        <v>333333.33333333331</v>
      </c>
      <c r="J15" s="1" t="s">
        <v>32</v>
      </c>
      <c r="M15" s="26">
        <v>0</v>
      </c>
      <c r="N15" s="6"/>
      <c r="P15" s="40" t="s">
        <v>56</v>
      </c>
    </row>
    <row r="16" spans="2:17">
      <c r="B16" s="5"/>
      <c r="C16" s="1" t="s">
        <v>33</v>
      </c>
      <c r="H16" s="24">
        <v>0</v>
      </c>
      <c r="J16" s="1" t="s">
        <v>43</v>
      </c>
      <c r="M16" s="26">
        <f>5000000*2%</f>
        <v>100000</v>
      </c>
      <c r="N16" s="6"/>
    </row>
    <row r="17" spans="2:14">
      <c r="B17" s="5"/>
      <c r="C17" s="1" t="s">
        <v>46</v>
      </c>
      <c r="E17" s="13">
        <v>14</v>
      </c>
      <c r="F17" s="13" t="s">
        <v>34</v>
      </c>
      <c r="G17" s="34">
        <v>15000</v>
      </c>
      <c r="H17" s="24">
        <f>E17*G17</f>
        <v>210000</v>
      </c>
      <c r="J17" s="1" t="s">
        <v>44</v>
      </c>
      <c r="M17" s="26">
        <f>5000000*1%</f>
        <v>50000</v>
      </c>
      <c r="N17" s="6"/>
    </row>
    <row r="18" spans="2:14">
      <c r="B18" s="5"/>
      <c r="C18" s="1" t="s">
        <v>47</v>
      </c>
      <c r="E18" s="13">
        <v>14</v>
      </c>
      <c r="F18" s="13" t="s">
        <v>34</v>
      </c>
      <c r="G18" s="34">
        <v>15000</v>
      </c>
      <c r="H18" s="24">
        <f>E18*G18</f>
        <v>210000</v>
      </c>
      <c r="J18" s="1" t="s">
        <v>45</v>
      </c>
      <c r="M18" s="26">
        <f>5000000*1%</f>
        <v>50000</v>
      </c>
      <c r="N18" s="6"/>
    </row>
    <row r="19" spans="2:14">
      <c r="B19" s="5"/>
      <c r="C19" s="1" t="s">
        <v>35</v>
      </c>
      <c r="H19" s="12">
        <v>0</v>
      </c>
      <c r="J19" s="28" t="s">
        <v>36</v>
      </c>
      <c r="K19" s="29"/>
      <c r="L19" s="29"/>
      <c r="M19" s="30">
        <v>0</v>
      </c>
      <c r="N19" s="6"/>
    </row>
    <row r="20" spans="2:14">
      <c r="B20" s="5"/>
      <c r="C20" s="14"/>
      <c r="D20" s="14"/>
      <c r="E20" s="14"/>
      <c r="F20" s="14"/>
      <c r="G20" s="35"/>
      <c r="H20" s="15"/>
      <c r="I20" s="14"/>
      <c r="J20" s="14"/>
      <c r="K20" s="14"/>
      <c r="L20" s="14"/>
      <c r="M20" s="14"/>
      <c r="N20" s="6"/>
    </row>
    <row r="21" spans="2:14">
      <c r="B21" s="5"/>
      <c r="C21" s="16" t="s">
        <v>37</v>
      </c>
      <c r="D21" s="16"/>
      <c r="E21" s="16"/>
      <c r="F21" s="16"/>
      <c r="G21" s="36"/>
      <c r="H21" s="25">
        <f>SUM(H14:H20)</f>
        <v>4086666.6666666665</v>
      </c>
      <c r="J21" s="16" t="s">
        <v>38</v>
      </c>
      <c r="K21" s="16"/>
      <c r="L21" s="16"/>
      <c r="M21" s="27">
        <f>SUM(M14:M20)</f>
        <v>200000</v>
      </c>
      <c r="N21" s="6"/>
    </row>
    <row r="22" spans="2:14">
      <c r="B22" s="5"/>
      <c r="C22" s="7"/>
      <c r="D22" s="7"/>
      <c r="E22" s="17"/>
      <c r="F22" s="17"/>
      <c r="G22" s="37"/>
      <c r="H22" s="7"/>
      <c r="I22" s="7"/>
      <c r="J22" s="7"/>
      <c r="K22" s="7"/>
      <c r="M22" s="18"/>
      <c r="N22" s="6"/>
    </row>
    <row r="23" spans="2:14" ht="18.5" customHeight="1">
      <c r="B23" s="5"/>
      <c r="K23" s="146" t="s">
        <v>39</v>
      </c>
      <c r="L23" s="147"/>
      <c r="M23" s="148"/>
      <c r="N23" s="6"/>
    </row>
    <row r="24" spans="2:14">
      <c r="B24" s="5"/>
      <c r="C24" s="7" t="s">
        <v>40</v>
      </c>
      <c r="K24" s="149">
        <f>H21-M21</f>
        <v>3886666.6666666665</v>
      </c>
      <c r="L24" s="150"/>
      <c r="M24" s="151"/>
      <c r="N24" s="6"/>
    </row>
    <row r="25" spans="2:14">
      <c r="B25" s="5"/>
      <c r="C25" s="7" t="s">
        <v>41</v>
      </c>
      <c r="K25" s="152"/>
      <c r="L25" s="150"/>
      <c r="M25" s="151"/>
      <c r="N25" s="6"/>
    </row>
    <row r="26" spans="2:14">
      <c r="B26" s="5"/>
      <c r="C26" s="7" t="s">
        <v>42</v>
      </c>
      <c r="K26" s="153"/>
      <c r="L26" s="154"/>
      <c r="M26" s="155"/>
      <c r="N26" s="6"/>
    </row>
    <row r="27" spans="2:14" ht="11" customHeight="1" thickBot="1">
      <c r="B27" s="19"/>
      <c r="C27" s="20"/>
      <c r="D27" s="20"/>
      <c r="E27" s="20"/>
      <c r="F27" s="20"/>
      <c r="G27" s="38"/>
      <c r="H27" s="20"/>
      <c r="I27" s="20"/>
      <c r="J27" s="20"/>
      <c r="K27" s="20"/>
      <c r="L27" s="20"/>
      <c r="M27" s="20"/>
      <c r="N27" s="21"/>
    </row>
    <row r="30" spans="2:14">
      <c r="L30" s="156"/>
      <c r="M30" s="156"/>
    </row>
  </sheetData>
  <mergeCells count="11">
    <mergeCell ref="K3:M5"/>
    <mergeCell ref="K7:M7"/>
    <mergeCell ref="I8:J8"/>
    <mergeCell ref="K8:M8"/>
    <mergeCell ref="I9:J9"/>
    <mergeCell ref="K9:M9"/>
    <mergeCell ref="I10:J10"/>
    <mergeCell ref="I11:J11"/>
    <mergeCell ref="K23:M23"/>
    <mergeCell ref="K24:M26"/>
    <mergeCell ref="L30:M30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D48B-C1E5-3746-9581-1609DE668B85}">
  <dimension ref="B1:U30"/>
  <sheetViews>
    <sheetView showGridLines="0" zoomScale="139" zoomScaleNormal="140" workbookViewId="0">
      <selection activeCell="H26" sqref="H26"/>
    </sheetView>
  </sheetViews>
  <sheetFormatPr defaultColWidth="8.81640625" defaultRowHeight="14.5"/>
  <cols>
    <col min="1" max="1" width="8.81640625" style="1"/>
    <col min="2" max="2" width="1.6328125" style="1" customWidth="1"/>
    <col min="3" max="3" width="11.36328125" style="1" customWidth="1"/>
    <col min="4" max="4" width="13.81640625" style="1" customWidth="1"/>
    <col min="5" max="5" width="3.1796875" style="1" bestFit="1" customWidth="1"/>
    <col min="6" max="6" width="4.1796875" style="1" bestFit="1" customWidth="1"/>
    <col min="7" max="7" width="8.6328125" style="31" bestFit="1" customWidth="1"/>
    <col min="8" max="8" width="12.36328125" style="1" customWidth="1"/>
    <col min="9" max="9" width="10.1796875" style="1" customWidth="1"/>
    <col min="10" max="10" width="3.453125" style="1" customWidth="1"/>
    <col min="11" max="11" width="12.81640625" style="1" customWidth="1"/>
    <col min="12" max="12" width="10.81640625" style="1" bestFit="1" customWidth="1"/>
    <col min="13" max="13" width="9.6328125" style="1" customWidth="1"/>
    <col min="14" max="14" width="1.6328125" style="1" customWidth="1"/>
    <col min="15" max="16384" width="8.81640625" style="1"/>
  </cols>
  <sheetData>
    <row r="1" spans="2:21" ht="15" thickBot="1"/>
    <row r="2" spans="2:21" ht="10" customHeight="1">
      <c r="B2" s="2"/>
      <c r="C2" s="3"/>
      <c r="D2" s="3"/>
      <c r="E2" s="3"/>
      <c r="F2" s="3"/>
      <c r="G2" s="32"/>
      <c r="H2" s="3"/>
      <c r="I2" s="3"/>
      <c r="J2" s="3"/>
      <c r="K2" s="3"/>
      <c r="L2" s="3"/>
      <c r="M2" s="3"/>
      <c r="N2" s="4"/>
    </row>
    <row r="3" spans="2:21" ht="14.5" customHeight="1">
      <c r="B3" s="5"/>
      <c r="K3" s="157" t="s">
        <v>13</v>
      </c>
      <c r="L3" s="157"/>
      <c r="M3" s="157"/>
      <c r="N3" s="6"/>
    </row>
    <row r="4" spans="2:21" ht="14.5" customHeight="1">
      <c r="B4" s="5"/>
      <c r="K4" s="157"/>
      <c r="L4" s="157"/>
      <c r="M4" s="157"/>
      <c r="N4" s="6"/>
    </row>
    <row r="5" spans="2:21" ht="14.5" customHeight="1">
      <c r="B5" s="5"/>
      <c r="K5" s="157"/>
      <c r="L5" s="157"/>
      <c r="M5" s="157"/>
      <c r="N5" s="6"/>
    </row>
    <row r="6" spans="2:21" ht="5.5" customHeight="1">
      <c r="B6" s="5"/>
      <c r="N6" s="6"/>
    </row>
    <row r="7" spans="2:21" ht="22.25" customHeight="1">
      <c r="B7" s="5"/>
      <c r="K7" s="158"/>
      <c r="L7" s="158"/>
      <c r="M7" s="158"/>
      <c r="N7" s="6"/>
    </row>
    <row r="8" spans="2:21">
      <c r="B8" s="5"/>
      <c r="C8" s="7" t="s">
        <v>14</v>
      </c>
      <c r="I8" s="145" t="s">
        <v>15</v>
      </c>
      <c r="J8" s="145"/>
      <c r="K8" s="159" t="s">
        <v>11</v>
      </c>
      <c r="L8" s="159"/>
      <c r="M8" s="159"/>
      <c r="N8" s="6"/>
    </row>
    <row r="9" spans="2:21">
      <c r="B9" s="5"/>
      <c r="C9" s="7" t="s">
        <v>16</v>
      </c>
      <c r="I9" s="145" t="s">
        <v>17</v>
      </c>
      <c r="J9" s="145"/>
      <c r="K9" s="159" t="s">
        <v>18</v>
      </c>
      <c r="L9" s="159"/>
      <c r="M9" s="159"/>
      <c r="N9" s="6"/>
      <c r="P9" s="1" t="s">
        <v>53</v>
      </c>
    </row>
    <row r="10" spans="2:21">
      <c r="B10" s="5"/>
      <c r="C10" s="7" t="s">
        <v>19</v>
      </c>
      <c r="I10" s="145" t="s">
        <v>20</v>
      </c>
      <c r="J10" s="145"/>
      <c r="K10" s="9" t="s">
        <v>21</v>
      </c>
      <c r="L10" s="8" t="s">
        <v>22</v>
      </c>
      <c r="M10" s="8" t="s">
        <v>23</v>
      </c>
      <c r="N10" s="6"/>
      <c r="P10" s="1" t="s">
        <v>49</v>
      </c>
      <c r="Q10" s="40" t="s">
        <v>50</v>
      </c>
    </row>
    <row r="11" spans="2:21">
      <c r="B11" s="5"/>
      <c r="C11" s="7" t="s">
        <v>24</v>
      </c>
      <c r="I11" s="145" t="s">
        <v>25</v>
      </c>
      <c r="J11" s="145"/>
      <c r="K11" s="23">
        <v>44583</v>
      </c>
      <c r="L11" s="8" t="s">
        <v>26</v>
      </c>
      <c r="M11" s="22">
        <v>45931</v>
      </c>
      <c r="N11" s="6"/>
      <c r="P11" s="1" t="s">
        <v>51</v>
      </c>
      <c r="Q11" s="40" t="s">
        <v>52</v>
      </c>
    </row>
    <row r="12" spans="2:21">
      <c r="B12" s="5"/>
      <c r="N12" s="6"/>
    </row>
    <row r="13" spans="2:21">
      <c r="B13" s="5"/>
      <c r="C13" s="10" t="s">
        <v>27</v>
      </c>
      <c r="D13" s="11"/>
      <c r="E13" s="11"/>
      <c r="F13" s="11"/>
      <c r="G13" s="33"/>
      <c r="H13" s="11"/>
      <c r="I13" s="11"/>
      <c r="J13" s="10" t="s">
        <v>28</v>
      </c>
      <c r="K13" s="11"/>
      <c r="L13" s="11"/>
      <c r="M13" s="11"/>
      <c r="N13" s="6"/>
      <c r="P13" s="1" t="s">
        <v>54</v>
      </c>
    </row>
    <row r="14" spans="2:21" ht="25" customHeight="1">
      <c r="B14" s="5"/>
      <c r="C14" s="1" t="s">
        <v>29</v>
      </c>
      <c r="E14" s="1">
        <v>21</v>
      </c>
      <c r="G14" s="39">
        <v>21</v>
      </c>
      <c r="H14" s="24">
        <f>(G14/21)*5000000</f>
        <v>5000000</v>
      </c>
      <c r="J14" s="1" t="s">
        <v>61</v>
      </c>
      <c r="M14" s="26">
        <f>(5/21)*(H14+H15)</f>
        <v>1309523.8095238095</v>
      </c>
      <c r="N14" s="6"/>
      <c r="P14" s="1" t="s">
        <v>55</v>
      </c>
      <c r="U14" s="1" t="s">
        <v>63</v>
      </c>
    </row>
    <row r="15" spans="2:21">
      <c r="B15" s="5"/>
      <c r="C15" s="1" t="s">
        <v>31</v>
      </c>
      <c r="E15" s="1">
        <v>21</v>
      </c>
      <c r="G15" s="39">
        <v>21</v>
      </c>
      <c r="H15" s="24">
        <f>(G15/E15)*500000</f>
        <v>500000</v>
      </c>
      <c r="J15" s="1" t="s">
        <v>32</v>
      </c>
      <c r="M15" s="26">
        <v>0</v>
      </c>
      <c r="N15" s="6"/>
      <c r="P15" s="40" t="s">
        <v>56</v>
      </c>
    </row>
    <row r="16" spans="2:21">
      <c r="B16" s="5"/>
      <c r="C16" s="1" t="s">
        <v>33</v>
      </c>
      <c r="H16" s="24">
        <v>0</v>
      </c>
      <c r="J16" s="1" t="s">
        <v>43</v>
      </c>
      <c r="M16" s="26">
        <f>5000000*2%</f>
        <v>100000</v>
      </c>
      <c r="N16" s="6"/>
    </row>
    <row r="17" spans="2:21">
      <c r="B17" s="5"/>
      <c r="C17" s="1" t="s">
        <v>46</v>
      </c>
      <c r="E17" s="13">
        <v>16</v>
      </c>
      <c r="F17" s="13" t="s">
        <v>34</v>
      </c>
      <c r="G17" s="34">
        <v>15000</v>
      </c>
      <c r="H17" s="24">
        <f>E17*G17</f>
        <v>240000</v>
      </c>
      <c r="J17" s="1" t="s">
        <v>44</v>
      </c>
      <c r="M17" s="26">
        <f>5000000*1%</f>
        <v>50000</v>
      </c>
      <c r="N17" s="6"/>
      <c r="P17" s="1" t="s">
        <v>57</v>
      </c>
      <c r="U17" s="1" t="s">
        <v>62</v>
      </c>
    </row>
    <row r="18" spans="2:21">
      <c r="B18" s="5"/>
      <c r="C18" s="1" t="s">
        <v>47</v>
      </c>
      <c r="E18" s="13">
        <v>16</v>
      </c>
      <c r="F18" s="13" t="s">
        <v>34</v>
      </c>
      <c r="G18" s="34">
        <v>15000</v>
      </c>
      <c r="H18" s="24">
        <f>E18*G18</f>
        <v>240000</v>
      </c>
      <c r="J18" s="1" t="s">
        <v>45</v>
      </c>
      <c r="M18" s="26">
        <f>5000000*1%</f>
        <v>50000</v>
      </c>
      <c r="N18" s="6"/>
      <c r="P18" s="1" t="s">
        <v>58</v>
      </c>
    </row>
    <row r="19" spans="2:21">
      <c r="B19" s="5"/>
      <c r="C19" s="1" t="s">
        <v>35</v>
      </c>
      <c r="H19" s="12">
        <v>0</v>
      </c>
      <c r="J19" s="28" t="s">
        <v>36</v>
      </c>
      <c r="K19" s="29"/>
      <c r="L19" s="29"/>
      <c r="M19" s="30">
        <v>0</v>
      </c>
      <c r="N19" s="6"/>
      <c r="P19" s="1" t="s">
        <v>59</v>
      </c>
    </row>
    <row r="20" spans="2:21">
      <c r="B20" s="5"/>
      <c r="C20" s="14"/>
      <c r="D20" s="14"/>
      <c r="E20" s="14"/>
      <c r="F20" s="14"/>
      <c r="G20" s="35"/>
      <c r="H20" s="15"/>
      <c r="I20" s="14"/>
      <c r="J20" s="14"/>
      <c r="K20" s="14"/>
      <c r="L20" s="14"/>
      <c r="M20" s="14"/>
      <c r="N20" s="6"/>
      <c r="P20" s="1" t="s">
        <v>60</v>
      </c>
    </row>
    <row r="21" spans="2:21">
      <c r="B21" s="5"/>
      <c r="C21" s="16" t="s">
        <v>37</v>
      </c>
      <c r="D21" s="16"/>
      <c r="E21" s="16"/>
      <c r="F21" s="16"/>
      <c r="G21" s="36"/>
      <c r="H21" s="25">
        <f>SUM(H14:H20)</f>
        <v>5980000</v>
      </c>
      <c r="J21" s="16" t="s">
        <v>38</v>
      </c>
      <c r="K21" s="16"/>
      <c r="L21" s="16"/>
      <c r="M21" s="27">
        <f>SUM(M14:M20)</f>
        <v>1509523.8095238095</v>
      </c>
      <c r="N21" s="6"/>
    </row>
    <row r="22" spans="2:21">
      <c r="B22" s="5"/>
      <c r="C22" s="7"/>
      <c r="D22" s="7"/>
      <c r="E22" s="17"/>
      <c r="F22" s="17"/>
      <c r="G22" s="37"/>
      <c r="H22" s="7"/>
      <c r="I22" s="7"/>
      <c r="J22" s="7"/>
      <c r="K22" s="7"/>
      <c r="M22" s="18"/>
      <c r="N22" s="6"/>
      <c r="P22" s="1" t="s">
        <v>64</v>
      </c>
      <c r="Q22" s="1" t="s">
        <v>65</v>
      </c>
    </row>
    <row r="23" spans="2:21" ht="18.5" customHeight="1">
      <c r="B23" s="5"/>
      <c r="K23" s="146" t="s">
        <v>39</v>
      </c>
      <c r="L23" s="147"/>
      <c r="M23" s="148"/>
      <c r="N23" s="6"/>
      <c r="Q23" s="1" t="s">
        <v>66</v>
      </c>
      <c r="S23" s="1" t="s">
        <v>67</v>
      </c>
    </row>
    <row r="24" spans="2:21">
      <c r="B24" s="5"/>
      <c r="C24" s="7" t="s">
        <v>40</v>
      </c>
      <c r="K24" s="149">
        <f>H21-M21</f>
        <v>4470476.1904761903</v>
      </c>
      <c r="L24" s="150"/>
      <c r="M24" s="151"/>
      <c r="N24" s="6"/>
      <c r="S24" s="1" t="s">
        <v>68</v>
      </c>
    </row>
    <row r="25" spans="2:21">
      <c r="B25" s="5"/>
      <c r="C25" s="7" t="s">
        <v>41</v>
      </c>
      <c r="K25" s="152"/>
      <c r="L25" s="150"/>
      <c r="M25" s="151"/>
      <c r="N25" s="6"/>
      <c r="S25" s="1" t="s">
        <v>69</v>
      </c>
    </row>
    <row r="26" spans="2:21">
      <c r="B26" s="5"/>
      <c r="C26" s="7" t="s">
        <v>42</v>
      </c>
      <c r="K26" s="153"/>
      <c r="L26" s="154"/>
      <c r="M26" s="155"/>
      <c r="N26" s="6"/>
      <c r="S26" s="1" t="s">
        <v>70</v>
      </c>
    </row>
    <row r="27" spans="2:21" ht="11" customHeight="1" thickBot="1">
      <c r="B27" s="19"/>
      <c r="C27" s="20"/>
      <c r="D27" s="20"/>
      <c r="E27" s="20"/>
      <c r="F27" s="20"/>
      <c r="G27" s="38"/>
      <c r="H27" s="20"/>
      <c r="I27" s="20"/>
      <c r="J27" s="20"/>
      <c r="K27" s="20"/>
      <c r="L27" s="20"/>
      <c r="M27" s="20"/>
      <c r="N27" s="21"/>
    </row>
    <row r="30" spans="2:21">
      <c r="L30" s="156"/>
      <c r="M30" s="156"/>
    </row>
  </sheetData>
  <mergeCells count="11">
    <mergeCell ref="K3:M5"/>
    <mergeCell ref="K7:M7"/>
    <mergeCell ref="I8:J8"/>
    <mergeCell ref="K8:M8"/>
    <mergeCell ref="I9:J9"/>
    <mergeCell ref="K9:M9"/>
    <mergeCell ref="I10:J10"/>
    <mergeCell ref="I11:J11"/>
    <mergeCell ref="K23:M23"/>
    <mergeCell ref="K24:M26"/>
    <mergeCell ref="L30:M30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Absensi (Hari Kerja)</vt:lpstr>
      <vt:lpstr>Lembur</vt:lpstr>
      <vt:lpstr>BPJS</vt:lpstr>
      <vt:lpstr>Contoh Slip Gaji</vt:lpstr>
      <vt:lpstr>Contoh Slip Gaji (2)</vt:lpstr>
      <vt:lpstr>'Absensi (Hari Kerja)'!Print_Area</vt:lpstr>
      <vt:lpstr>BPJS!Print_Area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edwin-ginanjar</dc:creator>
  <cp:lastModifiedBy>Wahyu Diansyah</cp:lastModifiedBy>
  <cp:lastPrinted>2026-08-08T06:42:50Z</cp:lastPrinted>
  <dcterms:created xsi:type="dcterms:W3CDTF">2021-10-06T10:32:00Z</dcterms:created>
  <dcterms:modified xsi:type="dcterms:W3CDTF">2026-08-08T07:00:02Z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