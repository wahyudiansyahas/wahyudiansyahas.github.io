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3346e95a27af5f/Documents/myportofolio/Master/"/>
    </mc:Choice>
  </mc:AlternateContent>
  <xr:revisionPtr revIDLastSave="1620" documentId="8_{54E9E621-525B-47DF-8CDB-57013607901B}" xr6:coauthVersionLast="47" xr6:coauthVersionMax="47" xr10:uidLastSave="{34B06F73-BD75-4AD2-841E-279F587AEEF9}"/>
  <bookViews>
    <workbookView xWindow="-110" yWindow="-110" windowWidth="19420" windowHeight="10300" activeTab="2" xr2:uid="{DCE49D10-8044-4CC3-AC73-B19920464DB2}"/>
  </bookViews>
  <sheets>
    <sheet name="Form_PKWT" sheetId="1" r:id="rId1"/>
    <sheet name="Form_Evaluasi_Wawancara" sheetId="3" r:id="rId2"/>
    <sheet name="Cuti" sheetId="4" r:id="rId3"/>
  </sheets>
  <externalReferences>
    <externalReference r:id="rId4"/>
    <externalReference r:id="rId5"/>
  </externalReferences>
  <definedNames>
    <definedName name="DeptList">INDIRECT(_xlfn.XLOOKUP(INDEX('[1]Data Employee'!$T:$T,ROW()),[1]Reference!$Z$2:$Z$11,[1]Reference!$AA$2:$AA$11))</definedName>
    <definedName name="_xlnm.Print_Area" localSheetId="1">Form_Evaluasi_Wawancara!$A$1:$H$34</definedName>
    <definedName name="Range_Internship">[1]Reference!#REF!</definedName>
    <definedName name="Tahun">[2]!Table6[Tahun]</definedName>
    <definedName name="Tanggal">[2]!Table6[Tanggal]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3" l="1"/>
  <c r="N34" i="1"/>
  <c r="N29" i="1"/>
  <c r="N31" i="1"/>
  <c r="N27" i="1"/>
  <c r="N22" i="1"/>
  <c r="N24" i="1"/>
  <c r="N20" i="1"/>
  <c r="N15" i="1"/>
  <c r="N17" i="1"/>
  <c r="N13" i="1"/>
  <c r="E36" i="1"/>
  <c r="N36" i="1" l="1"/>
</calcChain>
</file>

<file path=xl/sharedStrings.xml><?xml version="1.0" encoding="utf-8"?>
<sst xmlns="http://schemas.openxmlformats.org/spreadsheetml/2006/main" count="188" uniqueCount="176">
  <si>
    <t>FORM  EVALUASI DAN REKOMENDASI MASA KONTRAK (PKWT)</t>
  </si>
  <si>
    <t>APSPEK PENILAIAN</t>
  </si>
  <si>
    <t>BOBOT (B)</t>
  </si>
  <si>
    <t>A</t>
  </si>
  <si>
    <t>DISIPLIN</t>
  </si>
  <si>
    <t>Kehadiran Karyawan</t>
  </si>
  <si>
    <t>NILAI   (B x N)</t>
  </si>
  <si>
    <t>B</t>
  </si>
  <si>
    <t>SIKAP KERJA</t>
  </si>
  <si>
    <t>Motivasi Kerja</t>
  </si>
  <si>
    <t>Ketepatan Waktu</t>
  </si>
  <si>
    <t>Sangat Baik</t>
  </si>
  <si>
    <t>Baik</t>
  </si>
  <si>
    <t>Cukup</t>
  </si>
  <si>
    <t>No.</t>
  </si>
  <si>
    <t>(&gt;90%)</t>
  </si>
  <si>
    <t>(80-89%)</t>
  </si>
  <si>
    <t>(70-79%)</t>
  </si>
  <si>
    <t>(60-69%)</t>
  </si>
  <si>
    <t>Indikator Penilaian</t>
  </si>
  <si>
    <t>Penilaian mengacu pada tingkat pencapaian indikator kinerja.</t>
  </si>
  <si>
    <t>Kepatuhan terhadap Peraturan</t>
  </si>
  <si>
    <t>Tingkat kehadiran selama masa kerja.</t>
  </si>
  <si>
    <t>Peraturan Perusahaan dan SOP.</t>
  </si>
  <si>
    <t>Kepatuhan terhadap jam operasional.</t>
  </si>
  <si>
    <t>Kerja Sama</t>
  </si>
  <si>
    <t>Inisiatif dan semangat dalam bekerja.</t>
  </si>
  <si>
    <t>Kemampuan bekerja dalam tim.</t>
  </si>
  <si>
    <t>Tanggung Jawab</t>
  </si>
  <si>
    <t>Komitmen menyelesaikan pekerjaan.</t>
  </si>
  <si>
    <t>C</t>
  </si>
  <si>
    <t>KOMPETENSI KERJA</t>
  </si>
  <si>
    <t>Penguasaan Pekerjaan</t>
  </si>
  <si>
    <t>Melaksanakan pekerjaan sesuai SOP.</t>
  </si>
  <si>
    <t>Komunikasi</t>
  </si>
  <si>
    <t>Mampu berkomunikasi secara efektif.</t>
  </si>
  <si>
    <t>Ketelitian</t>
  </si>
  <si>
    <t>Ketelitian dan akurasi dalam bekerja.</t>
  </si>
  <si>
    <t>D</t>
  </si>
  <si>
    <t>HASIL KERJA</t>
  </si>
  <si>
    <t>Pencapaian Target Kerja</t>
  </si>
  <si>
    <t>Tingkat pencapaian target kerja.</t>
  </si>
  <si>
    <t>Sangat Kurang</t>
  </si>
  <si>
    <t>PENILAIAN                                             (N)</t>
  </si>
  <si>
    <t>TOTAL BOBOT</t>
  </si>
  <si>
    <t>HASIL</t>
  </si>
  <si>
    <t>Nilai</t>
  </si>
  <si>
    <t>Keterangan</t>
  </si>
  <si>
    <t>Tidak Direkomendasikan</t>
  </si>
  <si>
    <t>Berdasarkan hasil evaluasi, karyawan dinyatakan:</t>
  </si>
  <si>
    <t>Catatan :</t>
  </si>
  <si>
    <t>Kriteria :</t>
  </si>
  <si>
    <t>No. Karyawan</t>
  </si>
  <si>
    <t>Nama Lengkap</t>
  </si>
  <si>
    <t>Jabatan</t>
  </si>
  <si>
    <t>Andi Maulana</t>
  </si>
  <si>
    <t>Manufacturing/Production</t>
  </si>
  <si>
    <t>Operator Produksi</t>
  </si>
  <si>
    <t>PKWT/Kontrak 2</t>
  </si>
  <si>
    <t>24 Bulan</t>
  </si>
  <si>
    <t>-</t>
  </si>
  <si>
    <t>Tanggal</t>
  </si>
  <si>
    <t>Nama lengkap</t>
  </si>
  <si>
    <t>Divisi/Departemen</t>
  </si>
  <si>
    <t>Status Kontrak</t>
  </si>
  <si>
    <t>Masa Kontrak</t>
  </si>
  <si>
    <t>Surat Teguran/SP (I / II / III)</t>
  </si>
  <si>
    <t xml:space="preserve">     Direkomendasikan untuk perpanjangan PKWT Kontrak Ke-__ selama __ (____) bulan, terhitung sejak</t>
  </si>
  <si>
    <t xml:space="preserve">     tanggal ______________ sampai dengan ______________.</t>
  </si>
  <si>
    <t xml:space="preserve">     Tidak Direkomendasikan untuk perpanjangan PKWT, sehingga hubungan kerja berakhir sesuai dengan</t>
  </si>
  <si>
    <r>
      <t xml:space="preserve">     berakhirnya masa PKWT, efektif sejak tanggal </t>
    </r>
    <r>
      <rPr>
        <b/>
        <sz val="11"/>
        <color theme="1"/>
        <rFont val="Arial"/>
        <family val="2"/>
      </rPr>
      <t>27 Juli 2026</t>
    </r>
    <r>
      <rPr>
        <sz val="11"/>
        <color theme="1"/>
        <rFont val="Arial"/>
        <family val="2"/>
      </rPr>
      <t>.</t>
    </r>
  </si>
  <si>
    <t>&lt; 70%</t>
  </si>
  <si>
    <t>≥ 75%</t>
  </si>
  <si>
    <t>Direkomendasikan dengan Catatan</t>
  </si>
  <si>
    <t>Dinilai oleh,</t>
  </si>
  <si>
    <t>Diperiksa Oleh,</t>
  </si>
  <si>
    <t>Disetujui oleh,</t>
  </si>
  <si>
    <t>Farhan Arif Firmansyah</t>
  </si>
  <si>
    <t>Agus Kurniawan</t>
  </si>
  <si>
    <t>Production Supervisor</t>
  </si>
  <si>
    <t>Production Manager</t>
  </si>
  <si>
    <t>HRGA Manager</t>
  </si>
  <si>
    <t>Budi Wijaya</t>
  </si>
  <si>
    <t>FORMULIR PENILAIAN HASIL WAWANCARA</t>
  </si>
  <si>
    <t>: Arumi Nasution</t>
  </si>
  <si>
    <t>Nama Pewawancara                : Wahyudiansyah</t>
  </si>
  <si>
    <t>Pendidikan Terakhir</t>
  </si>
  <si>
    <t>: S1 Manajemen</t>
  </si>
  <si>
    <t>Tempat, Tanggal                     : Zoom Meeting</t>
  </si>
  <si>
    <t>Wawancara Sesi ke                : 1 (satu)</t>
  </si>
  <si>
    <t>DIMENSI</t>
  </si>
  <si>
    <t>URAIAN</t>
  </si>
  <si>
    <t>PENILAIAN</t>
  </si>
  <si>
    <t>KURANG</t>
  </si>
  <si>
    <t>CUKUP</t>
  </si>
  <si>
    <t>BAIK</t>
  </si>
  <si>
    <t>SANGAT BAIK</t>
  </si>
  <si>
    <t>(1)</t>
  </si>
  <si>
    <t>(2)</t>
  </si>
  <si>
    <t>(3)</t>
  </si>
  <si>
    <t>(4)</t>
  </si>
  <si>
    <t>Pendidikan Formal</t>
  </si>
  <si>
    <t>Tingkat pendidikan (formal) yang menunjang  posisi yang dilamar.</t>
  </si>
  <si>
    <t>Pengalaman Pekerjaan</t>
  </si>
  <si>
    <t>Kesesuaian riwayat pekerjaan yang pernah ditangani dalam pekerjaan sebelumnya dengan posisi pekerjaan yang dilamar.</t>
  </si>
  <si>
    <t>Kemampuan Teknis</t>
  </si>
  <si>
    <t>Penguasaan alat kerja, sistem, atau keahlian praktis yang dibutuhkan.</t>
  </si>
  <si>
    <t>Mampu berbicara dengan jelas, menyampaikan ide dan mendengarkan dengan baik.</t>
  </si>
  <si>
    <t>Penyelesaian Masalah</t>
  </si>
  <si>
    <t>Kemampuan menganalisis masalah dan memberikan solusi yang masuk akal.</t>
  </si>
  <si>
    <t>Motivasi &amp; Etos Kerja</t>
  </si>
  <si>
    <t>Semangat kerja, komitmen terhadap target, dan daya tahan terhadap tekanan.</t>
  </si>
  <si>
    <t>Adaptasi &amp; Inisiatif</t>
  </si>
  <si>
    <t>Kecepatan dalam menguasai hal baru serta kemampuan mengambil tindakan preventif/korektif secara mandiri.</t>
  </si>
  <si>
    <t>Kerja Sama Tim</t>
  </si>
  <si>
    <t>Kemampuan berkolaborasi secara sinergis dan mengelola komunikasi interpersonal demi mencapai tujuan bersama.</t>
  </si>
  <si>
    <t>Etika &amp; Profesionalisme</t>
  </si>
  <si>
    <t>Penilaian terhadap aspek kedisiplinan, kerapian, tata krama berkomunikasi, serta representasi diri kandidat.</t>
  </si>
  <si>
    <t>Budaya (Culture Fit)</t>
  </si>
  <si>
    <t>Keselarasan antara nilai-nilai personal, karakter, dan gaya kerja kandidat dengan budaya serta lingkungan kerja perusahaan.</t>
  </si>
  <si>
    <t>Catatan:</t>
  </si>
  <si>
    <t>KETENTUAN</t>
  </si>
  <si>
    <t>10 - 20 : TIDAK DI SARANKAN</t>
  </si>
  <si>
    <t>21 - 30 : DISARANKAN</t>
  </si>
  <si>
    <t>31 - 40 : SANGAT DISARANKAN</t>
  </si>
  <si>
    <t xml:space="preserve">Kandidat menunjukkan kompetensi yang baik selama proses wawancara, didukung pengalaman yang relevan, kemampuan </t>
  </si>
  <si>
    <t>komunikasi yang efektif, serta pola pikir analitis dalam menyelesaikan masalah. Secara keseluruhan, kandidat memenuhi kualifikasi</t>
  </si>
  <si>
    <t>dan direkomendasikan untuk melanjutkan ke tahap seleksi berikutnya, interview bersama user.</t>
  </si>
  <si>
    <t>Human Resources</t>
  </si>
  <si>
    <t>Wahyudiansyah</t>
  </si>
  <si>
    <t>NILAI</t>
  </si>
  <si>
    <t>: Inventory Planning &amp; Control Administrator</t>
  </si>
  <si>
    <t xml:space="preserve">Posisi yang dilamar </t>
  </si>
  <si>
    <t>Jakarta, 20 Juli 2026</t>
  </si>
  <si>
    <t>Nama</t>
  </si>
  <si>
    <t>Departemen</t>
  </si>
  <si>
    <t>FORMULIR PERMOHONAN CUTI</t>
  </si>
  <si>
    <t>DATA DIRI</t>
  </si>
  <si>
    <t xml:space="preserve">Divisi </t>
  </si>
  <si>
    <t>No. Handphone</t>
  </si>
  <si>
    <t>JENIS CUTI</t>
  </si>
  <si>
    <t xml:space="preserve">           Cuti Tahunan</t>
  </si>
  <si>
    <t xml:space="preserve">           Unpaid Leave</t>
  </si>
  <si>
    <t xml:space="preserve">           Cuti Melahirkan</t>
  </si>
  <si>
    <t xml:space="preserve">           Menikahkan Anak</t>
  </si>
  <si>
    <t xml:space="preserve">           Karyawan Menikah</t>
  </si>
  <si>
    <t xml:space="preserve">           Mengkhitankan Anak</t>
  </si>
  <si>
    <t xml:space="preserve">           Orang Tua/Pasangan Meninggal</t>
  </si>
  <si>
    <t>Keterangan Cuti Khsusus :</t>
  </si>
  <si>
    <t xml:space="preserve">           Cuti Khsusus Lainnya</t>
  </si>
  <si>
    <t>Tanggal Mulai Bekerja</t>
  </si>
  <si>
    <t>........................................................................................................................................................</t>
  </si>
  <si>
    <t>No. Hanphone</t>
  </si>
  <si>
    <t>PERIODE CUTI</t>
  </si>
  <si>
    <t>Total Pengajuan Cuti</t>
  </si>
  <si>
    <t>Mulai tanggal</t>
  </si>
  <si>
    <t>s/d selesai tanggal</t>
  </si>
  <si>
    <t>KONTAK DARURAT</t>
  </si>
  <si>
    <t>Hubungan Keluarga</t>
  </si>
  <si>
    <t>Dibuat oleh,</t>
  </si>
  <si>
    <t>Diperiksa oleh,</t>
  </si>
  <si>
    <t>Agus Wijaya</t>
  </si>
  <si>
    <t>Warehouse Staff</t>
  </si>
  <si>
    <t>Warehouse</t>
  </si>
  <si>
    <t>Supply Chain Management</t>
  </si>
  <si>
    <t>0895-6779-1991</t>
  </si>
  <si>
    <t>04 Oktober 2024</t>
  </si>
  <si>
    <t>25 Juni 2026</t>
  </si>
  <si>
    <t>Nirina Mirdad</t>
  </si>
  <si>
    <t>Ibu Kandung</t>
  </si>
  <si>
    <t>0895-6611-9900</t>
  </si>
  <si>
    <t>Nadia Utami</t>
  </si>
  <si>
    <t>Warehouse Supervisor</t>
  </si>
  <si>
    <t>Dedi Kusuma</t>
  </si>
  <si>
    <t>Warehouse Manager</t>
  </si>
  <si>
    <t>1    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</si>
</sst>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@* &quot;:&quot;"/>
    <numFmt numFmtId="165" formatCode="dd\ mmmm\ yyyy"/>
    <numFmt numFmtId="166" formatCode="@_.* "/>
    <numFmt numFmtId="167" formatCode="@\ * &quot;:&quot;"/>
  </numFmts>
  <fonts count="22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ptos Narrow"/>
      <family val="2"/>
    </font>
    <font>
      <sz val="10"/>
      <color rgb="FF000000"/>
      <name val="Aptos Narrow"/>
      <family val="2"/>
      <scheme val="minor"/>
    </font>
    <font>
      <b/>
      <sz val="14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ptos Narrow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Segoe UI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/>
  </cellStyleXfs>
  <cellXfs count="24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6" xfId="0" applyFont="1" applyBorder="1"/>
    <xf numFmtId="0" fontId="3" fillId="0" borderId="18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" fontId="8" fillId="0" borderId="7" xfId="0" quotePrefix="1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1" fontId="4" fillId="0" borderId="22" xfId="0" quotePrefix="1" applyNumberFormat="1" applyFont="1" applyBorder="1" applyAlignment="1">
      <alignment horizontal="center" vertical="center"/>
    </xf>
    <xf numFmtId="0" fontId="3" fillId="0" borderId="14" xfId="0" applyFont="1" applyBorder="1"/>
    <xf numFmtId="0" fontId="3" fillId="0" borderId="11" xfId="0" applyFont="1" applyBorder="1"/>
    <xf numFmtId="0" fontId="3" fillId="0" borderId="15" xfId="0" applyFont="1" applyBorder="1" applyAlignment="1">
      <alignment horizontal="center"/>
    </xf>
    <xf numFmtId="0" fontId="2" fillId="3" borderId="14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6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18" xfId="0" applyFont="1" applyFill="1" applyBorder="1" applyAlignment="1">
      <alignment vertical="center"/>
    </xf>
    <xf numFmtId="0" fontId="11" fillId="3" borderId="17" xfId="0" applyFont="1" applyFill="1" applyBorder="1" applyAlignment="1">
      <alignment vertical="center"/>
    </xf>
    <xf numFmtId="0" fontId="3" fillId="0" borderId="15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10" fillId="0" borderId="22" xfId="0" applyFont="1" applyBorder="1" applyAlignment="1">
      <alignment horizontal="center" vertical="center"/>
    </xf>
    <xf numFmtId="165" fontId="5" fillId="0" borderId="12" xfId="0" applyNumberFormat="1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12" fillId="0" borderId="0" xfId="2"/>
    <xf numFmtId="0" fontId="5" fillId="0" borderId="8" xfId="2" applyFont="1" applyBorder="1"/>
    <xf numFmtId="0" fontId="5" fillId="0" borderId="9" xfId="2" applyFont="1" applyBorder="1"/>
    <xf numFmtId="49" fontId="10" fillId="0" borderId="7" xfId="2" applyNumberFormat="1" applyFont="1" applyBorder="1" applyAlignment="1">
      <alignment horizontal="center"/>
    </xf>
    <xf numFmtId="49" fontId="10" fillId="0" borderId="30" xfId="2" applyNumberFormat="1" applyFont="1" applyBorder="1" applyAlignment="1">
      <alignment horizontal="center" vertical="center"/>
    </xf>
    <xf numFmtId="49" fontId="9" fillId="0" borderId="0" xfId="2" applyNumberFormat="1" applyFont="1"/>
    <xf numFmtId="49" fontId="10" fillId="0" borderId="30" xfId="2" applyNumberFormat="1" applyFont="1" applyBorder="1" applyAlignment="1">
      <alignment horizontal="center"/>
    </xf>
    <xf numFmtId="0" fontId="9" fillId="0" borderId="8" xfId="2" applyFont="1" applyBorder="1"/>
    <xf numFmtId="1" fontId="5" fillId="0" borderId="26" xfId="2" applyNumberFormat="1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30" xfId="2" applyFont="1" applyBorder="1" applyAlignment="1">
      <alignment horizontal="center" vertical="center"/>
    </xf>
    <xf numFmtId="0" fontId="9" fillId="0" borderId="0" xfId="2" applyFont="1"/>
    <xf numFmtId="0" fontId="3" fillId="0" borderId="31" xfId="2" applyFont="1" applyBorder="1" applyAlignment="1">
      <alignment horizontal="center" vertical="center"/>
    </xf>
    <xf numFmtId="0" fontId="3" fillId="0" borderId="32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7" fillId="0" borderId="8" xfId="2" applyFont="1" applyBorder="1"/>
    <xf numFmtId="0" fontId="7" fillId="0" borderId="9" xfId="2" applyFont="1" applyBorder="1"/>
    <xf numFmtId="0" fontId="7" fillId="0" borderId="2" xfId="2" applyFont="1" applyBorder="1"/>
    <xf numFmtId="0" fontId="7" fillId="0" borderId="4" xfId="2" applyFont="1" applyBorder="1"/>
    <xf numFmtId="0" fontId="5" fillId="0" borderId="2" xfId="2" applyFont="1" applyBorder="1"/>
    <xf numFmtId="0" fontId="5" fillId="0" borderId="3" xfId="2" applyFont="1" applyBorder="1"/>
    <xf numFmtId="0" fontId="5" fillId="0" borderId="4" xfId="2" applyFont="1" applyBorder="1"/>
    <xf numFmtId="49" fontId="3" fillId="0" borderId="7" xfId="2" applyNumberFormat="1" applyFont="1" applyBorder="1" applyAlignment="1">
      <alignment horizontal="left" vertical="center" wrapText="1"/>
    </xf>
    <xf numFmtId="0" fontId="5" fillId="0" borderId="0" xfId="2" applyFont="1"/>
    <xf numFmtId="0" fontId="4" fillId="0" borderId="0" xfId="2" applyFont="1"/>
    <xf numFmtId="0" fontId="10" fillId="0" borderId="8" xfId="2" applyFont="1" applyBorder="1"/>
    <xf numFmtId="15" fontId="5" fillId="0" borderId="0" xfId="2" applyNumberFormat="1" applyFont="1"/>
    <xf numFmtId="0" fontId="8" fillId="0" borderId="0" xfId="2" applyFont="1"/>
    <xf numFmtId="0" fontId="12" fillId="0" borderId="8" xfId="2" applyBorder="1"/>
    <xf numFmtId="0" fontId="3" fillId="0" borderId="7" xfId="2" applyFont="1" applyBorder="1" applyAlignment="1">
      <alignment horizontal="left" vertical="center" wrapText="1"/>
    </xf>
    <xf numFmtId="0" fontId="15" fillId="0" borderId="0" xfId="2" applyFont="1"/>
    <xf numFmtId="0" fontId="15" fillId="0" borderId="9" xfId="2" applyFont="1" applyBorder="1"/>
    <xf numFmtId="1" fontId="5" fillId="0" borderId="36" xfId="2" applyNumberFormat="1" applyFont="1" applyBorder="1" applyAlignment="1">
      <alignment horizontal="center" vertical="center"/>
    </xf>
    <xf numFmtId="0" fontId="3" fillId="0" borderId="31" xfId="2" applyFont="1" applyBorder="1" applyAlignment="1">
      <alignment horizontal="left" vertical="center" wrapText="1"/>
    </xf>
    <xf numFmtId="0" fontId="5" fillId="0" borderId="3" xfId="2" applyFont="1" applyBorder="1" applyAlignment="1">
      <alignment horizontal="center"/>
    </xf>
    <xf numFmtId="0" fontId="13" fillId="4" borderId="27" xfId="2" applyFont="1" applyFill="1" applyBorder="1" applyAlignment="1">
      <alignment horizontal="center"/>
    </xf>
    <xf numFmtId="0" fontId="14" fillId="4" borderId="28" xfId="2" applyFont="1" applyFill="1" applyBorder="1"/>
    <xf numFmtId="0" fontId="14" fillId="4" borderId="29" xfId="2" applyFont="1" applyFill="1" applyBorder="1"/>
    <xf numFmtId="0" fontId="4" fillId="0" borderId="33" xfId="2" applyFont="1" applyBorder="1" applyAlignment="1">
      <alignment horizontal="center" vertical="center"/>
    </xf>
    <xf numFmtId="0" fontId="4" fillId="0" borderId="34" xfId="2" applyFont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34" xfId="2" applyFont="1" applyBorder="1" applyAlignment="1">
      <alignment horizontal="center"/>
    </xf>
    <xf numFmtId="0" fontId="4" fillId="0" borderId="35" xfId="2" applyFont="1" applyBorder="1" applyAlignment="1">
      <alignment horizontal="center"/>
    </xf>
    <xf numFmtId="49" fontId="3" fillId="0" borderId="7" xfId="2" applyNumberFormat="1" applyFont="1" applyBorder="1" applyAlignment="1">
      <alignment horizontal="left" vertical="center" wrapText="1"/>
    </xf>
    <xf numFmtId="166" fontId="5" fillId="0" borderId="0" xfId="2" applyNumberFormat="1" applyFont="1" applyAlignment="1">
      <alignment horizontal="center"/>
    </xf>
    <xf numFmtId="166" fontId="5" fillId="0" borderId="9" xfId="2" applyNumberFormat="1" applyFont="1" applyBorder="1" applyAlignment="1">
      <alignment horizontal="center"/>
    </xf>
    <xf numFmtId="0" fontId="5" fillId="0" borderId="0" xfId="2" applyFont="1" applyAlignment="1">
      <alignment horizontal="center"/>
    </xf>
    <xf numFmtId="0" fontId="16" fillId="0" borderId="0" xfId="2" applyFont="1" applyAlignment="1">
      <alignment horizontal="center" vertical="center"/>
    </xf>
    <xf numFmtId="49" fontId="3" fillId="0" borderId="23" xfId="2" applyNumberFormat="1" applyFont="1" applyBorder="1" applyAlignment="1">
      <alignment horizontal="left" vertical="center" wrapText="1"/>
    </xf>
    <xf numFmtId="49" fontId="3" fillId="0" borderId="24" xfId="2" applyNumberFormat="1" applyFont="1" applyBorder="1" applyAlignment="1">
      <alignment horizontal="left" vertical="center" wrapText="1"/>
    </xf>
    <xf numFmtId="49" fontId="3" fillId="0" borderId="31" xfId="2" applyNumberFormat="1" applyFont="1" applyBorder="1" applyAlignment="1">
      <alignment horizontal="left" vertical="center" wrapText="1"/>
    </xf>
    <xf numFmtId="0" fontId="16" fillId="0" borderId="5" xfId="2" applyFont="1" applyBorder="1" applyAlignment="1">
      <alignment horizontal="center" vertical="center"/>
    </xf>
    <xf numFmtId="0" fontId="16" fillId="0" borderId="6" xfId="2" applyFont="1" applyBorder="1" applyAlignment="1">
      <alignment horizontal="center" vertical="center"/>
    </xf>
    <xf numFmtId="0" fontId="17" fillId="0" borderId="20" xfId="2" applyFont="1" applyBorder="1" applyAlignment="1">
      <alignment horizontal="center" vertical="center"/>
    </xf>
    <xf numFmtId="0" fontId="17" fillId="0" borderId="10" xfId="2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3" xfId="0" quotePrefix="1" applyFont="1" applyBorder="1" applyAlignment="1">
      <alignment horizontal="center"/>
    </xf>
    <xf numFmtId="0" fontId="3" fillId="3" borderId="14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3" fillId="0" borderId="7" xfId="1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9" fontId="3" fillId="0" borderId="21" xfId="1" applyFont="1" applyBorder="1" applyAlignment="1">
      <alignment horizontal="center" vertical="center" wrapText="1"/>
    </xf>
    <xf numFmtId="9" fontId="3" fillId="0" borderId="22" xfId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18" xfId="0" applyFont="1" applyBorder="1" applyAlignment="1">
      <alignment horizontal="left"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1" fontId="4" fillId="0" borderId="23" xfId="0" quotePrefix="1" applyNumberFormat="1" applyFont="1" applyBorder="1" applyAlignment="1">
      <alignment horizontal="center" vertical="center"/>
    </xf>
    <xf numFmtId="1" fontId="4" fillId="0" borderId="24" xfId="0" quotePrefix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" fontId="4" fillId="0" borderId="23" xfId="0" applyNumberFormat="1" applyFont="1" applyBorder="1" applyAlignment="1">
      <alignment horizontal="center" vertical="center"/>
    </xf>
    <xf numFmtId="1" fontId="4" fillId="0" borderId="24" xfId="0" applyNumberFormat="1" applyFon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19" fillId="0" borderId="3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67" fontId="0" fillId="0" borderId="37" xfId="0" applyNumberFormat="1" applyBorder="1" applyAlignment="1">
      <alignment horizontal="center"/>
    </xf>
    <xf numFmtId="167" fontId="0" fillId="0" borderId="38" xfId="0" applyNumberFormat="1" applyBorder="1" applyAlignment="1">
      <alignment horizontal="center"/>
    </xf>
    <xf numFmtId="0" fontId="0" fillId="0" borderId="38" xfId="0" applyBorder="1"/>
    <xf numFmtId="0" fontId="0" fillId="0" borderId="39" xfId="0" applyBorder="1"/>
    <xf numFmtId="167" fontId="0" fillId="0" borderId="8" xfId="0" applyNumberForma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9" xfId="0" applyBorder="1"/>
    <xf numFmtId="167" fontId="0" fillId="0" borderId="2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7" xfId="0" applyBorder="1"/>
    <xf numFmtId="0" fontId="0" fillId="0" borderId="8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18" fillId="5" borderId="38" xfId="0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8" xfId="0" applyBorder="1" applyAlignment="1"/>
    <xf numFmtId="0" fontId="0" fillId="0" borderId="0" xfId="0" applyBorder="1" applyAlignment="1"/>
    <xf numFmtId="0" fontId="18" fillId="5" borderId="5" xfId="0" applyFont="1" applyFill="1" applyBorder="1" applyAlignment="1">
      <alignment horizontal="center"/>
    </xf>
    <xf numFmtId="0" fontId="18" fillId="5" borderId="40" xfId="0" applyFont="1" applyFill="1" applyBorder="1" applyAlignment="1">
      <alignment horizontal="center"/>
    </xf>
    <xf numFmtId="0" fontId="18" fillId="5" borderId="6" xfId="0" applyFont="1" applyFill="1" applyBorder="1" applyAlignment="1">
      <alignment horizontal="center"/>
    </xf>
    <xf numFmtId="0" fontId="18" fillId="5" borderId="5" xfId="0" applyNumberFormat="1" applyFont="1" applyFill="1" applyBorder="1" applyAlignment="1">
      <alignment horizontal="center"/>
    </xf>
    <xf numFmtId="0" fontId="18" fillId="5" borderId="40" xfId="0" applyNumberFormat="1" applyFont="1" applyFill="1" applyBorder="1" applyAlignment="1">
      <alignment horizontal="center"/>
    </xf>
    <xf numFmtId="0" fontId="0" fillId="0" borderId="3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/>
    <xf numFmtId="0" fontId="18" fillId="5" borderId="6" xfId="0" applyNumberFormat="1" applyFont="1" applyFill="1" applyBorder="1" applyAlignment="1">
      <alignment horizontal="center"/>
    </xf>
    <xf numFmtId="0" fontId="18" fillId="0" borderId="37" xfId="0" applyFont="1" applyBorder="1"/>
    <xf numFmtId="0" fontId="21" fillId="0" borderId="8" xfId="0" applyFont="1" applyBorder="1"/>
    <xf numFmtId="167" fontId="0" fillId="0" borderId="38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Border="1" applyAlignment="1">
      <alignment horizontal="left"/>
    </xf>
    <xf numFmtId="0" fontId="18" fillId="5" borderId="37" xfId="0" applyNumberFormat="1" applyFont="1" applyFill="1" applyBorder="1" applyAlignment="1">
      <alignment horizontal="center"/>
    </xf>
    <xf numFmtId="0" fontId="18" fillId="5" borderId="39" xfId="0" applyNumberFormat="1" applyFont="1" applyFill="1" applyBorder="1" applyAlignment="1">
      <alignment horizontal="center"/>
    </xf>
    <xf numFmtId="167" fontId="0" fillId="0" borderId="37" xfId="0" applyNumberFormat="1" applyBorder="1" applyAlignment="1">
      <alignment horizontal="left"/>
    </xf>
    <xf numFmtId="167" fontId="0" fillId="0" borderId="8" xfId="0" applyNumberFormat="1" applyBorder="1" applyAlignment="1">
      <alignment horizontal="left"/>
    </xf>
    <xf numFmtId="167" fontId="0" fillId="0" borderId="0" xfId="0" applyNumberFormat="1" applyBorder="1" applyAlignment="1">
      <alignment horizontal="left"/>
    </xf>
    <xf numFmtId="167" fontId="0" fillId="0" borderId="2" xfId="0" applyNumberFormat="1" applyBorder="1" applyAlignment="1">
      <alignment horizontal="left"/>
    </xf>
    <xf numFmtId="167" fontId="0" fillId="0" borderId="3" xfId="0" applyNumberFormat="1" applyBorder="1" applyAlignment="1">
      <alignment horizontal="left"/>
    </xf>
    <xf numFmtId="0" fontId="0" fillId="0" borderId="4" xfId="0" applyBorder="1" applyAlignment="1">
      <alignment horizontal="center"/>
    </xf>
    <xf numFmtId="1" fontId="0" fillId="0" borderId="38" xfId="0" applyNumberFormat="1" applyBorder="1" applyAlignment="1">
      <alignment horizontal="left"/>
    </xf>
    <xf numFmtId="1" fontId="0" fillId="0" borderId="39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" xfId="0" applyNumberFormat="1" applyBorder="1" applyAlignment="1">
      <alignment horizontal="left"/>
    </xf>
    <xf numFmtId="0" fontId="0" fillId="0" borderId="4" xfId="0" applyNumberFormat="1" applyBorder="1" applyAlignment="1">
      <alignment horizontal="left"/>
    </xf>
    <xf numFmtId="0" fontId="0" fillId="0" borderId="3" xfId="0" quotePrefix="1" applyNumberFormat="1" applyBorder="1" applyAlignment="1">
      <alignment horizontal="left"/>
    </xf>
    <xf numFmtId="15" fontId="0" fillId="0" borderId="0" xfId="0" quotePrefix="1" applyNumberFormat="1" applyBorder="1" applyAlignment="1">
      <alignment horizontal="left"/>
    </xf>
    <xf numFmtId="0" fontId="18" fillId="0" borderId="0" xfId="0" applyFont="1" applyBorder="1" applyAlignment="1">
      <alignment horizontal="center"/>
    </xf>
    <xf numFmtId="0" fontId="0" fillId="0" borderId="38" xfId="0" applyBorder="1" applyAlignment="1">
      <alignment horizontal="left"/>
    </xf>
    <xf numFmtId="0" fontId="0" fillId="0" borderId="37" xfId="0" applyBorder="1" applyAlignment="1"/>
    <xf numFmtId="0" fontId="18" fillId="0" borderId="8" xfId="0" applyFont="1" applyBorder="1" applyAlignment="1"/>
    <xf numFmtId="0" fontId="18" fillId="0" borderId="0" xfId="0" applyFont="1" applyBorder="1" applyAlignment="1"/>
    <xf numFmtId="0" fontId="0" fillId="0" borderId="2" xfId="0" applyBorder="1" applyAlignment="1"/>
    <xf numFmtId="0" fontId="18" fillId="0" borderId="9" xfId="0" applyFont="1" applyBorder="1" applyAlignment="1">
      <alignment horizontal="center"/>
    </xf>
  </cellXfs>
  <cellStyles count="3">
    <cellStyle name="Normal" xfId="0" builtinId="0"/>
    <cellStyle name="Normal 2" xfId="2" xr:uid="{11AA7CA8-385F-44DC-AF9A-3B34295F0F3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86934</xdr:colOff>
      <xdr:row>0</xdr:row>
      <xdr:rowOff>0</xdr:rowOff>
    </xdr:from>
    <xdr:to>
      <xdr:col>1</xdr:col>
      <xdr:colOff>295381</xdr:colOff>
      <xdr:row>2</xdr:row>
      <xdr:rowOff>11340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55D19A-734A-6FC5-FC7B-678DFCD91E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069" b="24784"/>
        <a:stretch>
          <a:fillRect/>
        </a:stretch>
      </xdr:blipFill>
      <xdr:spPr>
        <a:xfrm>
          <a:off x="86934" y="0"/>
          <a:ext cx="486260" cy="38553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31750</xdr:colOff>
          <xdr:row>43</xdr:row>
          <xdr:rowOff>165100</xdr:rowOff>
        </xdr:from>
        <xdr:to>
          <xdr:col>1</xdr:col>
          <xdr:colOff>19050</xdr:colOff>
          <xdr:row>45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46</xdr:row>
          <xdr:rowOff>139700</xdr:rowOff>
        </xdr:from>
        <xdr:to>
          <xdr:col>1</xdr:col>
          <xdr:colOff>12700</xdr:colOff>
          <xdr:row>48</xdr:row>
          <xdr:rowOff>31750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8100" cy="0"/>
    <xdr:grpSp>
      <xdr:nvGrpSpPr>
        <xdr:cNvPr id="2" name="Shape 2">
          <a:extLst>
            <a:ext uri="{FF2B5EF4-FFF2-40B4-BE49-F238E27FC236}">
              <a16:creationId xmlns:a16="http://schemas.microsoft.com/office/drawing/2014/main" id="{31D52FE1-5099-4852-B452-9992134B7A19}"/>
            </a:ext>
          </a:extLst>
        </xdr:cNvPr>
        <xdr:cNvGrpSpPr/>
      </xdr:nvGrpSpPr>
      <xdr:grpSpPr>
        <a:xfrm>
          <a:off x="0" y="226786"/>
          <a:ext cx="38100" cy="0"/>
          <a:chOff x="88900" y="406400"/>
          <a:chExt cx="381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55629A4D-D4F5-15F7-7D1F-8715709CB4FF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8</xdr:col>
      <xdr:colOff>0</xdr:colOff>
      <xdr:row>1</xdr:row>
      <xdr:rowOff>0</xdr:rowOff>
    </xdr:from>
    <xdr:ext cx="38100" cy="0"/>
    <xdr:grpSp>
      <xdr:nvGrpSpPr>
        <xdr:cNvPr id="4" name="Shape 2">
          <a:extLst>
            <a:ext uri="{FF2B5EF4-FFF2-40B4-BE49-F238E27FC236}">
              <a16:creationId xmlns:a16="http://schemas.microsoft.com/office/drawing/2014/main" id="{7E3AA178-868B-4ED7-AA13-6A2313D96E5E}"/>
            </a:ext>
          </a:extLst>
        </xdr:cNvPr>
        <xdr:cNvGrpSpPr/>
      </xdr:nvGrpSpPr>
      <xdr:grpSpPr>
        <a:xfrm>
          <a:off x="9265816" y="226786"/>
          <a:ext cx="38100" cy="0"/>
          <a:chOff x="5772150" y="406400"/>
          <a:chExt cx="381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FDFDC8B9-E217-C6B4-56FB-43B4A19A57EF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487847</xdr:colOff>
      <xdr:row>2</xdr:row>
      <xdr:rowOff>17690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7207F1-325C-4C51-89A1-841988FAAB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069" b="24784"/>
        <a:stretch>
          <a:fillRect/>
        </a:stretch>
      </xdr:blipFill>
      <xdr:spPr>
        <a:xfrm>
          <a:off x="0" y="0"/>
          <a:ext cx="487847" cy="39234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101600</xdr:colOff>
          <xdr:row>12</xdr:row>
          <xdr:rowOff>12700</xdr:rowOff>
        </xdr:from>
        <xdr:to>
          <xdr:col>0</xdr:col>
          <xdr:colOff>330200</xdr:colOff>
          <xdr:row>12</xdr:row>
          <xdr:rowOff>254000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101600</xdr:colOff>
          <xdr:row>13</xdr:row>
          <xdr:rowOff>12700</xdr:rowOff>
        </xdr:from>
        <xdr:ext cx="228600" cy="241300"/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B3917A52-3BBB-4842-B575-D928CAECCA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101600</xdr:colOff>
          <xdr:row>14</xdr:row>
          <xdr:rowOff>12700</xdr:rowOff>
        </xdr:from>
        <xdr:ext cx="228600" cy="241300"/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7F73E192-15AD-4B9F-85BE-6EDB1F3BDB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101600</xdr:colOff>
          <xdr:row>15</xdr:row>
          <xdr:rowOff>12700</xdr:rowOff>
        </xdr:from>
        <xdr:ext cx="228600" cy="241300"/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40C93117-696E-449A-888B-C1411D552D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101600</xdr:colOff>
          <xdr:row>12</xdr:row>
          <xdr:rowOff>12700</xdr:rowOff>
        </xdr:from>
        <xdr:ext cx="228600" cy="241300"/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36FC1D2A-11F6-4BAA-8A7A-6965201500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101600</xdr:colOff>
          <xdr:row>13</xdr:row>
          <xdr:rowOff>12700</xdr:rowOff>
        </xdr:from>
        <xdr:ext cx="228600" cy="241300"/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2BBF7C9F-C22C-43AA-A500-1BEB6E5BB3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101600</xdr:colOff>
          <xdr:row>14</xdr:row>
          <xdr:rowOff>12700</xdr:rowOff>
        </xdr:from>
        <xdr:ext cx="228600" cy="241300"/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66CFCE8A-0DB4-4560-82F9-6EC054186D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101600</xdr:colOff>
          <xdr:row>15</xdr:row>
          <xdr:rowOff>12700</xdr:rowOff>
        </xdr:from>
        <xdr:ext cx="228600" cy="241300"/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E881AF89-786C-4287-96AF-536930C2B2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03346e95a27af5f/Documents/myportofolio/Portofolio/Metric.xlsx" TargetMode="External"/><Relationship Id="rId1" Type="http://schemas.openxmlformats.org/officeDocument/2006/relationships/externalLinkPath" Target="Metri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03346e95a27af5f/Documents/myportofolio/Portofolio/Payroll.xlsx" TargetMode="External"/><Relationship Id="rId1" Type="http://schemas.openxmlformats.org/officeDocument/2006/relationships/externalLinkPath" Target="Payro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hsboard"/>
      <sheetName val="Data Employee"/>
      <sheetName val="Data Karyawan (2)"/>
      <sheetName val="Monitoring Contract"/>
      <sheetName val="Data Family"/>
      <sheetName val="Reference"/>
      <sheetName val="PIVOT"/>
    </sheetNames>
    <sheetDataSet>
      <sheetData sheetId="0" refreshError="1"/>
      <sheetData sheetId="1">
        <row r="1">
          <cell r="A1" t="str">
            <v>No. Karyawan</v>
          </cell>
          <cell r="T1" t="str">
            <v>Divison</v>
          </cell>
        </row>
        <row r="2">
          <cell r="T2" t="str">
            <v>Supply Chain Management</v>
          </cell>
        </row>
        <row r="3">
          <cell r="T3" t="str">
            <v>Supply Chain Management</v>
          </cell>
        </row>
        <row r="4">
          <cell r="T4" t="str">
            <v>Supply Chain Management</v>
          </cell>
        </row>
        <row r="5">
          <cell r="T5" t="str">
            <v>Supply Chain Management</v>
          </cell>
        </row>
        <row r="6">
          <cell r="T6" t="str">
            <v>Supply Chain Management</v>
          </cell>
        </row>
        <row r="7">
          <cell r="T7" t="str">
            <v>Supply Chain Management</v>
          </cell>
        </row>
        <row r="8">
          <cell r="T8" t="str">
            <v>Supply Chain Management</v>
          </cell>
        </row>
        <row r="9">
          <cell r="T9" t="str">
            <v>Supply Chain Management</v>
          </cell>
        </row>
        <row r="10">
          <cell r="T10" t="str">
            <v>Supply Chain Management</v>
          </cell>
        </row>
        <row r="11">
          <cell r="T11" t="str">
            <v>Supply Chain Management</v>
          </cell>
        </row>
        <row r="12">
          <cell r="T12" t="str">
            <v>Information Technology</v>
          </cell>
        </row>
        <row r="13">
          <cell r="T13" t="str">
            <v>Information Technology</v>
          </cell>
        </row>
        <row r="14">
          <cell r="T14" t="str">
            <v>Management</v>
          </cell>
        </row>
        <row r="15">
          <cell r="T15" t="str">
            <v>Management</v>
          </cell>
        </row>
        <row r="16">
          <cell r="T16" t="str">
            <v>Management</v>
          </cell>
        </row>
        <row r="17">
          <cell r="T17" t="str">
            <v>Management</v>
          </cell>
        </row>
        <row r="18">
          <cell r="T18" t="str">
            <v>Management</v>
          </cell>
        </row>
        <row r="19">
          <cell r="T19" t="str">
            <v>Management</v>
          </cell>
        </row>
        <row r="20">
          <cell r="T20" t="str">
            <v>Management</v>
          </cell>
        </row>
        <row r="21">
          <cell r="T21" t="str">
            <v>Commercial &amp; Marketing</v>
          </cell>
        </row>
        <row r="22">
          <cell r="T22" t="str">
            <v>Commercial &amp; Marketing</v>
          </cell>
        </row>
        <row r="23">
          <cell r="T23" t="str">
            <v>Commercial &amp; Marketing</v>
          </cell>
        </row>
        <row r="24">
          <cell r="T24" t="str">
            <v>Commercial &amp; Marketing</v>
          </cell>
        </row>
        <row r="25">
          <cell r="T25" t="str">
            <v>Commercial &amp; Marketing</v>
          </cell>
        </row>
        <row r="26">
          <cell r="T26" t="str">
            <v>Commercial &amp; Marketing</v>
          </cell>
        </row>
        <row r="27">
          <cell r="T27" t="str">
            <v>Commercial &amp; Marketing</v>
          </cell>
        </row>
        <row r="28">
          <cell r="T28" t="str">
            <v>Commercial &amp; Marketing</v>
          </cell>
        </row>
        <row r="29">
          <cell r="T29" t="str">
            <v>Human Resources</v>
          </cell>
        </row>
        <row r="30">
          <cell r="T30" t="str">
            <v>Human Resources</v>
          </cell>
        </row>
        <row r="31">
          <cell r="T31" t="str">
            <v>Human Resources</v>
          </cell>
        </row>
        <row r="32">
          <cell r="T32" t="str">
            <v>Manufacturing</v>
          </cell>
        </row>
        <row r="33">
          <cell r="T33" t="str">
            <v>Manufacturing</v>
          </cell>
        </row>
        <row r="34">
          <cell r="T34" t="str">
            <v>Manufacturing</v>
          </cell>
        </row>
        <row r="35">
          <cell r="T35" t="str">
            <v>Manufacturing</v>
          </cell>
        </row>
        <row r="36">
          <cell r="T36" t="str">
            <v>Manufacturing</v>
          </cell>
        </row>
        <row r="37">
          <cell r="T37" t="str">
            <v>Manufacturing</v>
          </cell>
        </row>
        <row r="38">
          <cell r="T38" t="str">
            <v>Manufacturing</v>
          </cell>
        </row>
        <row r="39">
          <cell r="T39" t="str">
            <v>Manufacturing</v>
          </cell>
        </row>
        <row r="40">
          <cell r="T40" t="str">
            <v>Manufacturing</v>
          </cell>
        </row>
        <row r="41">
          <cell r="T41" t="str">
            <v>Manufacturing</v>
          </cell>
        </row>
        <row r="42">
          <cell r="T42" t="str">
            <v>Manufacturing</v>
          </cell>
        </row>
        <row r="43">
          <cell r="T43" t="str">
            <v>Manufacturing</v>
          </cell>
        </row>
        <row r="44">
          <cell r="T44" t="str">
            <v>Manufacturing</v>
          </cell>
        </row>
        <row r="45">
          <cell r="T45" t="str">
            <v>Manufacturing</v>
          </cell>
        </row>
        <row r="46">
          <cell r="T46" t="str">
            <v>Manufacturing</v>
          </cell>
        </row>
        <row r="47">
          <cell r="T47" t="str">
            <v>Manufacturing</v>
          </cell>
        </row>
        <row r="48">
          <cell r="T48" t="str">
            <v>Manufacturing</v>
          </cell>
        </row>
        <row r="49">
          <cell r="T49" t="str">
            <v>Manufacturing</v>
          </cell>
        </row>
        <row r="50">
          <cell r="T50" t="str">
            <v>Manufacturing</v>
          </cell>
        </row>
        <row r="51">
          <cell r="T51" t="str">
            <v>Supply Chain Management</v>
          </cell>
        </row>
        <row r="52">
          <cell r="T52" t="str">
            <v>Supply Chain Management</v>
          </cell>
        </row>
        <row r="53">
          <cell r="T53" t="str">
            <v>Supply Chain Management</v>
          </cell>
        </row>
        <row r="54">
          <cell r="T54" t="str">
            <v>Supply Chain Management</v>
          </cell>
        </row>
        <row r="55">
          <cell r="T55" t="str">
            <v>Supply Chain Management</v>
          </cell>
        </row>
        <row r="56">
          <cell r="T56" t="str">
            <v>Supply Chain Management</v>
          </cell>
        </row>
        <row r="57">
          <cell r="T57" t="str">
            <v>Supply Chain Management</v>
          </cell>
        </row>
        <row r="58">
          <cell r="T58" t="str">
            <v>Supply Chain Management</v>
          </cell>
        </row>
        <row r="59">
          <cell r="T59" t="str">
            <v>Supply Chain Management</v>
          </cell>
        </row>
        <row r="60">
          <cell r="T60" t="str">
            <v>Supply Chain Management</v>
          </cell>
        </row>
        <row r="61">
          <cell r="T61" t="str">
            <v>Information Technology</v>
          </cell>
        </row>
        <row r="62">
          <cell r="T62" t="str">
            <v>Information Technology</v>
          </cell>
        </row>
        <row r="63">
          <cell r="T63" t="str">
            <v>Information Technology</v>
          </cell>
        </row>
        <row r="64">
          <cell r="T64" t="str">
            <v>Manufacturing</v>
          </cell>
        </row>
        <row r="65">
          <cell r="T65" t="str">
            <v>Supply Chain Management</v>
          </cell>
        </row>
        <row r="66">
          <cell r="T66" t="str">
            <v>Supply Chain Management</v>
          </cell>
        </row>
        <row r="67">
          <cell r="T67" t="str">
            <v>Supply Chain Management</v>
          </cell>
        </row>
        <row r="68">
          <cell r="T68" t="str">
            <v>Supply Chain Management</v>
          </cell>
        </row>
        <row r="69">
          <cell r="T69" t="str">
            <v>Supply Chain Management</v>
          </cell>
        </row>
        <row r="70">
          <cell r="T70" t="str">
            <v>Supply Chain Management</v>
          </cell>
        </row>
        <row r="71">
          <cell r="T71" t="str">
            <v>Supply Chain Management</v>
          </cell>
        </row>
        <row r="72">
          <cell r="T72" t="str">
            <v>Supply Chain Management</v>
          </cell>
        </row>
        <row r="73">
          <cell r="T73" t="str">
            <v>Supply Chain Management</v>
          </cell>
        </row>
        <row r="74">
          <cell r="T74" t="str">
            <v>Manufacturing</v>
          </cell>
        </row>
        <row r="75">
          <cell r="T75" t="str">
            <v>Manufacturing</v>
          </cell>
        </row>
        <row r="76">
          <cell r="T76" t="str">
            <v>Manufacturing</v>
          </cell>
        </row>
        <row r="77">
          <cell r="T77" t="str">
            <v>Manufacturing</v>
          </cell>
        </row>
        <row r="78">
          <cell r="T78" t="str">
            <v>Manufacturing</v>
          </cell>
        </row>
        <row r="79">
          <cell r="T79" t="str">
            <v>Manufacturing</v>
          </cell>
        </row>
        <row r="80">
          <cell r="T80" t="str">
            <v>Manufacturing</v>
          </cell>
        </row>
        <row r="81">
          <cell r="T81" t="str">
            <v>Manufacturing</v>
          </cell>
        </row>
        <row r="82">
          <cell r="T82" t="str">
            <v>Manufacturing</v>
          </cell>
        </row>
        <row r="83">
          <cell r="T83" t="str">
            <v>Manufacturing</v>
          </cell>
        </row>
        <row r="84">
          <cell r="T84" t="str">
            <v>Manufacturing</v>
          </cell>
        </row>
        <row r="85">
          <cell r="T85" t="str">
            <v>Manufacturing</v>
          </cell>
        </row>
        <row r="86">
          <cell r="T86" t="str">
            <v>Manufacturing</v>
          </cell>
        </row>
        <row r="87">
          <cell r="T87" t="str">
            <v>Manufacturing</v>
          </cell>
        </row>
        <row r="88">
          <cell r="T88" t="str">
            <v>Manufacturing</v>
          </cell>
        </row>
        <row r="89">
          <cell r="T89" t="str">
            <v>Manufacturing</v>
          </cell>
        </row>
        <row r="90">
          <cell r="T90" t="str">
            <v>Manufacturing</v>
          </cell>
        </row>
        <row r="91">
          <cell r="T91" t="str">
            <v>Manufacturing</v>
          </cell>
        </row>
        <row r="92">
          <cell r="T92" t="str">
            <v>Manufacturing</v>
          </cell>
        </row>
        <row r="93">
          <cell r="T93" t="str">
            <v>Manufacturing</v>
          </cell>
        </row>
        <row r="94">
          <cell r="T94" t="str">
            <v>Manufacturing</v>
          </cell>
        </row>
        <row r="95">
          <cell r="T95" t="str">
            <v>Manufacturing</v>
          </cell>
        </row>
        <row r="96">
          <cell r="T96" t="str">
            <v>Manufacturing</v>
          </cell>
        </row>
        <row r="97">
          <cell r="T97" t="str">
            <v>Manufacturing</v>
          </cell>
        </row>
        <row r="98">
          <cell r="T98" t="str">
            <v>Manufacturing</v>
          </cell>
        </row>
        <row r="99">
          <cell r="T99" t="str">
            <v>Manufacturing</v>
          </cell>
        </row>
        <row r="100">
          <cell r="T100" t="str">
            <v>Manufacturing</v>
          </cell>
        </row>
        <row r="101">
          <cell r="T101" t="str">
            <v>Manufacturing</v>
          </cell>
        </row>
        <row r="102">
          <cell r="T102" t="str">
            <v>Manufacturing</v>
          </cell>
        </row>
        <row r="103">
          <cell r="T103" t="str">
            <v>Manufacturing</v>
          </cell>
        </row>
        <row r="104">
          <cell r="T104" t="str">
            <v>Manufacturing</v>
          </cell>
        </row>
        <row r="105">
          <cell r="T105" t="str">
            <v>Manufacturing</v>
          </cell>
        </row>
        <row r="106">
          <cell r="T106" t="str">
            <v>Manufacturing</v>
          </cell>
        </row>
        <row r="107">
          <cell r="T107" t="str">
            <v>Manufacturing</v>
          </cell>
        </row>
        <row r="108">
          <cell r="T108" t="str">
            <v>Manufacturing</v>
          </cell>
        </row>
        <row r="109">
          <cell r="T109" t="str">
            <v>Manufacturing</v>
          </cell>
        </row>
        <row r="110">
          <cell r="T110" t="str">
            <v>Manufacturing</v>
          </cell>
        </row>
        <row r="111">
          <cell r="T111" t="str">
            <v>Manufacturing</v>
          </cell>
        </row>
        <row r="112">
          <cell r="T112" t="str">
            <v>Manufacturing</v>
          </cell>
        </row>
        <row r="113">
          <cell r="T113" t="str">
            <v>Manufacturing</v>
          </cell>
        </row>
        <row r="114">
          <cell r="T114" t="str">
            <v>Manufacturing</v>
          </cell>
        </row>
        <row r="115">
          <cell r="T115" t="str">
            <v>Manufacturing</v>
          </cell>
        </row>
        <row r="116">
          <cell r="T116" t="str">
            <v>Manufacturing</v>
          </cell>
        </row>
        <row r="117">
          <cell r="T117" t="str">
            <v>Manufacturing</v>
          </cell>
        </row>
        <row r="118">
          <cell r="T118" t="str">
            <v>Manufacturing</v>
          </cell>
        </row>
        <row r="119">
          <cell r="T119" t="str">
            <v>Manufacturing</v>
          </cell>
        </row>
        <row r="120">
          <cell r="T120" t="str">
            <v>Manufacturing</v>
          </cell>
        </row>
        <row r="121">
          <cell r="T121" t="str">
            <v>Manufacturing</v>
          </cell>
        </row>
        <row r="122">
          <cell r="T122" t="str">
            <v>Manufacturing</v>
          </cell>
        </row>
        <row r="123">
          <cell r="T123" t="str">
            <v>Manufacturing</v>
          </cell>
        </row>
        <row r="124">
          <cell r="T124" t="str">
            <v>Manufacturing</v>
          </cell>
        </row>
        <row r="125">
          <cell r="T125" t="str">
            <v>Manufacturing</v>
          </cell>
        </row>
        <row r="126">
          <cell r="T126" t="str">
            <v>Manufacturing</v>
          </cell>
        </row>
        <row r="127">
          <cell r="T127" t="str">
            <v>Manufacturing</v>
          </cell>
        </row>
        <row r="128">
          <cell r="T128" t="str">
            <v>Manufacturing</v>
          </cell>
        </row>
        <row r="129">
          <cell r="T129" t="str">
            <v>Manufacturing</v>
          </cell>
        </row>
        <row r="130">
          <cell r="T130" t="str">
            <v>Manufacturing</v>
          </cell>
        </row>
        <row r="131">
          <cell r="T131" t="str">
            <v>Manufacturing</v>
          </cell>
        </row>
        <row r="132">
          <cell r="T132" t="str">
            <v>Manufacturing</v>
          </cell>
        </row>
        <row r="133">
          <cell r="T133" t="str">
            <v>Manufacturing</v>
          </cell>
        </row>
        <row r="134">
          <cell r="T134" t="str">
            <v>Manufacturing</v>
          </cell>
        </row>
        <row r="135">
          <cell r="T135" t="str">
            <v>Manufacturing</v>
          </cell>
        </row>
        <row r="136">
          <cell r="T136" t="str">
            <v>Manufacturing</v>
          </cell>
        </row>
        <row r="137">
          <cell r="T137" t="str">
            <v>Manufacturing</v>
          </cell>
        </row>
        <row r="138">
          <cell r="T138" t="str">
            <v>Manufacturing</v>
          </cell>
        </row>
        <row r="139">
          <cell r="T139" t="str">
            <v>Manufacturing</v>
          </cell>
        </row>
        <row r="140">
          <cell r="T140" t="str">
            <v>Manufacturing</v>
          </cell>
        </row>
        <row r="141">
          <cell r="T141" t="str">
            <v>Manufacturing</v>
          </cell>
        </row>
        <row r="142">
          <cell r="T142" t="str">
            <v>Manufacturing</v>
          </cell>
        </row>
        <row r="143">
          <cell r="T143" t="str">
            <v>Manufacturing</v>
          </cell>
        </row>
        <row r="144">
          <cell r="T144" t="str">
            <v>Manufacturing</v>
          </cell>
        </row>
        <row r="145">
          <cell r="T145" t="str">
            <v>Manufacturing</v>
          </cell>
        </row>
        <row r="146">
          <cell r="T146" t="str">
            <v>Manufacturing</v>
          </cell>
        </row>
        <row r="147">
          <cell r="T147" t="str">
            <v>Manufacturing</v>
          </cell>
        </row>
        <row r="148">
          <cell r="T148" t="str">
            <v>Manufacturing</v>
          </cell>
        </row>
        <row r="149">
          <cell r="T149" t="str">
            <v>Manufacturing</v>
          </cell>
        </row>
        <row r="150">
          <cell r="T150" t="str">
            <v>Manufacturing</v>
          </cell>
        </row>
        <row r="151">
          <cell r="T151" t="str">
            <v>Manufacturing</v>
          </cell>
        </row>
        <row r="152">
          <cell r="T152" t="str">
            <v>Manufacturing</v>
          </cell>
        </row>
        <row r="153">
          <cell r="T153" t="str">
            <v>Manufacturing</v>
          </cell>
        </row>
        <row r="154">
          <cell r="T154" t="str">
            <v>Manufacturing</v>
          </cell>
        </row>
        <row r="155">
          <cell r="T155" t="str">
            <v>Manufacturing</v>
          </cell>
        </row>
        <row r="156">
          <cell r="T156" t="str">
            <v>Manufacturing</v>
          </cell>
        </row>
        <row r="157">
          <cell r="T157" t="str">
            <v>Manufacturing</v>
          </cell>
        </row>
        <row r="158">
          <cell r="T158" t="str">
            <v>Manufacturing</v>
          </cell>
        </row>
        <row r="159">
          <cell r="T159" t="str">
            <v>Manufacturing</v>
          </cell>
        </row>
        <row r="160">
          <cell r="T160" t="str">
            <v>Manufacturing</v>
          </cell>
        </row>
        <row r="161">
          <cell r="T161" t="str">
            <v>Manufacturing</v>
          </cell>
        </row>
        <row r="162">
          <cell r="T162" t="str">
            <v>Manufacturing</v>
          </cell>
        </row>
        <row r="163">
          <cell r="T163" t="str">
            <v>Manufacturing</v>
          </cell>
        </row>
        <row r="164">
          <cell r="T164" t="str">
            <v>Manufacturing</v>
          </cell>
        </row>
        <row r="165">
          <cell r="T165" t="str">
            <v>Manufacturing</v>
          </cell>
        </row>
        <row r="166">
          <cell r="T166" t="str">
            <v>Manufacturing</v>
          </cell>
        </row>
        <row r="167">
          <cell r="T167" t="str">
            <v>Manufacturing</v>
          </cell>
        </row>
        <row r="168">
          <cell r="T168" t="str">
            <v>Manufacturing</v>
          </cell>
        </row>
        <row r="169">
          <cell r="T169" t="str">
            <v>Manufacturing</v>
          </cell>
        </row>
        <row r="170">
          <cell r="T170" t="str">
            <v>Manufacturing</v>
          </cell>
        </row>
        <row r="171">
          <cell r="T171" t="str">
            <v>Manufacturing</v>
          </cell>
        </row>
        <row r="172">
          <cell r="T172" t="str">
            <v>Manufacturing</v>
          </cell>
        </row>
        <row r="173">
          <cell r="T173" t="str">
            <v>Manufacturing</v>
          </cell>
        </row>
        <row r="174">
          <cell r="T174" t="str">
            <v>Manufacturing</v>
          </cell>
        </row>
        <row r="175">
          <cell r="T175" t="str">
            <v>Manufacturing</v>
          </cell>
        </row>
        <row r="176">
          <cell r="T176" t="str">
            <v>Human Resources</v>
          </cell>
        </row>
        <row r="177">
          <cell r="T177" t="str">
            <v>Corporate Governance</v>
          </cell>
        </row>
        <row r="178">
          <cell r="T178" t="str">
            <v>Corporate Governance</v>
          </cell>
        </row>
        <row r="179">
          <cell r="T179" t="str">
            <v>Corporate Governance</v>
          </cell>
        </row>
        <row r="180">
          <cell r="T180" t="str">
            <v>Commercial &amp; Marketing</v>
          </cell>
        </row>
        <row r="181">
          <cell r="T181" t="str">
            <v>Commercial &amp; Marketing</v>
          </cell>
        </row>
        <row r="182">
          <cell r="T182" t="str">
            <v>Commercial &amp; Marketing</v>
          </cell>
        </row>
        <row r="183">
          <cell r="T183" t="str">
            <v>Commercial &amp; Marketing</v>
          </cell>
        </row>
        <row r="184">
          <cell r="T184" t="str">
            <v>Commercial &amp; Marketing</v>
          </cell>
        </row>
        <row r="185">
          <cell r="T185" t="str">
            <v>Commercial &amp; Marketing</v>
          </cell>
        </row>
        <row r="186">
          <cell r="T186" t="str">
            <v>Commercial &amp; Marketing</v>
          </cell>
        </row>
        <row r="187">
          <cell r="T187" t="str">
            <v>Commercial &amp; Marketing</v>
          </cell>
        </row>
        <row r="188">
          <cell r="T188" t="str">
            <v>Commercial &amp; Marketing</v>
          </cell>
        </row>
        <row r="189">
          <cell r="T189" t="str">
            <v>Legal &amp; Compliance</v>
          </cell>
        </row>
        <row r="190">
          <cell r="T190" t="str">
            <v>Legal &amp; Compliance</v>
          </cell>
        </row>
        <row r="191">
          <cell r="T191" t="str">
            <v>Legal &amp; Compliance</v>
          </cell>
        </row>
        <row r="192">
          <cell r="T192" t="str">
            <v>Legal &amp; Compliance</v>
          </cell>
        </row>
        <row r="193">
          <cell r="T193" t="str">
            <v>Human Resources</v>
          </cell>
        </row>
        <row r="194">
          <cell r="T194" t="str">
            <v>Manufacturing</v>
          </cell>
        </row>
        <row r="195">
          <cell r="T195" t="str">
            <v>Manufacturing</v>
          </cell>
        </row>
        <row r="196">
          <cell r="T196" t="str">
            <v>Manufacturing</v>
          </cell>
        </row>
        <row r="197">
          <cell r="T197" t="str">
            <v>Manufacturing</v>
          </cell>
        </row>
        <row r="198">
          <cell r="T198" t="str">
            <v>Manufacturing</v>
          </cell>
        </row>
        <row r="199">
          <cell r="T199" t="str">
            <v>Manufacturing</v>
          </cell>
        </row>
        <row r="200">
          <cell r="T200" t="str">
            <v>Manufacturing</v>
          </cell>
        </row>
        <row r="201">
          <cell r="T201" t="str">
            <v>Manufacturing</v>
          </cell>
        </row>
        <row r="202">
          <cell r="T202" t="str">
            <v>Manufacturing</v>
          </cell>
        </row>
        <row r="203">
          <cell r="T203" t="str">
            <v>Manufacturing</v>
          </cell>
        </row>
        <row r="204">
          <cell r="T204" t="str">
            <v>Manufacturing</v>
          </cell>
        </row>
        <row r="205">
          <cell r="T205" t="str">
            <v>Manufacturing</v>
          </cell>
        </row>
        <row r="206">
          <cell r="T206" t="str">
            <v>Manufacturing</v>
          </cell>
        </row>
        <row r="207">
          <cell r="T207" t="str">
            <v>Manufacturing</v>
          </cell>
        </row>
        <row r="208">
          <cell r="T208" t="str">
            <v>Manufacturing</v>
          </cell>
        </row>
        <row r="209">
          <cell r="T209" t="str">
            <v>Manufacturing</v>
          </cell>
        </row>
        <row r="210">
          <cell r="T210" t="str">
            <v>Manufacturing</v>
          </cell>
        </row>
        <row r="211">
          <cell r="T211" t="str">
            <v>Manufacturing</v>
          </cell>
        </row>
        <row r="212">
          <cell r="T212" t="str">
            <v>Manufacturing</v>
          </cell>
        </row>
        <row r="213">
          <cell r="T213" t="str">
            <v>Manufacturing</v>
          </cell>
        </row>
        <row r="214">
          <cell r="T214" t="str">
            <v>Manufacturing</v>
          </cell>
        </row>
        <row r="215">
          <cell r="T215" t="str">
            <v>Manufacturing</v>
          </cell>
        </row>
        <row r="216">
          <cell r="T216" t="str">
            <v>Manufacturing</v>
          </cell>
        </row>
        <row r="217">
          <cell r="T217" t="str">
            <v>Manufacturing</v>
          </cell>
        </row>
        <row r="218">
          <cell r="T218" t="str">
            <v>Manufacturing</v>
          </cell>
        </row>
        <row r="219">
          <cell r="T219" t="str">
            <v>Information Technology</v>
          </cell>
        </row>
        <row r="220">
          <cell r="T220" t="str">
            <v>Information Technology</v>
          </cell>
        </row>
        <row r="221">
          <cell r="T221" t="str">
            <v>Information Technology</v>
          </cell>
        </row>
        <row r="222">
          <cell r="T222" t="str">
            <v>Information Technology</v>
          </cell>
        </row>
        <row r="223">
          <cell r="T223" t="str">
            <v>Information Technology</v>
          </cell>
        </row>
        <row r="224">
          <cell r="T224" t="str">
            <v>Supply Chain Management</v>
          </cell>
        </row>
        <row r="225">
          <cell r="T225" t="str">
            <v>Supply Chain Management</v>
          </cell>
        </row>
        <row r="226">
          <cell r="T226" t="str">
            <v>Supply Chain Management</v>
          </cell>
        </row>
        <row r="227">
          <cell r="T227" t="str">
            <v>Supply Chain Management</v>
          </cell>
        </row>
        <row r="228">
          <cell r="T228" t="str">
            <v>Supply Chain Management</v>
          </cell>
        </row>
        <row r="229">
          <cell r="T229" t="str">
            <v>Human Resources</v>
          </cell>
        </row>
        <row r="230">
          <cell r="T230" t="str">
            <v>Information Technology</v>
          </cell>
        </row>
        <row r="231">
          <cell r="T231" t="str">
            <v>Information Technology</v>
          </cell>
        </row>
        <row r="232">
          <cell r="T232" t="str">
            <v>Commercial &amp; Marketing</v>
          </cell>
        </row>
        <row r="233">
          <cell r="T233" t="str">
            <v>Manufacturing</v>
          </cell>
        </row>
        <row r="234">
          <cell r="T234" t="str">
            <v>Manufacturing</v>
          </cell>
        </row>
        <row r="235">
          <cell r="T235" t="str">
            <v>Manufacturing</v>
          </cell>
        </row>
        <row r="236">
          <cell r="T236" t="str">
            <v>Manufacturing</v>
          </cell>
        </row>
        <row r="237">
          <cell r="T237" t="str">
            <v>Manufacturing</v>
          </cell>
        </row>
        <row r="238">
          <cell r="T238" t="str">
            <v>Manufacturing</v>
          </cell>
        </row>
        <row r="239">
          <cell r="T239" t="str">
            <v>Manufacturing</v>
          </cell>
        </row>
        <row r="240">
          <cell r="T240" t="str">
            <v>Manufacturing</v>
          </cell>
        </row>
        <row r="241">
          <cell r="T241" t="str">
            <v>Manufacturing</v>
          </cell>
        </row>
        <row r="242">
          <cell r="T242" t="str">
            <v>Manufacturing</v>
          </cell>
        </row>
        <row r="243">
          <cell r="T243" t="str">
            <v>Management</v>
          </cell>
        </row>
        <row r="244">
          <cell r="T244" t="str">
            <v>Commercial &amp; Marketing</v>
          </cell>
        </row>
        <row r="245">
          <cell r="T245" t="str">
            <v>Supply Chain Management</v>
          </cell>
        </row>
        <row r="246">
          <cell r="T246" t="str">
            <v>Supply Chain Management</v>
          </cell>
        </row>
        <row r="247">
          <cell r="T247" t="str">
            <v>Supply Chain Management</v>
          </cell>
        </row>
        <row r="248">
          <cell r="T248" t="str">
            <v>Supply Chain Management</v>
          </cell>
        </row>
        <row r="249">
          <cell r="T249" t="str">
            <v>Human Resources</v>
          </cell>
        </row>
        <row r="250">
          <cell r="T250" t="str">
            <v>Human Resources</v>
          </cell>
        </row>
        <row r="251">
          <cell r="T251" t="str">
            <v>Human Resources</v>
          </cell>
        </row>
        <row r="252">
          <cell r="T252" t="str">
            <v>Human Resources</v>
          </cell>
        </row>
        <row r="253">
          <cell r="T253" t="str">
            <v>Human Resources</v>
          </cell>
        </row>
        <row r="254">
          <cell r="T254" t="str">
            <v>Human Resources</v>
          </cell>
        </row>
        <row r="255">
          <cell r="T255" t="str">
            <v>Human Resources</v>
          </cell>
        </row>
        <row r="256">
          <cell r="T256" t="str">
            <v>Human Resources</v>
          </cell>
        </row>
        <row r="257">
          <cell r="T257" t="str">
            <v>Management</v>
          </cell>
        </row>
        <row r="258">
          <cell r="T258" t="str">
            <v>Information Technology</v>
          </cell>
        </row>
        <row r="259">
          <cell r="T259" t="str">
            <v>Information Technology</v>
          </cell>
        </row>
        <row r="260">
          <cell r="T260" t="str">
            <v>Supply Chain Management</v>
          </cell>
        </row>
        <row r="261">
          <cell r="T261" t="str">
            <v>Supply Chain Management</v>
          </cell>
        </row>
        <row r="262">
          <cell r="T262" t="str">
            <v>Supply Chain Management</v>
          </cell>
        </row>
        <row r="263">
          <cell r="T263" t="str">
            <v>Supply Chain Management</v>
          </cell>
        </row>
        <row r="264">
          <cell r="T264" t="str">
            <v>Supply Chain Management</v>
          </cell>
        </row>
        <row r="265">
          <cell r="T265" t="str">
            <v>Supply Chain Management</v>
          </cell>
        </row>
        <row r="266">
          <cell r="T266" t="str">
            <v>Supply Chain Management</v>
          </cell>
        </row>
        <row r="267">
          <cell r="T267" t="str">
            <v>Supply Chain Management</v>
          </cell>
        </row>
        <row r="268">
          <cell r="T268" t="str">
            <v>Supply Chain Management</v>
          </cell>
        </row>
        <row r="269">
          <cell r="T269" t="str">
            <v>Supply Chain Management</v>
          </cell>
        </row>
        <row r="270">
          <cell r="T270" t="str">
            <v>Supply Chain Management</v>
          </cell>
        </row>
        <row r="271">
          <cell r="T271" t="str">
            <v>Supply Chain Management</v>
          </cell>
        </row>
        <row r="272">
          <cell r="T272" t="str">
            <v>Supply Chain Management</v>
          </cell>
        </row>
        <row r="273">
          <cell r="T273" t="str">
            <v>Supply Chain Management</v>
          </cell>
        </row>
        <row r="274">
          <cell r="T274" t="str">
            <v>Management</v>
          </cell>
        </row>
        <row r="275">
          <cell r="T275" t="str">
            <v>Management</v>
          </cell>
        </row>
        <row r="276">
          <cell r="T276" t="str">
            <v>Management</v>
          </cell>
        </row>
        <row r="277">
          <cell r="T277" t="str">
            <v>Management</v>
          </cell>
        </row>
        <row r="278">
          <cell r="T278" t="str">
            <v>Management</v>
          </cell>
        </row>
        <row r="279">
          <cell r="T279" t="str">
            <v>Management</v>
          </cell>
        </row>
        <row r="280">
          <cell r="T280" t="str">
            <v>Human Resources</v>
          </cell>
        </row>
        <row r="281">
          <cell r="T281" t="str">
            <v>Supply Chain Management</v>
          </cell>
        </row>
        <row r="282">
          <cell r="T282" t="str">
            <v>Information Technology</v>
          </cell>
        </row>
        <row r="283">
          <cell r="T283" t="str">
            <v>Supply Chain Management</v>
          </cell>
        </row>
        <row r="284">
          <cell r="T284" t="str">
            <v>Manufacturing</v>
          </cell>
        </row>
        <row r="285">
          <cell r="T285" t="str">
            <v>Manufacturing</v>
          </cell>
        </row>
        <row r="286">
          <cell r="T286" t="str">
            <v>Manufacturing</v>
          </cell>
        </row>
        <row r="287">
          <cell r="T287" t="str">
            <v>Manufacturing</v>
          </cell>
        </row>
        <row r="288">
          <cell r="T288" t="str">
            <v>Manufacturing</v>
          </cell>
        </row>
        <row r="289">
          <cell r="T289" t="str">
            <v>Human Resources</v>
          </cell>
        </row>
        <row r="290">
          <cell r="T290" t="str">
            <v>Human Resources</v>
          </cell>
        </row>
        <row r="291">
          <cell r="T291" t="str">
            <v>Human Resources</v>
          </cell>
        </row>
        <row r="292">
          <cell r="T292" t="str">
            <v>Human Resources</v>
          </cell>
        </row>
        <row r="293">
          <cell r="T293" t="str">
            <v>Human Resources</v>
          </cell>
        </row>
        <row r="294">
          <cell r="T294" t="str">
            <v>Human Resources</v>
          </cell>
        </row>
        <row r="295">
          <cell r="T295" t="str">
            <v>Human Resources</v>
          </cell>
        </row>
        <row r="296">
          <cell r="T296" t="str">
            <v>Human Resources</v>
          </cell>
        </row>
        <row r="297">
          <cell r="T297" t="str">
            <v>Supply Chain Management</v>
          </cell>
        </row>
        <row r="298">
          <cell r="T298" t="str">
            <v>Supply Chain Management</v>
          </cell>
        </row>
        <row r="299">
          <cell r="T299" t="str">
            <v>Supply Chain Management</v>
          </cell>
        </row>
        <row r="300">
          <cell r="T300" t="str">
            <v>Management</v>
          </cell>
        </row>
        <row r="301">
          <cell r="T301" t="str">
            <v>Management</v>
          </cell>
        </row>
        <row r="302">
          <cell r="T302" t="str">
            <v>Management</v>
          </cell>
        </row>
        <row r="303">
          <cell r="T303" t="str">
            <v>Management</v>
          </cell>
        </row>
        <row r="304">
          <cell r="T304" t="str">
            <v>Management</v>
          </cell>
        </row>
        <row r="305">
          <cell r="T305" t="str">
            <v>Management</v>
          </cell>
        </row>
        <row r="306">
          <cell r="T306" t="str">
            <v>Human Resources</v>
          </cell>
        </row>
        <row r="307">
          <cell r="T307" t="str">
            <v>Human Resources</v>
          </cell>
        </row>
        <row r="308">
          <cell r="T308" t="str">
            <v>Supply Chain Management</v>
          </cell>
        </row>
        <row r="309">
          <cell r="T309" t="str">
            <v>Management</v>
          </cell>
        </row>
        <row r="310">
          <cell r="T310" t="str">
            <v>Management</v>
          </cell>
        </row>
        <row r="311">
          <cell r="T311" t="str">
            <v>Management</v>
          </cell>
        </row>
        <row r="312">
          <cell r="T312" t="str">
            <v>Management</v>
          </cell>
        </row>
        <row r="313">
          <cell r="T313" t="str">
            <v>Management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hsboard"/>
      <sheetName val="Dsboard"/>
      <sheetName val="Payslip"/>
      <sheetName val="Payroll"/>
      <sheetName val="Insentif"/>
      <sheetName val="Potongan"/>
      <sheetName val="Lembur"/>
      <sheetName val="Kehadiran"/>
      <sheetName val="Absensi"/>
      <sheetName val="Upah"/>
      <sheetName val="Struktur Upah"/>
      <sheetName val="Data Employee"/>
      <sheetName val="Referensi"/>
      <sheetName val="Kebijakan"/>
      <sheetName val="Kalender"/>
      <sheetName val="TER"/>
      <sheetName val="PIVO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6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5" Type="http://schemas.openxmlformats.org/officeDocument/2006/relationships/ctrlProp" Target="../ctrlProps/ctrlProp4.xml"/><Relationship Id="rId10" Type="http://schemas.openxmlformats.org/officeDocument/2006/relationships/ctrlProp" Target="../ctrlProps/ctrlProp9.xml"/><Relationship Id="rId4" Type="http://schemas.openxmlformats.org/officeDocument/2006/relationships/ctrlProp" Target="../ctrlProps/ctrlProp3.xml"/><Relationship Id="rId9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0AF4-79DA-4F0D-AB75-F353520E8666}">
  <sheetPr>
    <pageSetUpPr fitToPage="1"/>
  </sheetPr>
  <dimension ref="A1:N57"/>
  <sheetViews>
    <sheetView showGridLines="0" zoomScale="75" zoomScaleNormal="75" workbookViewId="0">
      <selection sqref="A1:N2"/>
    </sheetView>
  </sheetViews>
  <sheetFormatPr defaultRowHeight="14" x14ac:dyDescent="0.3"/>
  <cols>
    <col min="1" max="1" width="4" style="2" bestFit="1" customWidth="1"/>
    <col min="2" max="2" width="10.6328125" style="2" customWidth="1"/>
    <col min="3" max="3" width="8.6328125" style="2" customWidth="1"/>
    <col min="4" max="4" width="15.6328125" style="2" customWidth="1"/>
    <col min="5" max="5" width="8.6328125" style="3" customWidth="1"/>
    <col min="6" max="6" width="1.6328125" style="3" customWidth="1"/>
    <col min="7" max="12" width="4.6328125" style="2" customWidth="1"/>
    <col min="13" max="13" width="10.6328125" style="2" customWidth="1"/>
    <col min="14" max="14" width="7.6328125" style="7" customWidth="1"/>
    <col min="15" max="16384" width="8.7265625" style="2"/>
  </cols>
  <sheetData>
    <row r="1" spans="1:14" ht="14.5" customHeight="1" x14ac:dyDescent="0.3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</row>
    <row r="2" spans="1:14" ht="15" customHeight="1" x14ac:dyDescent="0.3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</row>
    <row r="3" spans="1:14" ht="15" customHeight="1" x14ac:dyDescent="0.3">
      <c r="A3" s="172" t="s">
        <v>61</v>
      </c>
      <c r="B3" s="173"/>
      <c r="C3" s="173"/>
      <c r="D3" s="44">
        <v>46211</v>
      </c>
      <c r="E3" s="8"/>
      <c r="F3" s="8"/>
      <c r="G3" s="173" t="s">
        <v>54</v>
      </c>
      <c r="H3" s="173"/>
      <c r="I3" s="173"/>
      <c r="J3" s="173"/>
      <c r="K3" s="173"/>
      <c r="L3" s="113" t="s">
        <v>57</v>
      </c>
      <c r="M3" s="113"/>
      <c r="N3" s="114"/>
    </row>
    <row r="4" spans="1:14" ht="15" customHeight="1" x14ac:dyDescent="0.3">
      <c r="A4" s="174" t="s">
        <v>52</v>
      </c>
      <c r="B4" s="175"/>
      <c r="C4" s="175"/>
      <c r="D4" s="23">
        <v>202144404</v>
      </c>
      <c r="E4" s="5"/>
      <c r="F4" s="5"/>
      <c r="G4" s="175" t="s">
        <v>64</v>
      </c>
      <c r="H4" s="175"/>
      <c r="I4" s="175"/>
      <c r="J4" s="175"/>
      <c r="K4" s="175"/>
      <c r="L4" s="177" t="s">
        <v>58</v>
      </c>
      <c r="M4" s="177"/>
      <c r="N4" s="178"/>
    </row>
    <row r="5" spans="1:14" ht="15" customHeight="1" x14ac:dyDescent="0.3">
      <c r="A5" s="174" t="s">
        <v>62</v>
      </c>
      <c r="B5" s="175"/>
      <c r="C5" s="175"/>
      <c r="D5" s="4" t="s">
        <v>55</v>
      </c>
      <c r="E5" s="5"/>
      <c r="F5" s="5"/>
      <c r="G5" s="175" t="s">
        <v>65</v>
      </c>
      <c r="H5" s="175"/>
      <c r="I5" s="175"/>
      <c r="J5" s="175"/>
      <c r="K5" s="175"/>
      <c r="L5" s="177" t="s">
        <v>59</v>
      </c>
      <c r="M5" s="177"/>
      <c r="N5" s="178"/>
    </row>
    <row r="6" spans="1:14" ht="14.5" customHeight="1" x14ac:dyDescent="0.3">
      <c r="A6" s="176" t="s">
        <v>63</v>
      </c>
      <c r="B6" s="171"/>
      <c r="C6" s="171"/>
      <c r="D6" s="12" t="s">
        <v>56</v>
      </c>
      <c r="E6" s="13"/>
      <c r="F6" s="13"/>
      <c r="G6" s="171" t="s">
        <v>66</v>
      </c>
      <c r="H6" s="171"/>
      <c r="I6" s="171"/>
      <c r="J6" s="171"/>
      <c r="K6" s="171"/>
      <c r="L6" s="45" t="s">
        <v>60</v>
      </c>
      <c r="M6" s="46"/>
      <c r="N6" s="25"/>
    </row>
    <row r="7" spans="1:14" ht="5" customHeight="1" x14ac:dyDescent="0.3"/>
    <row r="8" spans="1:14" ht="28" x14ac:dyDescent="0.3">
      <c r="A8" s="115" t="s">
        <v>1</v>
      </c>
      <c r="B8" s="115"/>
      <c r="C8" s="115"/>
      <c r="D8" s="115"/>
      <c r="E8" s="42" t="s">
        <v>2</v>
      </c>
      <c r="F8" s="6"/>
      <c r="G8" s="165" t="s">
        <v>43</v>
      </c>
      <c r="H8" s="165"/>
      <c r="I8" s="165"/>
      <c r="J8" s="165"/>
      <c r="K8" s="165"/>
      <c r="L8" s="165"/>
      <c r="M8" s="165"/>
      <c r="N8" s="22" t="s">
        <v>6</v>
      </c>
    </row>
    <row r="9" spans="1:14" ht="14" customHeight="1" x14ac:dyDescent="0.3">
      <c r="A9" s="158" t="s">
        <v>14</v>
      </c>
      <c r="B9" s="147" t="s">
        <v>19</v>
      </c>
      <c r="C9" s="148"/>
      <c r="D9" s="149"/>
      <c r="E9" s="140">
        <v>10</v>
      </c>
      <c r="G9" s="156" t="s">
        <v>11</v>
      </c>
      <c r="H9" s="157"/>
      <c r="I9" s="156" t="s">
        <v>12</v>
      </c>
      <c r="J9" s="157"/>
      <c r="K9" s="156" t="s">
        <v>13</v>
      </c>
      <c r="L9" s="157"/>
      <c r="M9" s="43" t="s">
        <v>42</v>
      </c>
      <c r="N9" s="160">
        <v>1</v>
      </c>
    </row>
    <row r="10" spans="1:14" ht="14" customHeight="1" x14ac:dyDescent="0.3">
      <c r="A10" s="158"/>
      <c r="B10" s="150" t="s">
        <v>20</v>
      </c>
      <c r="C10" s="151"/>
      <c r="D10" s="152"/>
      <c r="E10" s="140"/>
      <c r="G10" s="168" t="s">
        <v>15</v>
      </c>
      <c r="H10" s="169"/>
      <c r="I10" s="168" t="s">
        <v>16</v>
      </c>
      <c r="J10" s="169"/>
      <c r="K10" s="168" t="s">
        <v>17</v>
      </c>
      <c r="L10" s="169"/>
      <c r="M10" s="24" t="s">
        <v>18</v>
      </c>
      <c r="N10" s="161"/>
    </row>
    <row r="11" spans="1:14" ht="18" customHeight="1" x14ac:dyDescent="0.3">
      <c r="A11" s="159"/>
      <c r="B11" s="153"/>
      <c r="C11" s="154"/>
      <c r="D11" s="155"/>
      <c r="E11" s="134"/>
      <c r="G11" s="166">
        <v>4</v>
      </c>
      <c r="H11" s="167"/>
      <c r="I11" s="163">
        <v>3</v>
      </c>
      <c r="J11" s="164"/>
      <c r="K11" s="163">
        <v>2</v>
      </c>
      <c r="L11" s="164"/>
      <c r="M11" s="26">
        <v>1</v>
      </c>
      <c r="N11" s="162"/>
    </row>
    <row r="12" spans="1:14" ht="16" customHeight="1" x14ac:dyDescent="0.3">
      <c r="A12" s="16" t="s">
        <v>3</v>
      </c>
      <c r="B12" s="1" t="s">
        <v>4</v>
      </c>
      <c r="E12" s="21"/>
      <c r="N12" s="15"/>
    </row>
    <row r="13" spans="1:14" ht="14" customHeight="1" x14ac:dyDescent="0.3">
      <c r="A13" s="140">
        <v>1</v>
      </c>
      <c r="B13" s="20" t="s">
        <v>5</v>
      </c>
      <c r="C13" s="9"/>
      <c r="D13" s="9"/>
      <c r="E13" s="133">
        <v>20</v>
      </c>
      <c r="G13" s="135"/>
      <c r="H13" s="136"/>
      <c r="I13" s="135"/>
      <c r="J13" s="136"/>
      <c r="K13" s="135">
        <v>2</v>
      </c>
      <c r="L13" s="136"/>
      <c r="M13" s="139"/>
      <c r="N13" s="128">
        <f>E13*SUM(G13:M14)</f>
        <v>40</v>
      </c>
    </row>
    <row r="14" spans="1:14" ht="14" customHeight="1" x14ac:dyDescent="0.35">
      <c r="A14" s="134"/>
      <c r="B14" s="144" t="s">
        <v>22</v>
      </c>
      <c r="C14" s="145"/>
      <c r="D14" s="146"/>
      <c r="E14" s="134"/>
      <c r="G14" s="137"/>
      <c r="H14" s="138"/>
      <c r="I14" s="137"/>
      <c r="J14" s="138"/>
      <c r="K14" s="137"/>
      <c r="L14" s="138"/>
      <c r="M14" s="129"/>
      <c r="N14" s="129"/>
    </row>
    <row r="15" spans="1:14" ht="14" customHeight="1" x14ac:dyDescent="0.3">
      <c r="A15" s="140">
        <v>2</v>
      </c>
      <c r="B15" s="20" t="s">
        <v>10</v>
      </c>
      <c r="C15" s="9"/>
      <c r="D15" s="9"/>
      <c r="E15" s="133">
        <v>15</v>
      </c>
      <c r="G15" s="135"/>
      <c r="H15" s="136"/>
      <c r="I15" s="135"/>
      <c r="J15" s="136"/>
      <c r="K15" s="135">
        <v>2</v>
      </c>
      <c r="L15" s="136"/>
      <c r="M15" s="139"/>
      <c r="N15" s="128">
        <f t="shared" ref="N15" si="0">E15*SUM(G15:M16)</f>
        <v>30</v>
      </c>
    </row>
    <row r="16" spans="1:14" ht="14" customHeight="1" x14ac:dyDescent="0.35">
      <c r="A16" s="134"/>
      <c r="B16" s="130" t="s">
        <v>24</v>
      </c>
      <c r="C16" s="131"/>
      <c r="D16" s="132"/>
      <c r="E16" s="134"/>
      <c r="G16" s="137"/>
      <c r="H16" s="138"/>
      <c r="I16" s="137"/>
      <c r="J16" s="138"/>
      <c r="K16" s="137"/>
      <c r="L16" s="138"/>
      <c r="M16" s="129"/>
      <c r="N16" s="129"/>
    </row>
    <row r="17" spans="1:14" ht="14" customHeight="1" x14ac:dyDescent="0.3">
      <c r="A17" s="140">
        <v>3</v>
      </c>
      <c r="B17" s="20" t="s">
        <v>21</v>
      </c>
      <c r="C17" s="9"/>
      <c r="D17" s="9"/>
      <c r="E17" s="133">
        <v>10</v>
      </c>
      <c r="G17" s="135"/>
      <c r="H17" s="136"/>
      <c r="I17" s="135">
        <v>3</v>
      </c>
      <c r="J17" s="136"/>
      <c r="K17" s="135"/>
      <c r="L17" s="136"/>
      <c r="M17" s="139"/>
      <c r="N17" s="128">
        <f t="shared" ref="N17" si="1">E17*SUM(G17:M18)</f>
        <v>30</v>
      </c>
    </row>
    <row r="18" spans="1:14" ht="14" customHeight="1" x14ac:dyDescent="0.35">
      <c r="A18" s="134"/>
      <c r="B18" s="141" t="s">
        <v>23</v>
      </c>
      <c r="C18" s="142"/>
      <c r="D18" s="143"/>
      <c r="E18" s="134"/>
      <c r="G18" s="137"/>
      <c r="H18" s="138"/>
      <c r="I18" s="137"/>
      <c r="J18" s="138"/>
      <c r="K18" s="137"/>
      <c r="L18" s="138"/>
      <c r="M18" s="129"/>
      <c r="N18" s="129"/>
    </row>
    <row r="19" spans="1:14" ht="16" customHeight="1" x14ac:dyDescent="0.3">
      <c r="A19" s="16" t="s">
        <v>7</v>
      </c>
      <c r="B19" s="1" t="s">
        <v>8</v>
      </c>
      <c r="E19" s="21"/>
      <c r="N19" s="15"/>
    </row>
    <row r="20" spans="1:14" ht="14" customHeight="1" x14ac:dyDescent="0.3">
      <c r="A20" s="140">
        <v>1</v>
      </c>
      <c r="B20" s="20" t="s">
        <v>9</v>
      </c>
      <c r="C20" s="9"/>
      <c r="D20" s="9"/>
      <c r="E20" s="133">
        <v>10</v>
      </c>
      <c r="G20" s="135"/>
      <c r="H20" s="136"/>
      <c r="I20" s="135">
        <v>3</v>
      </c>
      <c r="J20" s="136"/>
      <c r="K20" s="135"/>
      <c r="L20" s="136"/>
      <c r="M20" s="139"/>
      <c r="N20" s="128">
        <f>E20*SUM(G20:M21)</f>
        <v>30</v>
      </c>
    </row>
    <row r="21" spans="1:14" ht="14" customHeight="1" x14ac:dyDescent="0.35">
      <c r="A21" s="134"/>
      <c r="B21" s="144" t="s">
        <v>26</v>
      </c>
      <c r="C21" s="145"/>
      <c r="D21" s="146"/>
      <c r="E21" s="134"/>
      <c r="G21" s="137"/>
      <c r="H21" s="138"/>
      <c r="I21" s="137"/>
      <c r="J21" s="138"/>
      <c r="K21" s="137"/>
      <c r="L21" s="138"/>
      <c r="M21" s="129"/>
      <c r="N21" s="129"/>
    </row>
    <row r="22" spans="1:14" ht="14" customHeight="1" x14ac:dyDescent="0.3">
      <c r="A22" s="140">
        <v>2</v>
      </c>
      <c r="B22" s="20" t="s">
        <v>25</v>
      </c>
      <c r="C22" s="9"/>
      <c r="D22" s="9"/>
      <c r="E22" s="133">
        <v>5</v>
      </c>
      <c r="G22" s="135"/>
      <c r="H22" s="136"/>
      <c r="I22" s="135"/>
      <c r="J22" s="136"/>
      <c r="K22" s="135">
        <v>2</v>
      </c>
      <c r="L22" s="136"/>
      <c r="M22" s="139"/>
      <c r="N22" s="128">
        <f t="shared" ref="N22" si="2">E22*SUM(G22:M23)</f>
        <v>10</v>
      </c>
    </row>
    <row r="23" spans="1:14" ht="14" customHeight="1" x14ac:dyDescent="0.35">
      <c r="A23" s="134"/>
      <c r="B23" s="130" t="s">
        <v>27</v>
      </c>
      <c r="C23" s="131"/>
      <c r="D23" s="132"/>
      <c r="E23" s="134"/>
      <c r="G23" s="137"/>
      <c r="H23" s="138"/>
      <c r="I23" s="137"/>
      <c r="J23" s="138"/>
      <c r="K23" s="137"/>
      <c r="L23" s="138"/>
      <c r="M23" s="129"/>
      <c r="N23" s="129"/>
    </row>
    <row r="24" spans="1:14" ht="14" customHeight="1" x14ac:dyDescent="0.3">
      <c r="A24" s="140">
        <v>3</v>
      </c>
      <c r="B24" s="20" t="s">
        <v>28</v>
      </c>
      <c r="C24" s="9"/>
      <c r="D24" s="9"/>
      <c r="E24" s="133">
        <v>10</v>
      </c>
      <c r="G24" s="135"/>
      <c r="H24" s="136"/>
      <c r="I24" s="135">
        <v>3</v>
      </c>
      <c r="J24" s="136"/>
      <c r="K24" s="135"/>
      <c r="L24" s="136"/>
      <c r="M24" s="139"/>
      <c r="N24" s="128">
        <f t="shared" ref="N24" si="3">E24*SUM(G24:M25)</f>
        <v>30</v>
      </c>
    </row>
    <row r="25" spans="1:14" ht="14" customHeight="1" x14ac:dyDescent="0.35">
      <c r="A25" s="134"/>
      <c r="B25" s="141" t="s">
        <v>29</v>
      </c>
      <c r="C25" s="142"/>
      <c r="D25" s="143"/>
      <c r="E25" s="134"/>
      <c r="G25" s="137"/>
      <c r="H25" s="138"/>
      <c r="I25" s="137"/>
      <c r="J25" s="138"/>
      <c r="K25" s="137"/>
      <c r="L25" s="138"/>
      <c r="M25" s="129"/>
      <c r="N25" s="129"/>
    </row>
    <row r="26" spans="1:14" ht="16" customHeight="1" x14ac:dyDescent="0.3">
      <c r="A26" s="16" t="s">
        <v>30</v>
      </c>
      <c r="B26" s="1" t="s">
        <v>31</v>
      </c>
      <c r="E26" s="21"/>
      <c r="N26" s="15"/>
    </row>
    <row r="27" spans="1:14" ht="14" customHeight="1" x14ac:dyDescent="0.3">
      <c r="A27" s="140">
        <v>1</v>
      </c>
      <c r="B27" s="20" t="s">
        <v>32</v>
      </c>
      <c r="C27" s="9"/>
      <c r="D27" s="9"/>
      <c r="E27" s="133">
        <v>10</v>
      </c>
      <c r="G27" s="135"/>
      <c r="H27" s="136"/>
      <c r="I27" s="135"/>
      <c r="J27" s="136"/>
      <c r="K27" s="135">
        <v>2</v>
      </c>
      <c r="L27" s="136"/>
      <c r="M27" s="139"/>
      <c r="N27" s="128">
        <f>E27*SUM(G27:M28)</f>
        <v>20</v>
      </c>
    </row>
    <row r="28" spans="1:14" ht="14" customHeight="1" x14ac:dyDescent="0.35">
      <c r="A28" s="134"/>
      <c r="B28" s="144" t="s">
        <v>33</v>
      </c>
      <c r="C28" s="145"/>
      <c r="D28" s="146"/>
      <c r="E28" s="134"/>
      <c r="G28" s="137"/>
      <c r="H28" s="138"/>
      <c r="I28" s="137"/>
      <c r="J28" s="138"/>
      <c r="K28" s="137"/>
      <c r="L28" s="138"/>
      <c r="M28" s="129"/>
      <c r="N28" s="129"/>
    </row>
    <row r="29" spans="1:14" ht="14" customHeight="1" x14ac:dyDescent="0.3">
      <c r="A29" s="140">
        <v>2</v>
      </c>
      <c r="B29" s="20" t="s">
        <v>34</v>
      </c>
      <c r="C29" s="9"/>
      <c r="D29" s="9"/>
      <c r="E29" s="133">
        <v>5</v>
      </c>
      <c r="G29" s="135"/>
      <c r="H29" s="136"/>
      <c r="I29" s="135"/>
      <c r="J29" s="136"/>
      <c r="K29" s="135">
        <v>2</v>
      </c>
      <c r="L29" s="136"/>
      <c r="M29" s="139"/>
      <c r="N29" s="128">
        <f t="shared" ref="N29" si="4">E29*SUM(G29:M30)</f>
        <v>10</v>
      </c>
    </row>
    <row r="30" spans="1:14" ht="14" customHeight="1" x14ac:dyDescent="0.35">
      <c r="A30" s="134"/>
      <c r="B30" s="130" t="s">
        <v>35</v>
      </c>
      <c r="C30" s="131"/>
      <c r="D30" s="132"/>
      <c r="E30" s="134"/>
      <c r="G30" s="137"/>
      <c r="H30" s="138"/>
      <c r="I30" s="137"/>
      <c r="J30" s="138"/>
      <c r="K30" s="137"/>
      <c r="L30" s="138"/>
      <c r="M30" s="129"/>
      <c r="N30" s="129"/>
    </row>
    <row r="31" spans="1:14" ht="14" customHeight="1" x14ac:dyDescent="0.3">
      <c r="A31" s="140">
        <v>3</v>
      </c>
      <c r="B31" s="20" t="s">
        <v>36</v>
      </c>
      <c r="C31" s="9"/>
      <c r="D31" s="9"/>
      <c r="E31" s="133">
        <v>5</v>
      </c>
      <c r="G31" s="135"/>
      <c r="H31" s="136"/>
      <c r="I31" s="135"/>
      <c r="J31" s="136"/>
      <c r="K31" s="135">
        <v>2</v>
      </c>
      <c r="L31" s="136"/>
      <c r="M31" s="139"/>
      <c r="N31" s="128">
        <f t="shared" ref="N31" si="5">E31*SUM(G31:M32)</f>
        <v>10</v>
      </c>
    </row>
    <row r="32" spans="1:14" ht="14" customHeight="1" x14ac:dyDescent="0.35">
      <c r="A32" s="134"/>
      <c r="B32" s="141" t="s">
        <v>37</v>
      </c>
      <c r="C32" s="142"/>
      <c r="D32" s="143"/>
      <c r="E32" s="134"/>
      <c r="G32" s="137"/>
      <c r="H32" s="138"/>
      <c r="I32" s="137"/>
      <c r="J32" s="138"/>
      <c r="K32" s="137"/>
      <c r="L32" s="138"/>
      <c r="M32" s="129"/>
      <c r="N32" s="129"/>
    </row>
    <row r="33" spans="1:14" ht="16" customHeight="1" x14ac:dyDescent="0.3">
      <c r="A33" s="16" t="s">
        <v>38</v>
      </c>
      <c r="B33" s="1" t="s">
        <v>39</v>
      </c>
      <c r="E33" s="21"/>
      <c r="N33" s="15"/>
    </row>
    <row r="34" spans="1:14" ht="14" customHeight="1" x14ac:dyDescent="0.3">
      <c r="A34" s="133">
        <v>1</v>
      </c>
      <c r="B34" s="20" t="s">
        <v>40</v>
      </c>
      <c r="C34" s="9"/>
      <c r="D34" s="9"/>
      <c r="E34" s="133">
        <v>10</v>
      </c>
      <c r="G34" s="135"/>
      <c r="H34" s="136"/>
      <c r="I34" s="135"/>
      <c r="J34" s="136"/>
      <c r="K34" s="135">
        <v>2</v>
      </c>
      <c r="L34" s="136"/>
      <c r="M34" s="139"/>
      <c r="N34" s="128">
        <f>E34*SUM(G34:M35)</f>
        <v>20</v>
      </c>
    </row>
    <row r="35" spans="1:14" ht="14" customHeight="1" x14ac:dyDescent="0.35">
      <c r="A35" s="134"/>
      <c r="B35" s="130" t="s">
        <v>41</v>
      </c>
      <c r="C35" s="131"/>
      <c r="D35" s="132"/>
      <c r="E35" s="134"/>
      <c r="G35" s="137"/>
      <c r="H35" s="138"/>
      <c r="I35" s="137"/>
      <c r="J35" s="138"/>
      <c r="K35" s="137"/>
      <c r="L35" s="138"/>
      <c r="M35" s="129"/>
      <c r="N35" s="129"/>
    </row>
    <row r="36" spans="1:14" x14ac:dyDescent="0.3">
      <c r="A36" s="115" t="s">
        <v>44</v>
      </c>
      <c r="B36" s="115"/>
      <c r="C36" s="115"/>
      <c r="D36" s="115"/>
      <c r="E36" s="116">
        <f>SUM(E13:E35)</f>
        <v>100</v>
      </c>
      <c r="G36" s="117" t="s">
        <v>45</v>
      </c>
      <c r="H36" s="118"/>
      <c r="I36" s="118"/>
      <c r="J36" s="118"/>
      <c r="K36" s="118"/>
      <c r="L36" s="118"/>
      <c r="M36" s="119"/>
      <c r="N36" s="126">
        <f>SUM(N13:N34)/400</f>
        <v>0.57499999999999996</v>
      </c>
    </row>
    <row r="37" spans="1:14" x14ac:dyDescent="0.3">
      <c r="A37" s="115"/>
      <c r="B37" s="115"/>
      <c r="C37" s="115"/>
      <c r="D37" s="115"/>
      <c r="E37" s="116"/>
      <c r="G37" s="120"/>
      <c r="H37" s="121"/>
      <c r="I37" s="121"/>
      <c r="J37" s="121"/>
      <c r="K37" s="121"/>
      <c r="L37" s="121"/>
      <c r="M37" s="122"/>
      <c r="N37" s="127"/>
    </row>
    <row r="38" spans="1:14" ht="5" customHeight="1" x14ac:dyDescent="0.3"/>
    <row r="39" spans="1:14" ht="16" customHeight="1" x14ac:dyDescent="0.3">
      <c r="A39" s="123" t="s">
        <v>50</v>
      </c>
      <c r="B39" s="124"/>
      <c r="C39" s="124"/>
      <c r="D39" s="124"/>
      <c r="E39" s="125"/>
      <c r="G39" s="123" t="s">
        <v>51</v>
      </c>
      <c r="H39" s="124"/>
      <c r="I39" s="124"/>
      <c r="J39" s="124"/>
      <c r="K39" s="124"/>
      <c r="L39" s="124"/>
      <c r="M39" s="124"/>
      <c r="N39" s="125"/>
    </row>
    <row r="40" spans="1:14" x14ac:dyDescent="0.3">
      <c r="A40" s="28"/>
      <c r="B40" s="9"/>
      <c r="C40" s="9"/>
      <c r="D40" s="9"/>
      <c r="E40" s="17"/>
      <c r="G40" s="28" t="s">
        <v>46</v>
      </c>
      <c r="H40" s="9"/>
      <c r="I40" s="9" t="s">
        <v>47</v>
      </c>
      <c r="J40" s="9"/>
      <c r="K40" s="9"/>
      <c r="L40" s="9"/>
      <c r="M40" s="9"/>
      <c r="N40" s="10"/>
    </row>
    <row r="41" spans="1:14" x14ac:dyDescent="0.3">
      <c r="A41" s="27"/>
      <c r="E41" s="29"/>
      <c r="G41" s="27" t="s">
        <v>72</v>
      </c>
      <c r="I41" s="2" t="s">
        <v>73</v>
      </c>
      <c r="N41" s="11"/>
    </row>
    <row r="42" spans="1:14" x14ac:dyDescent="0.3">
      <c r="A42" s="18"/>
      <c r="B42" s="14"/>
      <c r="C42" s="14"/>
      <c r="D42" s="14"/>
      <c r="E42" s="19"/>
      <c r="G42" s="18" t="s">
        <v>71</v>
      </c>
      <c r="H42" s="14"/>
      <c r="I42" s="14" t="s">
        <v>48</v>
      </c>
      <c r="J42" s="14"/>
      <c r="K42" s="14"/>
      <c r="L42" s="14"/>
      <c r="M42" s="14"/>
      <c r="N42" s="15"/>
    </row>
    <row r="43" spans="1:14" ht="5" customHeight="1" x14ac:dyDescent="0.3"/>
    <row r="44" spans="1:14" ht="16" customHeight="1" x14ac:dyDescent="0.3">
      <c r="A44" s="35" t="s">
        <v>49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4"/>
    </row>
    <row r="45" spans="1:14" x14ac:dyDescent="0.3">
      <c r="A45" s="110" t="s">
        <v>67</v>
      </c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2"/>
    </row>
    <row r="46" spans="1:14" ht="14.5" customHeight="1" x14ac:dyDescent="0.3">
      <c r="A46" s="110" t="s">
        <v>68</v>
      </c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2"/>
    </row>
    <row r="47" spans="1:14" x14ac:dyDescent="0.3">
      <c r="A47" s="30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2"/>
    </row>
    <row r="48" spans="1:14" x14ac:dyDescent="0.3">
      <c r="A48" s="110" t="s">
        <v>69</v>
      </c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2"/>
    </row>
    <row r="49" spans="1:14" ht="14.5" customHeight="1" x14ac:dyDescent="0.3">
      <c r="A49" s="36" t="s">
        <v>70</v>
      </c>
      <c r="B49" s="39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8"/>
    </row>
    <row r="50" spans="1:14" ht="5" customHeight="1" x14ac:dyDescent="0.3"/>
    <row r="51" spans="1:14" ht="14.5" customHeight="1" x14ac:dyDescent="0.3">
      <c r="A51" s="103" t="s">
        <v>74</v>
      </c>
      <c r="B51" s="104"/>
      <c r="C51" s="105"/>
      <c r="D51" s="103" t="s">
        <v>75</v>
      </c>
      <c r="E51" s="104"/>
      <c r="F51" s="104"/>
      <c r="G51" s="104"/>
      <c r="H51" s="104"/>
      <c r="I51" s="105"/>
      <c r="J51" s="103" t="s">
        <v>76</v>
      </c>
      <c r="K51" s="104"/>
      <c r="L51" s="104"/>
      <c r="M51" s="104"/>
      <c r="N51" s="105"/>
    </row>
    <row r="52" spans="1:14" x14ac:dyDescent="0.3">
      <c r="A52" s="27"/>
      <c r="C52" s="40"/>
      <c r="D52" s="27"/>
      <c r="I52" s="40"/>
      <c r="J52" s="27"/>
      <c r="N52" s="11"/>
    </row>
    <row r="53" spans="1:14" x14ac:dyDescent="0.3">
      <c r="A53" s="27"/>
      <c r="C53" s="40"/>
      <c r="D53" s="27"/>
      <c r="I53" s="40"/>
      <c r="J53" s="27"/>
      <c r="N53" s="11"/>
    </row>
    <row r="54" spans="1:14" x14ac:dyDescent="0.3">
      <c r="A54" s="27"/>
      <c r="C54" s="40"/>
      <c r="D54" s="27"/>
      <c r="I54" s="40"/>
      <c r="J54" s="27"/>
      <c r="N54" s="11"/>
    </row>
    <row r="55" spans="1:14" x14ac:dyDescent="0.3">
      <c r="A55" s="27"/>
      <c r="C55" s="40"/>
      <c r="D55" s="27"/>
      <c r="I55" s="40"/>
      <c r="J55" s="27"/>
      <c r="N55" s="11"/>
    </row>
    <row r="56" spans="1:14" x14ac:dyDescent="0.3">
      <c r="A56" s="27"/>
      <c r="B56" s="1" t="s">
        <v>78</v>
      </c>
      <c r="C56" s="40"/>
      <c r="D56" s="27"/>
      <c r="E56" s="41" t="s">
        <v>82</v>
      </c>
      <c r="I56" s="40"/>
      <c r="J56" s="27"/>
      <c r="K56" s="1" t="s">
        <v>77</v>
      </c>
      <c r="N56" s="11"/>
    </row>
    <row r="57" spans="1:14" x14ac:dyDescent="0.3">
      <c r="A57" s="106" t="s">
        <v>79</v>
      </c>
      <c r="B57" s="107"/>
      <c r="C57" s="108"/>
      <c r="D57" s="106" t="s">
        <v>80</v>
      </c>
      <c r="E57" s="107"/>
      <c r="F57" s="107"/>
      <c r="G57" s="107"/>
      <c r="H57" s="107"/>
      <c r="I57" s="108"/>
      <c r="J57" s="109" t="s">
        <v>81</v>
      </c>
      <c r="K57" s="107"/>
      <c r="L57" s="107"/>
      <c r="M57" s="107"/>
      <c r="N57" s="108"/>
    </row>
  </sheetData>
  <mergeCells count="123">
    <mergeCell ref="A1:N2"/>
    <mergeCell ref="G6:K6"/>
    <mergeCell ref="A3:C3"/>
    <mergeCell ref="A4:C4"/>
    <mergeCell ref="A5:C5"/>
    <mergeCell ref="A6:C6"/>
    <mergeCell ref="G3:K3"/>
    <mergeCell ref="G4:K4"/>
    <mergeCell ref="G5:K5"/>
    <mergeCell ref="L5:N5"/>
    <mergeCell ref="L4:N4"/>
    <mergeCell ref="N9:N11"/>
    <mergeCell ref="M13:M14"/>
    <mergeCell ref="N13:N14"/>
    <mergeCell ref="K9:L9"/>
    <mergeCell ref="K11:L11"/>
    <mergeCell ref="K13:L14"/>
    <mergeCell ref="G9:H9"/>
    <mergeCell ref="G8:M8"/>
    <mergeCell ref="G11:H11"/>
    <mergeCell ref="G10:H10"/>
    <mergeCell ref="I10:J10"/>
    <mergeCell ref="K10:L10"/>
    <mergeCell ref="I11:J11"/>
    <mergeCell ref="G13:H14"/>
    <mergeCell ref="I13:J14"/>
    <mergeCell ref="B9:D9"/>
    <mergeCell ref="B10:D11"/>
    <mergeCell ref="B14:D14"/>
    <mergeCell ref="I9:J9"/>
    <mergeCell ref="A8:D8"/>
    <mergeCell ref="A9:A11"/>
    <mergeCell ref="E9:E11"/>
    <mergeCell ref="A13:A14"/>
    <mergeCell ref="E13:E14"/>
    <mergeCell ref="N15:N16"/>
    <mergeCell ref="A17:A18"/>
    <mergeCell ref="E17:E18"/>
    <mergeCell ref="G17:H18"/>
    <mergeCell ref="I17:J18"/>
    <mergeCell ref="K17:L18"/>
    <mergeCell ref="M17:M18"/>
    <mergeCell ref="N17:N18"/>
    <mergeCell ref="B16:D16"/>
    <mergeCell ref="B18:D18"/>
    <mergeCell ref="A15:A16"/>
    <mergeCell ref="E15:E16"/>
    <mergeCell ref="G15:H16"/>
    <mergeCell ref="I15:J16"/>
    <mergeCell ref="K15:L16"/>
    <mergeCell ref="M15:M16"/>
    <mergeCell ref="N20:N21"/>
    <mergeCell ref="B21:D21"/>
    <mergeCell ref="A22:A23"/>
    <mergeCell ref="E22:E23"/>
    <mergeCell ref="G22:H23"/>
    <mergeCell ref="I22:J23"/>
    <mergeCell ref="K22:L23"/>
    <mergeCell ref="M22:M23"/>
    <mergeCell ref="N22:N23"/>
    <mergeCell ref="B23:D23"/>
    <mergeCell ref="A20:A21"/>
    <mergeCell ref="E20:E21"/>
    <mergeCell ref="G20:H21"/>
    <mergeCell ref="I20:J21"/>
    <mergeCell ref="K20:L21"/>
    <mergeCell ref="M20:M21"/>
    <mergeCell ref="N24:N25"/>
    <mergeCell ref="B25:D25"/>
    <mergeCell ref="A27:A28"/>
    <mergeCell ref="E27:E28"/>
    <mergeCell ref="G27:H28"/>
    <mergeCell ref="I27:J28"/>
    <mergeCell ref="K27:L28"/>
    <mergeCell ref="M27:M28"/>
    <mergeCell ref="N27:N28"/>
    <mergeCell ref="B28:D28"/>
    <mergeCell ref="A24:A25"/>
    <mergeCell ref="E24:E25"/>
    <mergeCell ref="G24:H25"/>
    <mergeCell ref="I24:J25"/>
    <mergeCell ref="K24:L25"/>
    <mergeCell ref="M24:M25"/>
    <mergeCell ref="N29:N30"/>
    <mergeCell ref="B30:D30"/>
    <mergeCell ref="A31:A32"/>
    <mergeCell ref="E31:E32"/>
    <mergeCell ref="G31:H32"/>
    <mergeCell ref="I31:J32"/>
    <mergeCell ref="K31:L32"/>
    <mergeCell ref="M31:M32"/>
    <mergeCell ref="N31:N32"/>
    <mergeCell ref="B32:D32"/>
    <mergeCell ref="A29:A30"/>
    <mergeCell ref="E29:E30"/>
    <mergeCell ref="G29:H30"/>
    <mergeCell ref="I29:J30"/>
    <mergeCell ref="K29:L30"/>
    <mergeCell ref="M29:M30"/>
    <mergeCell ref="D51:I51"/>
    <mergeCell ref="J51:N51"/>
    <mergeCell ref="A57:C57"/>
    <mergeCell ref="D57:I57"/>
    <mergeCell ref="J57:N57"/>
    <mergeCell ref="A45:N45"/>
    <mergeCell ref="A46:N46"/>
    <mergeCell ref="A48:N48"/>
    <mergeCell ref="L3:N3"/>
    <mergeCell ref="A51:C51"/>
    <mergeCell ref="A36:D37"/>
    <mergeCell ref="E36:E37"/>
    <mergeCell ref="G36:M37"/>
    <mergeCell ref="A39:E39"/>
    <mergeCell ref="G39:N39"/>
    <mergeCell ref="N36:N37"/>
    <mergeCell ref="N34:N35"/>
    <mergeCell ref="B35:D35"/>
    <mergeCell ref="A34:A35"/>
    <mergeCell ref="E34:E35"/>
    <mergeCell ref="G34:H35"/>
    <mergeCell ref="I34:J35"/>
    <mergeCell ref="K34:L35"/>
    <mergeCell ref="M34:M35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3" fitToWidth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31750</xdr:colOff>
                    <xdr:row>43</xdr:row>
                    <xdr:rowOff>165100</xdr:rowOff>
                  </from>
                  <to>
                    <xdr:col>1</xdr:col>
                    <xdr:colOff>19050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0</xdr:col>
                    <xdr:colOff>38100</xdr:colOff>
                    <xdr:row>46</xdr:row>
                    <xdr:rowOff>139700</xdr:rowOff>
                  </from>
                  <to>
                    <xdr:col>1</xdr:col>
                    <xdr:colOff>12700</xdr:colOff>
                    <xdr:row>48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9B54-74AD-4E58-B26A-91D6CAF9D7B1}">
  <sheetPr>
    <pageSetUpPr fitToPage="1"/>
  </sheetPr>
  <dimension ref="A1:W985"/>
  <sheetViews>
    <sheetView zoomScale="98" zoomScaleNormal="98" workbookViewId="0">
      <selection activeCell="F28" sqref="F28"/>
    </sheetView>
  </sheetViews>
  <sheetFormatPr defaultColWidth="12.6328125" defaultRowHeight="15" customHeight="1" x14ac:dyDescent="0.3"/>
  <cols>
    <col min="1" max="1" width="2.90625" style="47" bestFit="1" customWidth="1"/>
    <col min="2" max="2" width="23.453125" style="47" customWidth="1"/>
    <col min="3" max="3" width="42.36328125" style="47" customWidth="1"/>
    <col min="4" max="4" width="24.453125" style="47" customWidth="1"/>
    <col min="5" max="6" width="9.7265625" style="47" customWidth="1"/>
    <col min="7" max="7" width="9.453125" style="47" customWidth="1"/>
    <col min="8" max="8" width="10.453125" style="47" customWidth="1"/>
    <col min="9" max="23" width="8" style="47" customWidth="1"/>
    <col min="24" max="16384" width="12.6328125" style="47"/>
  </cols>
  <sheetData>
    <row r="1" spans="1:23" ht="18" customHeight="1" x14ac:dyDescent="0.4">
      <c r="A1" s="82" t="s">
        <v>83</v>
      </c>
      <c r="B1" s="83"/>
      <c r="C1" s="83"/>
      <c r="D1" s="83"/>
      <c r="E1" s="83"/>
      <c r="F1" s="83"/>
      <c r="G1" s="83"/>
      <c r="H1" s="84"/>
    </row>
    <row r="2" spans="1:23" ht="8" customHeight="1" x14ac:dyDescent="0.3">
      <c r="A2" s="48"/>
      <c r="B2" s="70"/>
      <c r="C2" s="70"/>
      <c r="D2" s="70"/>
      <c r="E2" s="70"/>
      <c r="F2" s="70"/>
      <c r="G2" s="70"/>
      <c r="H2" s="49"/>
    </row>
    <row r="3" spans="1:23" ht="12.75" customHeight="1" x14ac:dyDescent="0.3">
      <c r="A3" s="48"/>
      <c r="B3" s="71" t="s">
        <v>53</v>
      </c>
      <c r="C3" s="71" t="s">
        <v>84</v>
      </c>
      <c r="D3" s="71" t="s">
        <v>85</v>
      </c>
      <c r="E3" s="70"/>
      <c r="F3" s="70"/>
      <c r="G3" s="70"/>
      <c r="H3" s="49"/>
    </row>
    <row r="4" spans="1:23" ht="12.75" customHeight="1" x14ac:dyDescent="0.3">
      <c r="A4" s="48"/>
      <c r="B4" s="70"/>
      <c r="C4" s="71"/>
      <c r="D4" s="71"/>
      <c r="E4" s="70"/>
      <c r="F4" s="70"/>
      <c r="G4" s="70"/>
      <c r="H4" s="49"/>
    </row>
    <row r="5" spans="1:23" ht="12.75" customHeight="1" x14ac:dyDescent="0.3">
      <c r="A5" s="48"/>
      <c r="B5" s="71" t="s">
        <v>86</v>
      </c>
      <c r="C5" s="71" t="s">
        <v>87</v>
      </c>
      <c r="D5" s="71" t="s">
        <v>88</v>
      </c>
      <c r="E5" s="70"/>
      <c r="F5" s="70"/>
      <c r="G5" s="70"/>
      <c r="H5" s="49"/>
    </row>
    <row r="6" spans="1:23" ht="12.75" customHeight="1" x14ac:dyDescent="0.3">
      <c r="A6" s="48"/>
      <c r="B6" s="70"/>
      <c r="C6" s="71"/>
      <c r="D6" s="71"/>
      <c r="E6" s="70"/>
      <c r="F6" s="70"/>
      <c r="G6" s="70"/>
      <c r="H6" s="49"/>
    </row>
    <row r="7" spans="1:23" ht="12.75" customHeight="1" x14ac:dyDescent="0.3">
      <c r="A7" s="48"/>
      <c r="B7" s="71" t="s">
        <v>132</v>
      </c>
      <c r="C7" s="71" t="s">
        <v>131</v>
      </c>
      <c r="D7" s="71" t="s">
        <v>89</v>
      </c>
      <c r="E7" s="70"/>
      <c r="F7" s="70"/>
      <c r="G7" s="70"/>
      <c r="H7" s="49"/>
    </row>
    <row r="8" spans="1:23" ht="8" customHeight="1" thickBot="1" x14ac:dyDescent="0.35">
      <c r="A8" s="48"/>
      <c r="B8" s="70"/>
      <c r="C8" s="70"/>
      <c r="D8" s="70"/>
      <c r="E8" s="70"/>
      <c r="F8" s="70"/>
      <c r="G8" s="70"/>
      <c r="H8" s="49"/>
    </row>
    <row r="9" spans="1:23" ht="14" customHeight="1" x14ac:dyDescent="0.3">
      <c r="A9" s="85" t="s">
        <v>90</v>
      </c>
      <c r="B9" s="86"/>
      <c r="C9" s="86" t="s">
        <v>91</v>
      </c>
      <c r="D9" s="86"/>
      <c r="E9" s="89" t="s">
        <v>92</v>
      </c>
      <c r="F9" s="89"/>
      <c r="G9" s="89"/>
      <c r="H9" s="90"/>
    </row>
    <row r="10" spans="1:23" ht="14" customHeight="1" x14ac:dyDescent="0.3">
      <c r="A10" s="87"/>
      <c r="B10" s="88"/>
      <c r="C10" s="88"/>
      <c r="D10" s="88"/>
      <c r="E10" s="50" t="s">
        <v>93</v>
      </c>
      <c r="F10" s="50" t="s">
        <v>94</v>
      </c>
      <c r="G10" s="50" t="s">
        <v>95</v>
      </c>
      <c r="H10" s="51" t="s">
        <v>96</v>
      </c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</row>
    <row r="11" spans="1:23" ht="14" customHeight="1" x14ac:dyDescent="0.3">
      <c r="A11" s="87"/>
      <c r="B11" s="88"/>
      <c r="C11" s="88"/>
      <c r="D11" s="88"/>
      <c r="E11" s="50" t="s">
        <v>97</v>
      </c>
      <c r="F11" s="50" t="s">
        <v>98</v>
      </c>
      <c r="G11" s="50" t="s">
        <v>99</v>
      </c>
      <c r="H11" s="53" t="s">
        <v>100</v>
      </c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</row>
    <row r="12" spans="1:23" ht="50" customHeight="1" x14ac:dyDescent="0.3">
      <c r="A12" s="55">
        <v>1</v>
      </c>
      <c r="B12" s="69" t="s">
        <v>101</v>
      </c>
      <c r="C12" s="91" t="s">
        <v>102</v>
      </c>
      <c r="D12" s="91"/>
      <c r="E12" s="56"/>
      <c r="F12" s="56">
        <v>2</v>
      </c>
      <c r="G12" s="56"/>
      <c r="H12" s="57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</row>
    <row r="13" spans="1:23" ht="50" customHeight="1" x14ac:dyDescent="0.3">
      <c r="A13" s="55">
        <v>2</v>
      </c>
      <c r="B13" s="76" t="s">
        <v>103</v>
      </c>
      <c r="C13" s="91" t="s">
        <v>104</v>
      </c>
      <c r="D13" s="91"/>
      <c r="E13" s="56"/>
      <c r="F13" s="56"/>
      <c r="G13" s="56"/>
      <c r="H13" s="57">
        <v>4</v>
      </c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</row>
    <row r="14" spans="1:23" ht="50" customHeight="1" x14ac:dyDescent="0.3">
      <c r="A14" s="55">
        <v>3</v>
      </c>
      <c r="B14" s="76" t="s">
        <v>105</v>
      </c>
      <c r="C14" s="96" t="s">
        <v>106</v>
      </c>
      <c r="D14" s="97"/>
      <c r="E14" s="56"/>
      <c r="F14" s="56"/>
      <c r="G14" s="56">
        <v>3</v>
      </c>
      <c r="H14" s="57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</row>
    <row r="15" spans="1:23" ht="50" customHeight="1" x14ac:dyDescent="0.3">
      <c r="A15" s="55">
        <v>4</v>
      </c>
      <c r="B15" s="76" t="s">
        <v>34</v>
      </c>
      <c r="C15" s="96" t="s">
        <v>107</v>
      </c>
      <c r="D15" s="97"/>
      <c r="E15" s="56"/>
      <c r="F15" s="56"/>
      <c r="G15" s="56"/>
      <c r="H15" s="57">
        <v>4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</row>
    <row r="16" spans="1:23" ht="50" customHeight="1" x14ac:dyDescent="0.3">
      <c r="A16" s="55">
        <v>5</v>
      </c>
      <c r="B16" s="76" t="s">
        <v>108</v>
      </c>
      <c r="C16" s="96" t="s">
        <v>109</v>
      </c>
      <c r="D16" s="97"/>
      <c r="E16" s="56"/>
      <c r="F16" s="56"/>
      <c r="G16" s="56"/>
      <c r="H16" s="57">
        <v>4</v>
      </c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spans="1:23" ht="50" customHeight="1" x14ac:dyDescent="0.3">
      <c r="A17" s="55">
        <v>6</v>
      </c>
      <c r="B17" s="76" t="s">
        <v>110</v>
      </c>
      <c r="C17" s="96" t="s">
        <v>111</v>
      </c>
      <c r="D17" s="97"/>
      <c r="E17" s="56"/>
      <c r="F17" s="56"/>
      <c r="G17" s="56">
        <v>3</v>
      </c>
      <c r="H17" s="57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</row>
    <row r="18" spans="1:23" ht="50" customHeight="1" x14ac:dyDescent="0.3">
      <c r="A18" s="55">
        <v>7</v>
      </c>
      <c r="B18" s="76" t="s">
        <v>112</v>
      </c>
      <c r="C18" s="96" t="s">
        <v>113</v>
      </c>
      <c r="D18" s="97"/>
      <c r="E18" s="56"/>
      <c r="F18" s="56"/>
      <c r="G18" s="56">
        <v>3</v>
      </c>
      <c r="H18" s="57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</row>
    <row r="19" spans="1:23" ht="50" customHeight="1" x14ac:dyDescent="0.3">
      <c r="A19" s="55">
        <v>8</v>
      </c>
      <c r="B19" s="76" t="s">
        <v>114</v>
      </c>
      <c r="C19" s="96" t="s">
        <v>115</v>
      </c>
      <c r="D19" s="97"/>
      <c r="E19" s="56"/>
      <c r="F19" s="56"/>
      <c r="G19" s="56">
        <v>3</v>
      </c>
      <c r="H19" s="57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</row>
    <row r="20" spans="1:23" ht="50" customHeight="1" x14ac:dyDescent="0.3">
      <c r="A20" s="55">
        <v>9</v>
      </c>
      <c r="B20" s="76" t="s">
        <v>116</v>
      </c>
      <c r="C20" s="91" t="s">
        <v>117</v>
      </c>
      <c r="D20" s="91"/>
      <c r="E20" s="56"/>
      <c r="F20" s="56"/>
      <c r="G20" s="56">
        <v>3</v>
      </c>
      <c r="H20" s="57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</row>
    <row r="21" spans="1:23" ht="50.5" customHeight="1" thickBot="1" x14ac:dyDescent="0.35">
      <c r="A21" s="79">
        <v>10</v>
      </c>
      <c r="B21" s="80" t="s">
        <v>118</v>
      </c>
      <c r="C21" s="98" t="s">
        <v>119</v>
      </c>
      <c r="D21" s="98"/>
      <c r="E21" s="59"/>
      <c r="F21" s="59">
        <v>2</v>
      </c>
      <c r="G21" s="59"/>
      <c r="H21" s="60"/>
    </row>
    <row r="22" spans="1:23" ht="8" customHeight="1" x14ac:dyDescent="0.3">
      <c r="A22" s="72"/>
      <c r="B22" s="70"/>
      <c r="C22" s="70"/>
      <c r="D22" s="70"/>
      <c r="E22" s="70"/>
      <c r="F22" s="70"/>
      <c r="G22" s="70"/>
      <c r="H22" s="49"/>
    </row>
    <row r="23" spans="1:23" ht="14" customHeight="1" x14ac:dyDescent="0.3">
      <c r="A23" s="75"/>
      <c r="B23" s="71" t="s">
        <v>120</v>
      </c>
      <c r="C23" s="77"/>
      <c r="D23" s="77"/>
      <c r="E23" s="77"/>
      <c r="F23" s="77"/>
      <c r="G23" s="77"/>
      <c r="H23" s="78"/>
    </row>
    <row r="24" spans="1:23" ht="14" customHeight="1" x14ac:dyDescent="0.3">
      <c r="A24" s="75"/>
      <c r="B24" s="92" t="s">
        <v>125</v>
      </c>
      <c r="C24" s="92"/>
      <c r="D24" s="92"/>
      <c r="E24" s="92"/>
      <c r="F24" s="92"/>
      <c r="G24" s="92"/>
      <c r="H24" s="93"/>
    </row>
    <row r="25" spans="1:23" ht="14" customHeight="1" x14ac:dyDescent="0.3">
      <c r="A25" s="75"/>
      <c r="B25" s="92" t="s">
        <v>126</v>
      </c>
      <c r="C25" s="92"/>
      <c r="D25" s="92"/>
      <c r="E25" s="92"/>
      <c r="F25" s="92"/>
      <c r="G25" s="92"/>
      <c r="H25" s="93"/>
    </row>
    <row r="26" spans="1:23" ht="14" customHeight="1" x14ac:dyDescent="0.3">
      <c r="A26" s="75"/>
      <c r="B26" s="92" t="s">
        <v>127</v>
      </c>
      <c r="C26" s="92"/>
      <c r="D26" s="92"/>
      <c r="E26" s="92"/>
      <c r="F26" s="92"/>
      <c r="G26" s="92"/>
      <c r="H26" s="93"/>
    </row>
    <row r="27" spans="1:23" ht="8" customHeight="1" x14ac:dyDescent="0.3">
      <c r="A27" s="48"/>
      <c r="B27" s="70"/>
      <c r="C27" s="70"/>
      <c r="D27" s="70"/>
      <c r="E27" s="70"/>
      <c r="F27" s="70"/>
      <c r="G27" s="70"/>
      <c r="H27" s="49"/>
    </row>
    <row r="28" spans="1:23" ht="12.75" customHeight="1" thickBot="1" x14ac:dyDescent="0.35">
      <c r="A28" s="75"/>
      <c r="E28" s="70"/>
      <c r="F28" s="70" t="s">
        <v>133</v>
      </c>
      <c r="G28" s="73"/>
      <c r="H28" s="49"/>
    </row>
    <row r="29" spans="1:23" ht="12.75" customHeight="1" thickBot="1" x14ac:dyDescent="0.35">
      <c r="A29" s="75"/>
      <c r="B29" s="99" t="s">
        <v>121</v>
      </c>
      <c r="C29" s="100"/>
      <c r="D29" s="61" t="s">
        <v>130</v>
      </c>
      <c r="E29" s="70"/>
      <c r="F29" s="58"/>
      <c r="G29" s="70"/>
      <c r="H29" s="49"/>
    </row>
    <row r="30" spans="1:23" ht="12.75" customHeight="1" x14ac:dyDescent="0.3">
      <c r="A30" s="75"/>
      <c r="B30" s="62" t="s">
        <v>122</v>
      </c>
      <c r="C30" s="63"/>
      <c r="D30" s="101">
        <f>SUM(E12:H21)</f>
        <v>31</v>
      </c>
      <c r="E30" s="70"/>
      <c r="F30" s="74"/>
      <c r="G30" s="70"/>
      <c r="H30" s="49"/>
    </row>
    <row r="31" spans="1:23" ht="12.75" customHeight="1" x14ac:dyDescent="0.3">
      <c r="A31" s="75"/>
      <c r="B31" s="62" t="s">
        <v>123</v>
      </c>
      <c r="C31" s="63"/>
      <c r="D31" s="101"/>
      <c r="E31" s="70"/>
      <c r="F31" s="70"/>
      <c r="G31" s="70"/>
      <c r="H31" s="49"/>
    </row>
    <row r="32" spans="1:23" ht="12.75" customHeight="1" thickBot="1" x14ac:dyDescent="0.35">
      <c r="A32" s="54"/>
      <c r="B32" s="64" t="s">
        <v>124</v>
      </c>
      <c r="C32" s="65"/>
      <c r="D32" s="102"/>
      <c r="E32" s="70"/>
      <c r="F32" s="95" t="s">
        <v>129</v>
      </c>
      <c r="G32" s="95"/>
      <c r="H32" s="49"/>
    </row>
    <row r="33" spans="1:8" ht="12.75" customHeight="1" x14ac:dyDescent="0.3">
      <c r="A33" s="54"/>
      <c r="B33" s="58"/>
      <c r="C33" s="58"/>
      <c r="D33" s="58"/>
      <c r="E33" s="70"/>
      <c r="F33" s="94" t="s">
        <v>128</v>
      </c>
      <c r="G33" s="94"/>
      <c r="H33" s="49"/>
    </row>
    <row r="34" spans="1:8" ht="12.75" customHeight="1" thickBot="1" x14ac:dyDescent="0.35">
      <c r="A34" s="66"/>
      <c r="B34" s="67"/>
      <c r="C34" s="67"/>
      <c r="D34" s="67"/>
      <c r="E34" s="67"/>
      <c r="F34" s="81"/>
      <c r="G34" s="81"/>
      <c r="H34" s="68"/>
    </row>
    <row r="35" spans="1:8" ht="12.75" customHeight="1" x14ac:dyDescent="0.3"/>
    <row r="36" spans="1:8" ht="12.75" customHeight="1" x14ac:dyDescent="0.3"/>
    <row r="37" spans="1:8" ht="12.75" customHeight="1" x14ac:dyDescent="0.3"/>
    <row r="38" spans="1:8" ht="12.75" customHeight="1" x14ac:dyDescent="0.3"/>
    <row r="39" spans="1:8" ht="12.75" customHeight="1" x14ac:dyDescent="0.3"/>
    <row r="40" spans="1:8" ht="12.75" customHeight="1" x14ac:dyDescent="0.3"/>
    <row r="41" spans="1:8" ht="12.75" customHeight="1" x14ac:dyDescent="0.3"/>
    <row r="42" spans="1:8" ht="12.75" customHeight="1" x14ac:dyDescent="0.3"/>
    <row r="43" spans="1:8" ht="12.75" customHeight="1" x14ac:dyDescent="0.3"/>
    <row r="44" spans="1:8" ht="12.75" customHeight="1" x14ac:dyDescent="0.3"/>
    <row r="45" spans="1:8" ht="12.75" customHeight="1" x14ac:dyDescent="0.3"/>
    <row r="46" spans="1:8" ht="12.75" customHeight="1" x14ac:dyDescent="0.3"/>
    <row r="47" spans="1:8" ht="12.75" customHeight="1" x14ac:dyDescent="0.3"/>
    <row r="48" spans="1: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</sheetData>
  <mergeCells count="22">
    <mergeCell ref="D30:D32"/>
    <mergeCell ref="C18:D18"/>
    <mergeCell ref="C19:D19"/>
    <mergeCell ref="C20:D20"/>
    <mergeCell ref="C21:D21"/>
    <mergeCell ref="B29:C29"/>
    <mergeCell ref="F34:G34"/>
    <mergeCell ref="A1:H1"/>
    <mergeCell ref="A9:B11"/>
    <mergeCell ref="C9:D11"/>
    <mergeCell ref="E9:H9"/>
    <mergeCell ref="C12:D12"/>
    <mergeCell ref="C13:D13"/>
    <mergeCell ref="B24:H24"/>
    <mergeCell ref="B25:H25"/>
    <mergeCell ref="B26:H26"/>
    <mergeCell ref="F33:G33"/>
    <mergeCell ref="F32:G32"/>
    <mergeCell ref="C14:D14"/>
    <mergeCell ref="C15:D15"/>
    <mergeCell ref="C16:D16"/>
    <mergeCell ref="C17:D17"/>
  </mergeCells>
  <pageMargins left="0.7" right="0.7" top="0.75" bottom="0.75" header="0.3" footer="0.3"/>
  <pageSetup scale="68" fitToHeight="0" orientation="portrait" r:id="rId1"/>
  <headerFooter>
    <oddFooter>&amp;LCreated by Wahyudiansyah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9EAC-4CD4-4AF9-BB39-946CCEC28FCF}">
  <sheetPr>
    <pageSetUpPr fitToPage="1"/>
  </sheetPr>
  <dimension ref="A1:J35"/>
  <sheetViews>
    <sheetView tabSelected="1" zoomScale="69" zoomScaleNormal="69" workbookViewId="0">
      <selection activeCell="F24" sqref="F24:G24"/>
    </sheetView>
  </sheetViews>
  <sheetFormatPr defaultRowHeight="14.5" x14ac:dyDescent="0.35"/>
  <cols>
    <col min="4" max="4" width="9.36328125" customWidth="1"/>
    <col min="5" max="5" width="6.453125" customWidth="1"/>
  </cols>
  <sheetData>
    <row r="1" spans="1:10" x14ac:dyDescent="0.35">
      <c r="A1" s="179" t="s">
        <v>136</v>
      </c>
      <c r="B1" s="180"/>
      <c r="C1" s="180"/>
      <c r="D1" s="180"/>
      <c r="E1" s="180"/>
      <c r="F1" s="180"/>
      <c r="G1" s="180"/>
      <c r="H1" s="180"/>
      <c r="I1" s="180"/>
      <c r="J1" s="181"/>
    </row>
    <row r="2" spans="1:10" ht="15" thickBot="1" x14ac:dyDescent="0.4">
      <c r="A2" s="182"/>
      <c r="B2" s="183"/>
      <c r="C2" s="183"/>
      <c r="D2" s="183"/>
      <c r="E2" s="183"/>
      <c r="F2" s="183"/>
      <c r="G2" s="183"/>
      <c r="H2" s="183"/>
      <c r="I2" s="183"/>
      <c r="J2" s="184"/>
    </row>
    <row r="3" spans="1:10" ht="5" customHeight="1" thickBot="1" x14ac:dyDescent="0.4"/>
    <row r="4" spans="1:10" ht="15" thickBot="1" x14ac:dyDescent="0.4">
      <c r="A4" s="205" t="s">
        <v>137</v>
      </c>
      <c r="B4" s="206"/>
      <c r="C4" s="206"/>
      <c r="D4" s="206"/>
      <c r="E4" s="206"/>
      <c r="F4" s="206"/>
      <c r="G4" s="206"/>
      <c r="H4" s="206"/>
      <c r="I4" s="206"/>
      <c r="J4" s="207"/>
    </row>
    <row r="5" spans="1:10" x14ac:dyDescent="0.35">
      <c r="A5" s="185" t="s">
        <v>52</v>
      </c>
      <c r="B5" s="186"/>
      <c r="C5" s="186"/>
      <c r="D5" s="228">
        <v>201441661</v>
      </c>
      <c r="E5" s="228"/>
      <c r="F5" s="228"/>
      <c r="G5" s="228"/>
      <c r="H5" s="228"/>
      <c r="I5" s="228"/>
      <c r="J5" s="229"/>
    </row>
    <row r="6" spans="1:10" x14ac:dyDescent="0.35">
      <c r="A6" s="189" t="s">
        <v>134</v>
      </c>
      <c r="B6" s="190"/>
      <c r="C6" s="190"/>
      <c r="D6" s="219" t="s">
        <v>161</v>
      </c>
      <c r="E6" s="219"/>
      <c r="F6" s="219"/>
      <c r="G6" s="219"/>
      <c r="H6" s="219"/>
      <c r="I6" s="219"/>
      <c r="J6" s="230"/>
    </row>
    <row r="7" spans="1:10" x14ac:dyDescent="0.35">
      <c r="A7" s="189" t="s">
        <v>54</v>
      </c>
      <c r="B7" s="190"/>
      <c r="C7" s="190"/>
      <c r="D7" s="219" t="s">
        <v>162</v>
      </c>
      <c r="E7" s="219"/>
      <c r="F7" s="219"/>
      <c r="G7" s="219"/>
      <c r="H7" s="219"/>
      <c r="I7" s="219"/>
      <c r="J7" s="230"/>
    </row>
    <row r="8" spans="1:10" x14ac:dyDescent="0.35">
      <c r="A8" s="189" t="s">
        <v>135</v>
      </c>
      <c r="B8" s="190"/>
      <c r="C8" s="190"/>
      <c r="D8" s="219" t="s">
        <v>163</v>
      </c>
      <c r="E8" s="219"/>
      <c r="F8" s="219"/>
      <c r="G8" s="219"/>
      <c r="H8" s="219"/>
      <c r="I8" s="219"/>
      <c r="J8" s="230"/>
    </row>
    <row r="9" spans="1:10" x14ac:dyDescent="0.35">
      <c r="A9" s="189" t="s">
        <v>138</v>
      </c>
      <c r="B9" s="190"/>
      <c r="C9" s="190"/>
      <c r="D9" s="219" t="s">
        <v>164</v>
      </c>
      <c r="E9" s="219"/>
      <c r="F9" s="219"/>
      <c r="G9" s="219"/>
      <c r="H9" s="219"/>
      <c r="I9" s="219"/>
      <c r="J9" s="230"/>
    </row>
    <row r="10" spans="1:10" x14ac:dyDescent="0.35">
      <c r="A10" s="189" t="s">
        <v>152</v>
      </c>
      <c r="B10" s="190"/>
      <c r="C10" s="190"/>
      <c r="D10" s="219" t="s">
        <v>165</v>
      </c>
      <c r="E10" s="219"/>
      <c r="F10" s="219"/>
      <c r="G10" s="219"/>
      <c r="H10" s="219"/>
      <c r="I10" s="219"/>
      <c r="J10" s="230"/>
    </row>
    <row r="11" spans="1:10" ht="15" thickBot="1" x14ac:dyDescent="0.4">
      <c r="A11" s="193" t="s">
        <v>150</v>
      </c>
      <c r="B11" s="194"/>
      <c r="C11" s="194"/>
      <c r="D11" s="233" t="s">
        <v>166</v>
      </c>
      <c r="E11" s="231"/>
      <c r="F11" s="231"/>
      <c r="G11" s="231"/>
      <c r="H11" s="231"/>
      <c r="I11" s="231"/>
      <c r="J11" s="232"/>
    </row>
    <row r="12" spans="1:10" ht="15" thickBot="1" x14ac:dyDescent="0.4">
      <c r="A12" s="208" t="s">
        <v>140</v>
      </c>
      <c r="B12" s="209"/>
      <c r="C12" s="209"/>
      <c r="D12" s="209"/>
      <c r="E12" s="209"/>
      <c r="F12" s="209"/>
      <c r="G12" s="209"/>
      <c r="H12" s="209"/>
      <c r="I12" s="209"/>
      <c r="J12" s="214"/>
    </row>
    <row r="13" spans="1:10" ht="23" customHeight="1" x14ac:dyDescent="0.35">
      <c r="A13" s="210" t="s">
        <v>141</v>
      </c>
      <c r="B13" s="203"/>
      <c r="C13" s="187"/>
      <c r="D13" s="187"/>
      <c r="E13" s="188"/>
      <c r="F13" s="210" t="s">
        <v>144</v>
      </c>
      <c r="G13" s="203"/>
      <c r="H13" s="187"/>
      <c r="I13" s="187"/>
      <c r="J13" s="188"/>
    </row>
    <row r="14" spans="1:10" ht="23" customHeight="1" x14ac:dyDescent="0.35">
      <c r="A14" s="211" t="s">
        <v>143</v>
      </c>
      <c r="B14" s="204"/>
      <c r="C14" s="191"/>
      <c r="D14" s="191"/>
      <c r="E14" s="192"/>
      <c r="F14" s="211" t="s">
        <v>146</v>
      </c>
      <c r="G14" s="204"/>
      <c r="H14" s="191"/>
      <c r="I14" s="191"/>
      <c r="J14" s="192"/>
    </row>
    <row r="15" spans="1:10" ht="23" customHeight="1" x14ac:dyDescent="0.35">
      <c r="A15" s="211" t="s">
        <v>142</v>
      </c>
      <c r="B15" s="204"/>
      <c r="C15" s="191"/>
      <c r="D15" s="191"/>
      <c r="E15" s="192"/>
      <c r="F15" s="211" t="s">
        <v>147</v>
      </c>
      <c r="G15" s="204"/>
      <c r="H15" s="191"/>
      <c r="I15" s="191"/>
      <c r="J15" s="192"/>
    </row>
    <row r="16" spans="1:10" ht="23" customHeight="1" thickBot="1" x14ac:dyDescent="0.4">
      <c r="A16" s="212" t="s">
        <v>145</v>
      </c>
      <c r="B16" s="213"/>
      <c r="C16" s="195"/>
      <c r="D16" s="195"/>
      <c r="E16" s="196"/>
      <c r="F16" s="212" t="s">
        <v>149</v>
      </c>
      <c r="G16" s="213"/>
      <c r="H16" s="195"/>
      <c r="I16" s="195"/>
      <c r="J16" s="196"/>
    </row>
    <row r="17" spans="1:10" x14ac:dyDescent="0.35">
      <c r="A17" s="215" t="s">
        <v>148</v>
      </c>
      <c r="B17" s="187"/>
      <c r="C17" s="187"/>
      <c r="D17" s="187"/>
      <c r="E17" s="187"/>
      <c r="F17" s="187"/>
      <c r="G17" s="187"/>
      <c r="H17" s="187"/>
      <c r="I17" s="187"/>
      <c r="J17" s="188"/>
    </row>
    <row r="18" spans="1:10" x14ac:dyDescent="0.35">
      <c r="A18" s="216" t="s">
        <v>151</v>
      </c>
      <c r="B18" s="191"/>
      <c r="C18" s="191"/>
      <c r="D18" s="191"/>
      <c r="E18" s="191"/>
      <c r="F18" s="191"/>
      <c r="G18" s="191"/>
      <c r="H18" s="191"/>
      <c r="I18" s="191"/>
      <c r="J18" s="192"/>
    </row>
    <row r="19" spans="1:10" x14ac:dyDescent="0.35">
      <c r="A19" s="216" t="s">
        <v>151</v>
      </c>
      <c r="B19" s="191"/>
      <c r="C19" s="191"/>
      <c r="D19" s="191"/>
      <c r="E19" s="191"/>
      <c r="F19" s="191"/>
      <c r="G19" s="191"/>
      <c r="H19" s="191"/>
      <c r="I19" s="191"/>
      <c r="J19" s="192"/>
    </row>
    <row r="20" spans="1:10" ht="15" thickBot="1" x14ac:dyDescent="0.4">
      <c r="A20" s="199"/>
      <c r="B20" s="195"/>
      <c r="C20" s="195"/>
      <c r="D20" s="195"/>
      <c r="E20" s="195"/>
      <c r="F20" s="195"/>
      <c r="G20" s="195"/>
      <c r="H20" s="195"/>
      <c r="I20" s="195"/>
      <c r="J20" s="196"/>
    </row>
    <row r="21" spans="1:10" ht="15" thickBot="1" x14ac:dyDescent="0.4">
      <c r="A21" s="220" t="s">
        <v>153</v>
      </c>
      <c r="B21" s="201"/>
      <c r="C21" s="201"/>
      <c r="D21" s="201"/>
      <c r="E21" s="201"/>
      <c r="F21" s="201"/>
      <c r="G21" s="201"/>
      <c r="H21" s="201"/>
      <c r="I21" s="201"/>
      <c r="J21" s="221"/>
    </row>
    <row r="22" spans="1:10" x14ac:dyDescent="0.35">
      <c r="A22" s="197"/>
      <c r="B22" s="187"/>
      <c r="C22" s="187"/>
      <c r="D22" s="187"/>
      <c r="E22" s="187"/>
      <c r="F22" s="187"/>
      <c r="G22" s="187"/>
      <c r="H22" s="187"/>
      <c r="I22" s="187"/>
      <c r="J22" s="188"/>
    </row>
    <row r="23" spans="1:10" x14ac:dyDescent="0.35">
      <c r="A23" s="189" t="s">
        <v>154</v>
      </c>
      <c r="B23" s="190"/>
      <c r="C23" s="190"/>
      <c r="D23" s="191" t="s">
        <v>175</v>
      </c>
      <c r="E23" s="191"/>
      <c r="F23" s="191"/>
      <c r="G23" s="191"/>
      <c r="H23" s="191"/>
      <c r="I23" s="191"/>
      <c r="J23" s="218"/>
    </row>
    <row r="24" spans="1:10" x14ac:dyDescent="0.35">
      <c r="A24" s="189" t="s">
        <v>155</v>
      </c>
      <c r="B24" s="190"/>
      <c r="C24" s="190"/>
      <c r="D24" s="234" t="s">
        <v>167</v>
      </c>
      <c r="E24" s="219"/>
      <c r="F24" s="190" t="s">
        <v>156</v>
      </c>
      <c r="G24" s="190"/>
      <c r="H24" s="234" t="s">
        <v>167</v>
      </c>
      <c r="I24" s="219"/>
      <c r="J24" s="192"/>
    </row>
    <row r="25" spans="1:10" ht="15" thickBot="1" x14ac:dyDescent="0.4">
      <c r="A25" s="199"/>
      <c r="B25" s="195"/>
      <c r="C25" s="195"/>
      <c r="D25" s="195"/>
      <c r="E25" s="195"/>
      <c r="F25" s="195"/>
      <c r="G25" s="195"/>
      <c r="H25" s="195"/>
      <c r="I25" s="195"/>
      <c r="J25" s="196"/>
    </row>
    <row r="26" spans="1:10" ht="15" thickBot="1" x14ac:dyDescent="0.4">
      <c r="A26" s="208" t="s">
        <v>157</v>
      </c>
      <c r="B26" s="209"/>
      <c r="C26" s="209"/>
      <c r="D26" s="209"/>
      <c r="E26" s="209"/>
      <c r="F26" s="209"/>
      <c r="G26" s="209"/>
      <c r="H26" s="209"/>
      <c r="I26" s="209"/>
      <c r="J26" s="214"/>
    </row>
    <row r="27" spans="1:10" x14ac:dyDescent="0.35">
      <c r="A27" s="222" t="s">
        <v>53</v>
      </c>
      <c r="B27" s="217"/>
      <c r="C27" s="217"/>
      <c r="D27" s="191" t="s">
        <v>168</v>
      </c>
      <c r="E27" s="191"/>
      <c r="F27" s="191"/>
      <c r="G27" s="191"/>
      <c r="H27" s="191"/>
      <c r="I27" s="191"/>
      <c r="J27" s="192"/>
    </row>
    <row r="28" spans="1:10" x14ac:dyDescent="0.35">
      <c r="A28" s="223" t="s">
        <v>158</v>
      </c>
      <c r="B28" s="224"/>
      <c r="C28" s="224"/>
      <c r="D28" s="191" t="s">
        <v>169</v>
      </c>
      <c r="E28" s="191"/>
      <c r="F28" s="191"/>
      <c r="G28" s="191"/>
      <c r="H28" s="191"/>
      <c r="I28" s="191"/>
      <c r="J28" s="192"/>
    </row>
    <row r="29" spans="1:10" ht="15" thickBot="1" x14ac:dyDescent="0.4">
      <c r="A29" s="225" t="s">
        <v>139</v>
      </c>
      <c r="B29" s="226"/>
      <c r="C29" s="226"/>
      <c r="D29" s="195" t="s">
        <v>170</v>
      </c>
      <c r="E29" s="195"/>
      <c r="F29" s="195"/>
      <c r="G29" s="195"/>
      <c r="H29" s="195"/>
      <c r="I29" s="195"/>
      <c r="J29" s="196"/>
    </row>
    <row r="30" spans="1:10" ht="5" customHeight="1" thickBot="1" x14ac:dyDescent="0.4"/>
    <row r="31" spans="1:10" x14ac:dyDescent="0.35">
      <c r="A31" s="237" t="s">
        <v>159</v>
      </c>
      <c r="B31" s="203"/>
      <c r="C31" s="236" t="s">
        <v>160</v>
      </c>
      <c r="D31" s="202"/>
      <c r="E31" s="187"/>
      <c r="F31" s="203" t="s">
        <v>76</v>
      </c>
      <c r="G31" s="203"/>
      <c r="H31" s="187"/>
      <c r="I31" s="187" t="s">
        <v>76</v>
      </c>
      <c r="J31" s="188"/>
    </row>
    <row r="32" spans="1:10" x14ac:dyDescent="0.35">
      <c r="A32" s="198"/>
      <c r="B32" s="191"/>
      <c r="C32" s="191"/>
      <c r="D32" s="191"/>
      <c r="E32" s="191"/>
      <c r="F32" s="191"/>
      <c r="G32" s="191"/>
      <c r="H32" s="191"/>
      <c r="I32" s="191"/>
      <c r="J32" s="192"/>
    </row>
    <row r="33" spans="1:10" x14ac:dyDescent="0.35">
      <c r="A33" s="198"/>
      <c r="B33" s="191"/>
      <c r="C33" s="191"/>
      <c r="D33" s="191"/>
      <c r="E33" s="191"/>
      <c r="F33" s="191"/>
      <c r="G33" s="191"/>
      <c r="H33" s="191"/>
      <c r="I33" s="191"/>
      <c r="J33" s="192"/>
    </row>
    <row r="34" spans="1:10" x14ac:dyDescent="0.35">
      <c r="A34" s="238" t="s">
        <v>161</v>
      </c>
      <c r="B34" s="239"/>
      <c r="C34" s="235" t="s">
        <v>171</v>
      </c>
      <c r="D34" s="235"/>
      <c r="E34" s="191"/>
      <c r="F34" s="235" t="s">
        <v>173</v>
      </c>
      <c r="G34" s="235"/>
      <c r="H34" s="235" t="s">
        <v>77</v>
      </c>
      <c r="I34" s="235"/>
      <c r="J34" s="241"/>
    </row>
    <row r="35" spans="1:10" ht="15" thickBot="1" x14ac:dyDescent="0.4">
      <c r="A35" s="240" t="s">
        <v>162</v>
      </c>
      <c r="B35" s="213"/>
      <c r="C35" s="195" t="s">
        <v>172</v>
      </c>
      <c r="D35" s="195"/>
      <c r="E35" s="195"/>
      <c r="F35" s="200" t="s">
        <v>174</v>
      </c>
      <c r="G35" s="200"/>
      <c r="H35" s="200" t="s">
        <v>81</v>
      </c>
      <c r="I35" s="200"/>
      <c r="J35" s="227"/>
    </row>
  </sheetData>
  <mergeCells count="32">
    <mergeCell ref="D8:J8"/>
    <mergeCell ref="D9:J9"/>
    <mergeCell ref="D10:J10"/>
    <mergeCell ref="D11:J11"/>
    <mergeCell ref="H24:I24"/>
    <mergeCell ref="D5:J5"/>
    <mergeCell ref="H35:J35"/>
    <mergeCell ref="H34:J34"/>
    <mergeCell ref="C34:D34"/>
    <mergeCell ref="F34:G34"/>
    <mergeCell ref="F35:G35"/>
    <mergeCell ref="A28:C28"/>
    <mergeCell ref="A29:C29"/>
    <mergeCell ref="F24:G24"/>
    <mergeCell ref="D24:E24"/>
    <mergeCell ref="A26:J26"/>
    <mergeCell ref="A27:C27"/>
    <mergeCell ref="A23:C23"/>
    <mergeCell ref="A24:C24"/>
    <mergeCell ref="A21:J21"/>
    <mergeCell ref="A6:C6"/>
    <mergeCell ref="A7:C7"/>
    <mergeCell ref="A10:C10"/>
    <mergeCell ref="A4:J4"/>
    <mergeCell ref="A12:J12"/>
    <mergeCell ref="A5:C5"/>
    <mergeCell ref="A11:C11"/>
    <mergeCell ref="A1:J2"/>
    <mergeCell ref="A8:C8"/>
    <mergeCell ref="A9:C9"/>
    <mergeCell ref="D6:J6"/>
    <mergeCell ref="D7:J7"/>
  </mergeCells>
  <printOptions horizontalCentered="1"/>
  <pageMargins left="0.70866141732283472" right="0.70866141732283472" top="0.74803149606299213" bottom="0.74803149606299213" header="0" footer="0"/>
  <pageSetup paperSize="9" fitToWidth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0</xdr:col>
                    <xdr:colOff>101600</xdr:colOff>
                    <xdr:row>12</xdr:row>
                    <xdr:rowOff>12700</xdr:rowOff>
                  </from>
                  <to>
                    <xdr:col>0</xdr:col>
                    <xdr:colOff>336550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0</xdr:col>
                    <xdr:colOff>101600</xdr:colOff>
                    <xdr:row>13</xdr:row>
                    <xdr:rowOff>12700</xdr:rowOff>
                  </from>
                  <to>
                    <xdr:col>0</xdr:col>
                    <xdr:colOff>336550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0</xdr:col>
                    <xdr:colOff>101600</xdr:colOff>
                    <xdr:row>14</xdr:row>
                    <xdr:rowOff>12700</xdr:rowOff>
                  </from>
                  <to>
                    <xdr:col>0</xdr:col>
                    <xdr:colOff>336550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0</xdr:col>
                    <xdr:colOff>101600</xdr:colOff>
                    <xdr:row>15</xdr:row>
                    <xdr:rowOff>12700</xdr:rowOff>
                  </from>
                  <to>
                    <xdr:col>0</xdr:col>
                    <xdr:colOff>336550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5</xdr:col>
                    <xdr:colOff>101600</xdr:colOff>
                    <xdr:row>12</xdr:row>
                    <xdr:rowOff>12700</xdr:rowOff>
                  </from>
                  <to>
                    <xdr:col>5</xdr:col>
                    <xdr:colOff>336550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5</xdr:col>
                    <xdr:colOff>101600</xdr:colOff>
                    <xdr:row>13</xdr:row>
                    <xdr:rowOff>12700</xdr:rowOff>
                  </from>
                  <to>
                    <xdr:col>5</xdr:col>
                    <xdr:colOff>336550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5</xdr:col>
                    <xdr:colOff>101600</xdr:colOff>
                    <xdr:row>14</xdr:row>
                    <xdr:rowOff>12700</xdr:rowOff>
                  </from>
                  <to>
                    <xdr:col>5</xdr:col>
                    <xdr:colOff>336550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5</xdr:col>
                    <xdr:colOff>101600</xdr:colOff>
                    <xdr:row>15</xdr:row>
                    <xdr:rowOff>12700</xdr:rowOff>
                  </from>
                  <to>
                    <xdr:col>5</xdr:col>
                    <xdr:colOff>336550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Form_PKWT</vt:lpstr>
      <vt:lpstr>Form_Evaluasi_Wawancara</vt:lpstr>
      <vt:lpstr>Cuti</vt:lpstr>
      <vt:lpstr>Form_Evaluasi_Wawancara!Print_Area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Diansyah</dc:creator>
  <cp:lastModifiedBy>Wahyu Diansyah</cp:lastModifiedBy>
  <cp:lastPrinted>2026-08-08T10:35:23Z</cp:lastPrinted>
  <dcterms:created xsi:type="dcterms:W3CDTF">2026-08-05T01:55:36Z</dcterms:created>
  <dcterms:modified xsi:type="dcterms:W3CDTF">2026-08-08T10:35:34Z</dcterms:modified>
</cp:coreProperties>
</file>