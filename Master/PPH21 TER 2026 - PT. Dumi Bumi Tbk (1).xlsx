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003346e95a27af5f/Documents/myportofolio/Master/"/>
    </mc:Choice>
  </mc:AlternateContent>
  <xr:revisionPtr revIDLastSave="366" documentId="11_10A27F881A02C7AD52D9541DEE3B2B1D35BFE834" xr6:coauthVersionLast="47" xr6:coauthVersionMax="47" xr10:uidLastSave="{234CB2A1-1F3B-4636-87B2-2140D1D879B3}"/>
  <bookViews>
    <workbookView xWindow="-110" yWindow="-110" windowWidth="19420" windowHeight="10300" xr2:uid="{00000000-000D-0000-FFFF-FFFF00000000}"/>
  </bookViews>
  <sheets>
    <sheet name="PPh21 GROSS" sheetId="1" r:id="rId1"/>
    <sheet name="PPh21 GROSS-UP" sheetId="2" r:id="rId2"/>
    <sheet name="Referensi" sheetId="3" r:id="rId3"/>
  </sheets>
  <definedNames>
    <definedName name="_xlnm.Print_Area" localSheetId="0">'PPh21 GROSS'!$A$1:$R$45</definedName>
    <definedName name="rgKategori">Referensi!$E$4:$E$128</definedName>
    <definedName name="rgPenghasilanMulai">Referensi!$F$4:$F$128</definedName>
    <definedName name="rgPenghasilanSampai">Referensi!$G$4:$G$128</definedName>
    <definedName name="rgTarifPajak">Referensi!$H$4:$H$128</definedName>
    <definedName name="tabPTKP">Referensi!$A$4:$C$11</definedName>
    <definedName name="tabStatusKategori">Referensi!#REF!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hxt76SHw3+Sm7xMU6fG+uwhmL+h86JrmYzbw92t2chw="/>
    </ext>
  </extLst>
</workbook>
</file>

<file path=xl/calcChain.xml><?xml version="1.0" encoding="utf-8"?>
<calcChain xmlns="http://schemas.openxmlformats.org/spreadsheetml/2006/main">
  <c r="E20" i="1" l="1"/>
  <c r="E19" i="1"/>
  <c r="E18" i="1"/>
  <c r="E17" i="1"/>
  <c r="E16" i="1"/>
  <c r="E15" i="1"/>
  <c r="E14" i="1"/>
  <c r="E13" i="1"/>
  <c r="E12" i="1"/>
  <c r="E11" i="1"/>
  <c r="E10" i="1"/>
  <c r="E9" i="1"/>
  <c r="E21" i="1"/>
  <c r="D20" i="1"/>
  <c r="D19" i="1"/>
  <c r="D18" i="1"/>
  <c r="D16" i="1"/>
  <c r="D14" i="1"/>
  <c r="D15" i="1"/>
  <c r="D17" i="1"/>
  <c r="D13" i="1"/>
  <c r="D12" i="1"/>
  <c r="D11" i="1"/>
  <c r="D10" i="1"/>
  <c r="D9" i="1"/>
  <c r="N9" i="1"/>
  <c r="K10" i="1"/>
  <c r="K11" i="1"/>
  <c r="K12" i="1"/>
  <c r="K13" i="1"/>
  <c r="K14" i="1"/>
  <c r="K15" i="1"/>
  <c r="K16" i="1"/>
  <c r="K17" i="1"/>
  <c r="K18" i="1"/>
  <c r="K19" i="1"/>
  <c r="K20" i="1"/>
  <c r="K9" i="1"/>
  <c r="L9" i="1"/>
  <c r="J10" i="1"/>
  <c r="J11" i="1"/>
  <c r="J12" i="1"/>
  <c r="J13" i="1"/>
  <c r="J14" i="1"/>
  <c r="J15" i="1"/>
  <c r="J16" i="1"/>
  <c r="J17" i="1"/>
  <c r="J18" i="1"/>
  <c r="J19" i="1"/>
  <c r="J20" i="1"/>
  <c r="J9" i="1"/>
  <c r="I10" i="1"/>
  <c r="I11" i="1"/>
  <c r="I12" i="1"/>
  <c r="I13" i="1"/>
  <c r="I14" i="1"/>
  <c r="I15" i="1"/>
  <c r="I16" i="1"/>
  <c r="I17" i="1"/>
  <c r="I18" i="1"/>
  <c r="I19" i="1"/>
  <c r="I20" i="1"/>
  <c r="I9" i="1"/>
  <c r="N10" i="1"/>
  <c r="N11" i="1"/>
  <c r="N12" i="1"/>
  <c r="N13" i="1"/>
  <c r="N14" i="1"/>
  <c r="N15" i="1"/>
  <c r="N16" i="1"/>
  <c r="N17" i="1"/>
  <c r="N18" i="1"/>
  <c r="N19" i="1"/>
  <c r="N20" i="1"/>
  <c r="M10" i="1"/>
  <c r="M11" i="1"/>
  <c r="M12" i="1"/>
  <c r="M13" i="1"/>
  <c r="M14" i="1"/>
  <c r="M15" i="1"/>
  <c r="M16" i="1"/>
  <c r="M17" i="1"/>
  <c r="M18" i="1"/>
  <c r="M19" i="1"/>
  <c r="M20" i="1"/>
  <c r="M9" i="1"/>
  <c r="L10" i="1"/>
  <c r="L11" i="1"/>
  <c r="L12" i="1"/>
  <c r="L13" i="1"/>
  <c r="L14" i="1"/>
  <c r="L15" i="1"/>
  <c r="L16" i="1"/>
  <c r="L17" i="1"/>
  <c r="L18" i="1"/>
  <c r="L19" i="1"/>
  <c r="L20" i="1"/>
  <c r="O10" i="1"/>
  <c r="P10" i="1" s="1" a="1"/>
  <c r="Q10" i="1" s="1"/>
  <c r="O12" i="1"/>
  <c r="P12" i="1" s="1" a="1"/>
  <c r="Q12" i="1" s="1"/>
  <c r="R12" i="1" s="1"/>
  <c r="O13" i="1"/>
  <c r="P13" i="1" s="1" a="1"/>
  <c r="Q13" i="1" s="1"/>
  <c r="R13" i="1" s="1"/>
  <c r="O14" i="1"/>
  <c r="P14" i="1" s="1" a="1"/>
  <c r="Q14" i="1" s="1"/>
  <c r="R14" i="1" s="1"/>
  <c r="O15" i="1"/>
  <c r="P15" i="1" s="1" a="1"/>
  <c r="O16" i="1"/>
  <c r="P16" i="1" s="1" a="1"/>
  <c r="Q16" i="1" s="1"/>
  <c r="R16" i="1" s="1"/>
  <c r="O17" i="1"/>
  <c r="P17" i="1" s="1" a="1"/>
  <c r="Q17" i="1" s="1"/>
  <c r="R17" i="1" s="1"/>
  <c r="O18" i="1"/>
  <c r="P18" i="1" s="1" a="1"/>
  <c r="O19" i="1"/>
  <c r="P19" i="1" s="1" a="1"/>
  <c r="O20" i="1"/>
  <c r="O9" i="1"/>
  <c r="P9" i="1" s="1" a="1"/>
  <c r="Q9" i="1" s="1"/>
  <c r="F11" i="1"/>
  <c r="O11" i="1" s="1"/>
  <c r="P11" i="1" s="1" a="1"/>
  <c r="F128" i="3"/>
  <c r="F127" i="3"/>
  <c r="F126" i="3"/>
  <c r="F125" i="3"/>
  <c r="F124" i="3"/>
  <c r="F123" i="3"/>
  <c r="F122" i="3"/>
  <c r="F121" i="3"/>
  <c r="F120" i="3"/>
  <c r="F119" i="3"/>
  <c r="F118" i="3"/>
  <c r="F117" i="3"/>
  <c r="F116" i="3"/>
  <c r="F115" i="3"/>
  <c r="F114" i="3"/>
  <c r="F113" i="3"/>
  <c r="F112" i="3"/>
  <c r="F111" i="3"/>
  <c r="F110" i="3"/>
  <c r="F109" i="3"/>
  <c r="F108" i="3"/>
  <c r="F107" i="3"/>
  <c r="F106" i="3"/>
  <c r="F105" i="3"/>
  <c r="F104" i="3"/>
  <c r="F103" i="3"/>
  <c r="F102" i="3"/>
  <c r="F101" i="3"/>
  <c r="F100" i="3"/>
  <c r="F99" i="3"/>
  <c r="F98" i="3"/>
  <c r="F97" i="3"/>
  <c r="F96" i="3"/>
  <c r="F95" i="3"/>
  <c r="F94" i="3"/>
  <c r="F93" i="3"/>
  <c r="F92" i="3"/>
  <c r="F91" i="3"/>
  <c r="F90" i="3"/>
  <c r="F89" i="3"/>
  <c r="F87" i="3"/>
  <c r="F86" i="3"/>
  <c r="F85" i="3"/>
  <c r="F84" i="3"/>
  <c r="F83" i="3"/>
  <c r="F82" i="3"/>
  <c r="F81" i="3"/>
  <c r="F80" i="3"/>
  <c r="F79" i="3"/>
  <c r="F78" i="3"/>
  <c r="F77" i="3"/>
  <c r="F76" i="3"/>
  <c r="F75" i="3"/>
  <c r="F74" i="3"/>
  <c r="F73" i="3"/>
  <c r="F72" i="3"/>
  <c r="F71" i="3"/>
  <c r="F70" i="3"/>
  <c r="F69" i="3"/>
  <c r="F68" i="3"/>
  <c r="F67" i="3"/>
  <c r="F66" i="3"/>
  <c r="F65" i="3"/>
  <c r="F64" i="3"/>
  <c r="F63" i="3"/>
  <c r="F62" i="3"/>
  <c r="F61" i="3"/>
  <c r="F60" i="3"/>
  <c r="F59" i="3"/>
  <c r="F58" i="3"/>
  <c r="F57" i="3"/>
  <c r="F56" i="3"/>
  <c r="F55" i="3"/>
  <c r="F54" i="3"/>
  <c r="F53" i="3"/>
  <c r="F52" i="3"/>
  <c r="F51" i="3"/>
  <c r="F50" i="3"/>
  <c r="F49" i="3"/>
  <c r="F47" i="3"/>
  <c r="F46" i="3"/>
  <c r="F45" i="3"/>
  <c r="F44" i="3"/>
  <c r="F43" i="3"/>
  <c r="F42" i="3"/>
  <c r="F41" i="3"/>
  <c r="F40" i="3"/>
  <c r="F39" i="3"/>
  <c r="F38" i="3"/>
  <c r="F37" i="3"/>
  <c r="F36" i="3"/>
  <c r="F35" i="3"/>
  <c r="F34" i="3"/>
  <c r="F33" i="3"/>
  <c r="F32" i="3"/>
  <c r="F31" i="3"/>
  <c r="F30" i="3"/>
  <c r="F29" i="3"/>
  <c r="F28" i="3"/>
  <c r="F27" i="3"/>
  <c r="F26" i="3"/>
  <c r="F25" i="3"/>
  <c r="F24" i="3"/>
  <c r="F23" i="3"/>
  <c r="F22" i="3"/>
  <c r="F21" i="3"/>
  <c r="F20" i="3"/>
  <c r="F19" i="3"/>
  <c r="F18" i="3"/>
  <c r="F17" i="3"/>
  <c r="F16" i="3"/>
  <c r="F15" i="3"/>
  <c r="F14" i="3"/>
  <c r="F13" i="3"/>
  <c r="F12" i="3"/>
  <c r="F11" i="3"/>
  <c r="F10" i="3"/>
  <c r="F9" i="3"/>
  <c r="M8" i="3"/>
  <c r="F8" i="3"/>
  <c r="M7" i="3"/>
  <c r="F7" i="3"/>
  <c r="M6" i="3"/>
  <c r="F6" i="3"/>
  <c r="M5" i="3"/>
  <c r="F5" i="3"/>
  <c r="M4" i="3"/>
  <c r="D34" i="2"/>
  <c r="C31" i="2"/>
  <c r="C30" i="2"/>
  <c r="F23" i="2"/>
  <c r="E23" i="2"/>
  <c r="D23" i="2"/>
  <c r="C23" i="2"/>
  <c r="B23" i="2"/>
  <c r="M22" i="2"/>
  <c r="L22" i="2"/>
  <c r="K22" i="2"/>
  <c r="J22" i="2"/>
  <c r="I22" i="2"/>
  <c r="H22" i="2"/>
  <c r="M21" i="2"/>
  <c r="L21" i="2"/>
  <c r="K21" i="2"/>
  <c r="J21" i="2"/>
  <c r="I21" i="2"/>
  <c r="H21" i="2"/>
  <c r="M20" i="2"/>
  <c r="L20" i="2"/>
  <c r="K20" i="2"/>
  <c r="J20" i="2"/>
  <c r="I20" i="2"/>
  <c r="H20" i="2"/>
  <c r="M19" i="2"/>
  <c r="L19" i="2"/>
  <c r="K19" i="2"/>
  <c r="J19" i="2"/>
  <c r="I19" i="2"/>
  <c r="H19" i="2"/>
  <c r="M18" i="2"/>
  <c r="L18" i="2"/>
  <c r="K18" i="2"/>
  <c r="J18" i="2"/>
  <c r="I18" i="2"/>
  <c r="H18" i="2"/>
  <c r="M17" i="2"/>
  <c r="L17" i="2"/>
  <c r="K17" i="2"/>
  <c r="J17" i="2"/>
  <c r="I17" i="2"/>
  <c r="H17" i="2"/>
  <c r="M16" i="2"/>
  <c r="L16" i="2"/>
  <c r="K16" i="2"/>
  <c r="J16" i="2"/>
  <c r="I16" i="2"/>
  <c r="H16" i="2"/>
  <c r="M15" i="2"/>
  <c r="L15" i="2"/>
  <c r="K15" i="2"/>
  <c r="J15" i="2"/>
  <c r="I15" i="2"/>
  <c r="H15" i="2"/>
  <c r="M14" i="2"/>
  <c r="L14" i="2"/>
  <c r="K14" i="2"/>
  <c r="J14" i="2"/>
  <c r="I14" i="2"/>
  <c r="H14" i="2"/>
  <c r="M13" i="2"/>
  <c r="L13" i="2"/>
  <c r="K13" i="2"/>
  <c r="J13" i="2"/>
  <c r="I13" i="2"/>
  <c r="H13" i="2"/>
  <c r="M12" i="2"/>
  <c r="L12" i="2"/>
  <c r="K12" i="2"/>
  <c r="J12" i="2"/>
  <c r="I12" i="2"/>
  <c r="H12" i="2"/>
  <c r="M11" i="2"/>
  <c r="M23" i="2" s="1"/>
  <c r="L11" i="2"/>
  <c r="L23" i="2" s="1"/>
  <c r="D31" i="2" s="1"/>
  <c r="K11" i="2"/>
  <c r="K23" i="2" s="1"/>
  <c r="D30" i="2" s="1"/>
  <c r="J11" i="2"/>
  <c r="J23" i="2" s="1"/>
  <c r="I11" i="2"/>
  <c r="I23" i="2" s="1"/>
  <c r="H11" i="2"/>
  <c r="H23" i="2" s="1"/>
  <c r="F31" i="1"/>
  <c r="C28" i="1"/>
  <c r="C27" i="1"/>
  <c r="H21" i="1"/>
  <c r="G21" i="1"/>
  <c r="F21" i="1"/>
  <c r="C21" i="1"/>
  <c r="B21" i="1"/>
  <c r="N21" i="1"/>
  <c r="M21" i="1"/>
  <c r="F28" i="1" s="1"/>
  <c r="J21" i="1"/>
  <c r="Q11" i="1" l="1"/>
  <c r="R9" i="1"/>
  <c r="D21" i="1"/>
  <c r="R10" i="1"/>
  <c r="R11" i="1"/>
  <c r="Q19" i="1"/>
  <c r="R19" i="1" s="1"/>
  <c r="Q18" i="1"/>
  <c r="R18" i="1" s="1"/>
  <c r="L21" i="1"/>
  <c r="F27" i="1" s="1"/>
  <c r="K21" i="1"/>
  <c r="Q15" i="1"/>
  <c r="R15" i="1" s="1"/>
  <c r="I21" i="1"/>
  <c r="O21" i="1" s="1"/>
  <c r="F41" i="1" l="1"/>
  <c r="F24" i="1"/>
  <c r="F26" i="1" s="1"/>
  <c r="F29" i="1" s="1"/>
  <c r="F30" i="1" l="1"/>
  <c r="F32" i="1" s="1"/>
  <c r="C38" i="1" l="1"/>
  <c r="F38" i="1" s="1"/>
  <c r="C35" i="1"/>
  <c r="F35" i="1" s="1"/>
  <c r="C37" i="1"/>
  <c r="F37" i="1" s="1"/>
  <c r="C39" i="1"/>
  <c r="F39" i="1" s="1"/>
  <c r="C36" i="1"/>
  <c r="F36" i="1" s="1"/>
  <c r="F40" i="1" l="1"/>
  <c r="F42" i="1" s="1"/>
  <c r="R20" i="1" l="1"/>
  <c r="R21" i="1" s="1"/>
  <c r="G11" i="2"/>
  <c r="N11" i="2"/>
  <c r="O11" i="2" a="1"/>
  <c r="O11" i="2"/>
  <c r="P11" i="2"/>
  <c r="Q11" i="2"/>
  <c r="G12" i="2"/>
  <c r="N12" i="2"/>
  <c r="O12" i="2" a="1"/>
  <c r="O12" i="2"/>
  <c r="P12" i="2"/>
  <c r="Q12" i="2"/>
  <c r="G13" i="2"/>
  <c r="N13" i="2"/>
  <c r="O13" i="2" a="1"/>
  <c r="O13" i="2"/>
  <c r="P13" i="2"/>
  <c r="Q13" i="2"/>
  <c r="G14" i="2"/>
  <c r="N14" i="2"/>
  <c r="O14" i="2" a="1"/>
  <c r="O14" i="2"/>
  <c r="P14" i="2"/>
  <c r="Q14" i="2"/>
  <c r="G15" i="2"/>
  <c r="N15" i="2"/>
  <c r="O15" i="2" a="1"/>
  <c r="O15" i="2"/>
  <c r="P15" i="2"/>
  <c r="Q15" i="2"/>
  <c r="G16" i="2"/>
  <c r="N16" i="2"/>
  <c r="O16" i="2" a="1"/>
  <c r="O16" i="2"/>
  <c r="P16" i="2"/>
  <c r="Q16" i="2"/>
  <c r="G17" i="2"/>
  <c r="N17" i="2"/>
  <c r="O17" i="2" a="1"/>
  <c r="O17" i="2"/>
  <c r="P17" i="2"/>
  <c r="Q17" i="2"/>
  <c r="G18" i="2"/>
  <c r="N18" i="2"/>
  <c r="O18" i="2" a="1"/>
  <c r="O18" i="2"/>
  <c r="P18" i="2"/>
  <c r="Q18" i="2"/>
  <c r="G19" i="2"/>
  <c r="N19" i="2"/>
  <c r="O19" i="2" a="1"/>
  <c r="O19" i="2"/>
  <c r="P19" i="2"/>
  <c r="Q19" i="2"/>
  <c r="G20" i="2"/>
  <c r="N20" i="2"/>
  <c r="O20" i="2" a="1"/>
  <c r="O20" i="2"/>
  <c r="P20" i="2"/>
  <c r="Q20" i="2"/>
  <c r="G21" i="2"/>
  <c r="N21" i="2"/>
  <c r="O21" i="2" a="1"/>
  <c r="O21" i="2"/>
  <c r="P21" i="2"/>
  <c r="Q21" i="2"/>
  <c r="G22" i="2"/>
  <c r="N22" i="2"/>
  <c r="P22" i="2"/>
  <c r="Q22" i="2"/>
  <c r="G23" i="2"/>
  <c r="N23" i="2"/>
  <c r="P23" i="2"/>
  <c r="Q23" i="2"/>
  <c r="E27" i="2"/>
  <c r="D29" i="2"/>
  <c r="E32" i="2"/>
  <c r="E33" i="2"/>
  <c r="E35" i="2"/>
  <c r="C38" i="2"/>
  <c r="D38" i="2"/>
  <c r="C39" i="2"/>
  <c r="D39" i="2"/>
  <c r="C40" i="2"/>
  <c r="D40" i="2"/>
  <c r="C41" i="2"/>
  <c r="D41" i="2"/>
  <c r="C42" i="2"/>
  <c r="D42" i="2"/>
  <c r="E43" i="2"/>
  <c r="E44" i="2"/>
  <c r="E45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<sst xmlns="http://schemas.openxmlformats.org/spreadsheetml/2006/main" count="276" uniqueCount="95">
  <si>
    <t>PENGHASILAN TIDAK KENA PAJAK (PTKP)</t>
  </si>
  <si>
    <t>PERHITUNGAN PPH21 TER 2026</t>
  </si>
  <si>
    <t>PT. DUMI BUMI TBK</t>
  </si>
  <si>
    <t>TABEL TARIF TER A,B,C</t>
  </si>
  <si>
    <t>TARIF PAJAK PASAL 17 PPH</t>
  </si>
  <si>
    <t>Nama</t>
  </si>
  <si>
    <t>Bebeb</t>
  </si>
  <si>
    <t>Status</t>
  </si>
  <si>
    <t>TK/0</t>
  </si>
  <si>
    <t>Jabatan</t>
  </si>
  <si>
    <t>Staff IT</t>
  </si>
  <si>
    <t>PTKP</t>
  </si>
  <si>
    <t>Kategori</t>
  </si>
  <si>
    <t>BULAN</t>
  </si>
  <si>
    <t>Penghasilan Mulai</t>
  </si>
  <si>
    <t>UPAH POKOK</t>
  </si>
  <si>
    <t>Penghasilan Sampai</t>
  </si>
  <si>
    <t>TUNJANGAN</t>
  </si>
  <si>
    <t>Tarif Efektif Bulanan</t>
  </si>
  <si>
    <t>THR</t>
  </si>
  <si>
    <t>Pajak</t>
  </si>
  <si>
    <t>BONUS/INSENTIF</t>
  </si>
  <si>
    <t>Dari</t>
  </si>
  <si>
    <t>LEMBUR</t>
  </si>
  <si>
    <t>Sampai</t>
  </si>
  <si>
    <t>Rentang</t>
  </si>
  <si>
    <t>JKK</t>
  </si>
  <si>
    <t>JKM</t>
  </si>
  <si>
    <t>TUNJANGAN PPH21</t>
  </si>
  <si>
    <t>KES PRS</t>
  </si>
  <si>
    <t>JP</t>
  </si>
  <si>
    <t>Kategori A</t>
  </si>
  <si>
    <t>JHT</t>
  </si>
  <si>
    <t>KES KRY</t>
  </si>
  <si>
    <t>PENGHASULAN BRUTO</t>
  </si>
  <si>
    <t>TARIF PAJAK</t>
  </si>
  <si>
    <t>PPH 21</t>
  </si>
  <si>
    <t>TAKE HOME PAY</t>
  </si>
  <si>
    <t>TK/1</t>
  </si>
  <si>
    <t>Januari</t>
  </si>
  <si>
    <t>K/0</t>
  </si>
  <si>
    <t>TK/2</t>
  </si>
  <si>
    <t>Kategori B</t>
  </si>
  <si>
    <t>TK/3</t>
  </si>
  <si>
    <t>K/1</t>
  </si>
  <si>
    <t>K/2</t>
  </si>
  <si>
    <t>K/3</t>
  </si>
  <si>
    <t>Kategori C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</si>
  <si>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</si>
  <si>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</si>
  <si>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</si>
  <si>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</si>
  <si>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</si>
  <si>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</si>
  <si>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</si>
  <si>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</si>
  <si>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</si>
  <si>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</si>
  <si>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Desember</t>
  </si>
  <si>
    <t>Jumlah</t>
  </si>
  <si>
    <t>PPH21 Desember 2025</t>
  </si>
  <si>
    <t>FORMULA</t>
  </si>
  <si>
    <t>Penghasilan Bruto Setahun</t>
  </si>
  <si>
    <t>Pengurang</t>
  </si>
  <si>
    <t>• Biaya Jabatan</t>
  </si>
  <si>
    <t>• Iuran JP</t>
  </si>
  <si>
    <t>• Iuran JHT</t>
  </si>
  <si>
    <t>5=2+3+4</t>
  </si>
  <si>
    <t>Penghasilan Netto Setahun</t>
  </si>
  <si>
    <t>6=1-5</t>
  </si>
  <si>
    <t>Penghasilan Tidak Kena Pajak Setahun</t>
  </si>
  <si>
    <t>Penghasilan Kena Pajak Setahun</t>
  </si>
  <si>
    <t>PPH 21 Terutang Setahun</t>
  </si>
  <si>
    <t>x</t>
  </si>
  <si>
    <t>14=9+10+11+12+13</t>
  </si>
  <si>
    <t>PPH 21 Sudah Dibayarkan sd November 2025</t>
  </si>
  <si>
    <t>PPH21 Dipotong Bulan Desember 2025</t>
  </si>
  <si>
    <t>16=14-15</t>
  </si>
  <si>
    <t>Agus Wijaya</t>
  </si>
  <si>
    <t>Join Date</t>
  </si>
  <si>
    <t>P-JKK</t>
  </si>
  <si>
    <t>P-JKM</t>
  </si>
  <si>
    <t>P-BPJS KES</t>
  </si>
  <si>
    <t>K-JP</t>
  </si>
  <si>
    <t>K-JHT</t>
  </si>
  <si>
    <t>K-BPJS KES</t>
  </si>
  <si>
    <t>TUNJANGAN TETAP</t>
  </si>
  <si>
    <t>UANG MAKAN</t>
  </si>
  <si>
    <t>UANG TRANSPORT</t>
  </si>
  <si>
    <t>PPH21 Desember 2026</t>
  </si>
  <si>
    <t>PPH 21 Sudah Dibayarkan sd November 2026</t>
  </si>
  <si>
    <t>PPH21 Dipotong Bulan Desember 2026</t>
  </si>
  <si>
    <t>(-)</t>
  </si>
  <si>
    <t>• Biaya Jabatan max Rp. 6JT</t>
  </si>
  <si>
    <r>
      <rPr>
        <b/>
        <sz val="11"/>
        <color theme="1"/>
        <rFont val="Calibri"/>
        <family val="2"/>
        <scheme val="minor"/>
      </rPr>
      <t xml:space="preserve">Source: </t>
    </r>
    <r>
      <rPr>
        <sz val="11"/>
        <color theme="1"/>
        <rFont val="Calibri"/>
        <family val="2"/>
        <scheme val="minor"/>
      </rPr>
      <t>Portofolio/Payroll Management System/Potongan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</si>
</sst>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_);_(* \(#,##0\);_(* &quot;-&quot;??_);_(@_)"/>
    <numFmt numFmtId="165" formatCode="_-* #,##0_-;\-* #,##0_-;_-* &quot;-&quot;??_-;_-@"/>
    <numFmt numFmtId="168" formatCode="&quot;Rp&quot;#,##0.00"/>
  </numFmts>
  <fonts count="13" x14ac:knownFonts="1">
    <font>
      <sz val="11"/>
      <color theme="1"/>
      <name val="Calibri"/>
      <scheme val="minor"/>
    </font>
    <font>
      <sz val="11"/>
      <color theme="1"/>
      <name val="Calibri"/>
      <family val="2"/>
    </font>
    <font>
      <b/>
      <sz val="11"/>
      <color theme="0"/>
      <name val="Calibri"/>
      <family val="2"/>
    </font>
    <font>
      <b/>
      <sz val="11"/>
      <color theme="1"/>
      <name val="Calibri"/>
      <family val="2"/>
    </font>
    <font>
      <sz val="11"/>
      <name val="Calibri"/>
      <family val="2"/>
    </font>
    <font>
      <i/>
      <sz val="11"/>
      <color theme="1"/>
      <name val="Calibri"/>
      <family val="2"/>
    </font>
    <font>
      <i/>
      <sz val="11"/>
      <color theme="0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2"/>
      <name val="Calibri"/>
      <family val="2"/>
    </font>
    <font>
      <sz val="11"/>
      <color theme="2"/>
      <name val="Calibri"/>
      <family val="2"/>
    </font>
    <font>
      <i/>
      <sz val="11"/>
      <color theme="2"/>
      <name val="Calibri"/>
      <family val="2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385623"/>
        <bgColor rgb="FF385623"/>
      </patternFill>
    </fill>
    <fill>
      <patternFill patternType="solid">
        <fgColor rgb="FF00B0F0"/>
        <bgColor rgb="FF00B0F0"/>
      </patternFill>
    </fill>
    <fill>
      <patternFill patternType="solid">
        <fgColor rgb="FFDEEAF6"/>
        <bgColor rgb="FFDEEAF6"/>
      </patternFill>
    </fill>
    <fill>
      <patternFill patternType="solid">
        <fgColor rgb="FFFFFF00"/>
        <bgColor rgb="FFFFFF00"/>
      </patternFill>
    </fill>
    <fill>
      <patternFill patternType="solid">
        <fgColor rgb="FFFFC000"/>
        <bgColor rgb="FFFFC000"/>
      </patternFill>
    </fill>
    <fill>
      <patternFill patternType="solid">
        <fgColor rgb="FFC5E0B3"/>
        <bgColor rgb="FFC5E0B3"/>
      </patternFill>
    </fill>
    <fill>
      <patternFill patternType="solid">
        <fgColor rgb="FFA8D08D"/>
        <bgColor rgb="FFA8D08D"/>
      </patternFill>
    </fill>
    <fill>
      <patternFill patternType="solid">
        <fgColor rgb="FF548135"/>
        <bgColor rgb="FF548135"/>
      </patternFill>
    </fill>
    <fill>
      <patternFill patternType="solid">
        <fgColor rgb="FF92D050"/>
        <bgColor rgb="FF92D050"/>
      </patternFill>
    </fill>
    <fill>
      <patternFill patternType="solid">
        <fgColor theme="0"/>
        <bgColor theme="0"/>
      </patternFill>
    </fill>
    <fill>
      <patternFill patternType="solid">
        <fgColor rgb="FF00B0F0"/>
        <bgColor indexed="64"/>
      </patternFill>
    </fill>
    <fill>
      <patternFill patternType="solid">
        <fgColor rgb="FF00B0F0"/>
        <bgColor theme="0"/>
      </patternFill>
    </fill>
  </fills>
  <borders count="4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/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</borders>
  <cellStyleXfs count="2">
    <xf numFmtId="0" fontId="0" fillId="0" borderId="0"/>
    <xf numFmtId="9" fontId="7" fillId="0" borderId="0" applyFont="0" applyFill="0" applyBorder="0" applyAlignment="0" applyProtection="0"/>
  </cellStyleXfs>
  <cellXfs count="134">
    <xf numFmtId="0" fontId="0" fillId="0" borderId="0" xfId="0"/>
    <xf numFmtId="0" fontId="1" fillId="0" borderId="0" xfId="0" applyFont="1" applyAlignment="1">
      <alignment horizontal="center"/>
    </xf>
    <xf numFmtId="0" fontId="3" fillId="0" borderId="0" xfId="0" applyFont="1"/>
    <xf numFmtId="0" fontId="2" fillId="3" borderId="4" xfId="0" applyFont="1" applyFill="1" applyBorder="1" applyAlignment="1">
      <alignment horizontal="left" vertical="center"/>
    </xf>
    <xf numFmtId="0" fontId="3" fillId="4" borderId="4" xfId="0" applyFont="1" applyFill="1" applyBorder="1" applyAlignment="1">
      <alignment horizontal="left" vertical="center"/>
    </xf>
    <xf numFmtId="0" fontId="2" fillId="3" borderId="4" xfId="0" applyFont="1" applyFill="1" applyBorder="1"/>
    <xf numFmtId="0" fontId="3" fillId="5" borderId="4" xfId="0" applyFont="1" applyFill="1" applyBorder="1" applyAlignment="1">
      <alignment horizontal="center"/>
    </xf>
    <xf numFmtId="164" fontId="3" fillId="5" borderId="4" xfId="0" applyNumberFormat="1" applyFont="1" applyFill="1" applyBorder="1" applyAlignment="1">
      <alignment horizontal="center"/>
    </xf>
    <xf numFmtId="10" fontId="3" fillId="5" borderId="4" xfId="0" applyNumberFormat="1" applyFont="1" applyFill="1" applyBorder="1" applyAlignment="1">
      <alignment horizontal="center"/>
    </xf>
    <xf numFmtId="165" fontId="3" fillId="5" borderId="4" xfId="0" applyNumberFormat="1" applyFont="1" applyFill="1" applyBorder="1" applyAlignment="1">
      <alignment horizontal="center" vertical="center"/>
    </xf>
    <xf numFmtId="0" fontId="3" fillId="6" borderId="4" xfId="0" applyFont="1" applyFill="1" applyBorder="1" applyAlignment="1">
      <alignment horizontal="center" vertical="center"/>
    </xf>
    <xf numFmtId="0" fontId="1" fillId="7" borderId="4" xfId="0" applyFont="1" applyFill="1" applyBorder="1"/>
    <xf numFmtId="0" fontId="3" fillId="6" borderId="4" xfId="0" applyFont="1" applyFill="1" applyBorder="1" applyAlignment="1">
      <alignment horizontal="center" vertical="center" wrapText="1"/>
    </xf>
    <xf numFmtId="3" fontId="1" fillId="7" borderId="4" xfId="0" applyNumberFormat="1" applyFont="1" applyFill="1" applyBorder="1"/>
    <xf numFmtId="0" fontId="2" fillId="3" borderId="4" xfId="0" applyFont="1" applyFill="1" applyBorder="1" applyAlignment="1">
      <alignment horizontal="center" vertical="center" wrapText="1"/>
    </xf>
    <xf numFmtId="164" fontId="1" fillId="7" borderId="4" xfId="0" applyNumberFormat="1" applyFont="1" applyFill="1" applyBorder="1"/>
    <xf numFmtId="0" fontId="1" fillId="0" borderId="0" xfId="0" applyFont="1" applyAlignment="1">
      <alignment horizontal="center" vertical="center"/>
    </xf>
    <xf numFmtId="9" fontId="1" fillId="0" borderId="4" xfId="0" applyNumberFormat="1" applyFont="1" applyBorder="1"/>
    <xf numFmtId="165" fontId="1" fillId="0" borderId="4" xfId="0" applyNumberFormat="1" applyFont="1" applyBorder="1"/>
    <xf numFmtId="10" fontId="3" fillId="6" borderId="4" xfId="0" applyNumberFormat="1" applyFont="1" applyFill="1" applyBorder="1" applyAlignment="1">
      <alignment horizontal="center" vertical="center"/>
    </xf>
    <xf numFmtId="9" fontId="3" fillId="6" borderId="4" xfId="0" applyNumberFormat="1" applyFont="1" applyFill="1" applyBorder="1" applyAlignment="1">
      <alignment horizontal="center" vertical="center" wrapText="1"/>
    </xf>
    <xf numFmtId="9" fontId="2" fillId="3" borderId="4" xfId="0" applyNumberFormat="1" applyFont="1" applyFill="1" applyBorder="1" applyAlignment="1">
      <alignment horizontal="center" vertical="center" wrapText="1"/>
    </xf>
    <xf numFmtId="0" fontId="1" fillId="0" borderId="4" xfId="0" applyFont="1" applyBorder="1"/>
    <xf numFmtId="165" fontId="1" fillId="5" borderId="4" xfId="0" applyNumberFormat="1" applyFont="1" applyFill="1" applyBorder="1"/>
    <xf numFmtId="0" fontId="1" fillId="8" borderId="4" xfId="0" applyFont="1" applyFill="1" applyBorder="1"/>
    <xf numFmtId="3" fontId="1" fillId="8" borderId="4" xfId="0" applyNumberFormat="1" applyFont="1" applyFill="1" applyBorder="1"/>
    <xf numFmtId="164" fontId="1" fillId="8" borderId="4" xfId="0" applyNumberFormat="1" applyFont="1" applyFill="1" applyBorder="1"/>
    <xf numFmtId="0" fontId="1" fillId="9" borderId="4" xfId="0" applyFont="1" applyFill="1" applyBorder="1"/>
    <xf numFmtId="3" fontId="1" fillId="9" borderId="4" xfId="0" applyNumberFormat="1" applyFont="1" applyFill="1" applyBorder="1"/>
    <xf numFmtId="164" fontId="1" fillId="9" borderId="4" xfId="0" applyNumberFormat="1" applyFont="1" applyFill="1" applyBorder="1"/>
    <xf numFmtId="10" fontId="1" fillId="0" borderId="4" xfId="0" applyNumberFormat="1" applyFont="1" applyBorder="1" applyAlignment="1">
      <alignment horizontal="center"/>
    </xf>
    <xf numFmtId="165" fontId="1" fillId="0" borderId="0" xfId="0" applyNumberFormat="1" applyFont="1"/>
    <xf numFmtId="9" fontId="1" fillId="0" borderId="4" xfId="0" applyNumberFormat="1" applyFont="1" applyBorder="1" applyAlignment="1">
      <alignment horizontal="center"/>
    </xf>
    <xf numFmtId="0" fontId="3" fillId="10" borderId="4" xfId="0" applyFont="1" applyFill="1" applyBorder="1"/>
    <xf numFmtId="165" fontId="3" fillId="10" borderId="4" xfId="0" applyNumberFormat="1" applyFont="1" applyFill="1" applyBorder="1"/>
    <xf numFmtId="0" fontId="2" fillId="3" borderId="10" xfId="0" applyFont="1" applyFill="1" applyBorder="1"/>
    <xf numFmtId="0" fontId="1" fillId="0" borderId="1" xfId="0" applyFont="1" applyBorder="1"/>
    <xf numFmtId="0" fontId="1" fillId="0" borderId="2" xfId="0" applyFont="1" applyBorder="1"/>
    <xf numFmtId="165" fontId="1" fillId="0" borderId="2" xfId="0" applyNumberFormat="1" applyFont="1" applyBorder="1"/>
    <xf numFmtId="0" fontId="1" fillId="0" borderId="12" xfId="0" applyFont="1" applyBorder="1"/>
    <xf numFmtId="0" fontId="1" fillId="0" borderId="13" xfId="0" applyFont="1" applyBorder="1"/>
    <xf numFmtId="0" fontId="1" fillId="0" borderId="14" xfId="0" applyFont="1" applyBorder="1"/>
    <xf numFmtId="9" fontId="1" fillId="0" borderId="0" xfId="0" applyNumberFormat="1" applyFont="1" applyAlignment="1">
      <alignment horizontal="center"/>
    </xf>
    <xf numFmtId="0" fontId="1" fillId="0" borderId="15" xfId="0" applyFont="1" applyBorder="1"/>
    <xf numFmtId="0" fontId="1" fillId="0" borderId="16" xfId="0" applyFont="1" applyBorder="1"/>
    <xf numFmtId="165" fontId="1" fillId="0" borderId="16" xfId="0" applyNumberFormat="1" applyFont="1" applyBorder="1"/>
    <xf numFmtId="0" fontId="2" fillId="3" borderId="17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  <xf numFmtId="0" fontId="3" fillId="0" borderId="1" xfId="0" applyFont="1" applyBorder="1"/>
    <xf numFmtId="9" fontId="1" fillId="0" borderId="14" xfId="0" applyNumberFormat="1" applyFont="1" applyBorder="1" applyAlignment="1">
      <alignment horizontal="center"/>
    </xf>
    <xf numFmtId="0" fontId="5" fillId="11" borderId="4" xfId="0" applyFont="1" applyFill="1" applyBorder="1" applyAlignment="1">
      <alignment horizontal="center"/>
    </xf>
    <xf numFmtId="0" fontId="6" fillId="11" borderId="10" xfId="0" applyFont="1" applyFill="1" applyBorder="1" applyAlignment="1">
      <alignment horizontal="left"/>
    </xf>
    <xf numFmtId="0" fontId="3" fillId="0" borderId="15" xfId="0" applyFont="1" applyBorder="1"/>
    <xf numFmtId="165" fontId="3" fillId="0" borderId="16" xfId="0" applyNumberFormat="1" applyFont="1" applyBorder="1"/>
    <xf numFmtId="0" fontId="2" fillId="3" borderId="8" xfId="0" applyFont="1" applyFill="1" applyBorder="1" applyAlignment="1">
      <alignment horizontal="center" vertical="center"/>
    </xf>
    <xf numFmtId="0" fontId="4" fillId="0" borderId="9" xfId="0" applyFont="1" applyBorder="1"/>
    <xf numFmtId="0" fontId="2" fillId="3" borderId="8" xfId="0" applyFont="1" applyFill="1" applyBorder="1" applyAlignment="1">
      <alignment horizontal="center" vertical="center" wrapText="1"/>
    </xf>
    <xf numFmtId="0" fontId="4" fillId="0" borderId="11" xfId="0" applyFont="1" applyBorder="1"/>
    <xf numFmtId="0" fontId="5" fillId="11" borderId="1" xfId="0" applyFont="1" applyFill="1" applyBorder="1" applyAlignment="1">
      <alignment horizontal="center"/>
    </xf>
    <xf numFmtId="0" fontId="4" fillId="0" borderId="3" xfId="0" applyFont="1" applyBorder="1"/>
    <xf numFmtId="0" fontId="2" fillId="2" borderId="1" xfId="0" applyFont="1" applyFill="1" applyBorder="1" applyAlignment="1">
      <alignment horizontal="center"/>
    </xf>
    <xf numFmtId="0" fontId="4" fillId="0" borderId="2" xfId="0" applyFont="1" applyBorder="1"/>
    <xf numFmtId="0" fontId="2" fillId="2" borderId="5" xfId="0" applyFont="1" applyFill="1" applyBorder="1" applyAlignment="1">
      <alignment horizontal="center"/>
    </xf>
    <xf numFmtId="0" fontId="4" fillId="0" borderId="6" xfId="0" applyFont="1" applyBorder="1"/>
    <xf numFmtId="0" fontId="4" fillId="0" borderId="7" xfId="0" applyFont="1" applyBorder="1"/>
    <xf numFmtId="168" fontId="1" fillId="0" borderId="4" xfId="0" applyNumberFormat="1" applyFont="1" applyBorder="1"/>
    <xf numFmtId="168" fontId="1" fillId="0" borderId="0" xfId="0" applyNumberFormat="1" applyFont="1"/>
    <xf numFmtId="14" fontId="3" fillId="4" borderId="4" xfId="0" applyNumberFormat="1" applyFont="1" applyFill="1" applyBorder="1" applyAlignment="1">
      <alignment horizontal="left" vertical="center"/>
    </xf>
    <xf numFmtId="168" fontId="1" fillId="5" borderId="4" xfId="0" applyNumberFormat="1" applyFont="1" applyFill="1" applyBorder="1"/>
    <xf numFmtId="168" fontId="3" fillId="10" borderId="4" xfId="0" applyNumberFormat="1" applyFont="1" applyFill="1" applyBorder="1"/>
    <xf numFmtId="0" fontId="4" fillId="0" borderId="9" xfId="0" applyFont="1" applyBorder="1" applyAlignment="1">
      <alignment wrapText="1"/>
    </xf>
    <xf numFmtId="168" fontId="1" fillId="0" borderId="11" xfId="0" applyNumberFormat="1" applyFont="1" applyBorder="1"/>
    <xf numFmtId="0" fontId="2" fillId="3" borderId="17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3" borderId="17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1" fillId="0" borderId="4" xfId="0" applyFont="1" applyFill="1" applyBorder="1"/>
    <xf numFmtId="164" fontId="1" fillId="0" borderId="4" xfId="0" applyNumberFormat="1" applyFont="1" applyFill="1" applyBorder="1"/>
    <xf numFmtId="10" fontId="1" fillId="0" borderId="4" xfId="0" applyNumberFormat="1" applyFont="1" applyFill="1" applyBorder="1"/>
    <xf numFmtId="165" fontId="1" fillId="0" borderId="4" xfId="1" applyNumberFormat="1" applyFont="1" applyBorder="1" applyAlignment="1">
      <alignment horizontal="center"/>
    </xf>
    <xf numFmtId="168" fontId="0" fillId="0" borderId="0" xfId="0" applyNumberFormat="1"/>
    <xf numFmtId="0" fontId="1" fillId="0" borderId="13" xfId="0" applyFont="1" applyBorder="1" applyAlignment="1">
      <alignment horizontal="left"/>
    </xf>
    <xf numFmtId="168" fontId="1" fillId="0" borderId="13" xfId="0" applyNumberFormat="1" applyFont="1" applyBorder="1" applyAlignment="1">
      <alignment horizontal="left"/>
    </xf>
    <xf numFmtId="168" fontId="1" fillId="0" borderId="11" xfId="0" applyNumberFormat="1" applyFont="1" applyBorder="1" applyAlignment="1">
      <alignment horizontal="left"/>
    </xf>
    <xf numFmtId="168" fontId="1" fillId="0" borderId="20" xfId="0" applyNumberFormat="1" applyFont="1" applyBorder="1" applyAlignment="1">
      <alignment horizontal="left"/>
    </xf>
    <xf numFmtId="168" fontId="1" fillId="0" borderId="16" xfId="0" applyNumberFormat="1" applyFont="1" applyBorder="1" applyAlignment="1">
      <alignment horizontal="left"/>
    </xf>
    <xf numFmtId="168" fontId="1" fillId="0" borderId="19" xfId="0" applyNumberFormat="1" applyFont="1" applyBorder="1" applyAlignment="1">
      <alignment horizontal="left"/>
    </xf>
    <xf numFmtId="168" fontId="1" fillId="0" borderId="13" xfId="0" applyNumberFormat="1" applyFont="1" applyBorder="1" applyAlignment="1">
      <alignment horizontal="left"/>
    </xf>
    <xf numFmtId="168" fontId="1" fillId="0" borderId="18" xfId="0" applyNumberFormat="1" applyFont="1" applyBorder="1" applyAlignment="1">
      <alignment horizontal="left"/>
    </xf>
    <xf numFmtId="168" fontId="3" fillId="0" borderId="2" xfId="0" applyNumberFormat="1" applyFont="1" applyBorder="1" applyAlignment="1">
      <alignment horizontal="left"/>
    </xf>
    <xf numFmtId="168" fontId="3" fillId="0" borderId="3" xfId="0" applyNumberFormat="1" applyFont="1" applyBorder="1" applyAlignment="1">
      <alignment horizontal="left"/>
    </xf>
    <xf numFmtId="0" fontId="1" fillId="0" borderId="11" xfId="0" applyFont="1" applyBorder="1"/>
    <xf numFmtId="0" fontId="0" fillId="0" borderId="11" xfId="0" applyBorder="1"/>
    <xf numFmtId="0" fontId="1" fillId="0" borderId="11" xfId="0" applyFont="1" applyBorder="1" applyAlignment="1">
      <alignment horizontal="center"/>
    </xf>
    <xf numFmtId="0" fontId="5" fillId="11" borderId="15" xfId="0" applyFont="1" applyFill="1" applyBorder="1" applyAlignment="1">
      <alignment horizontal="center"/>
    </xf>
    <xf numFmtId="168" fontId="1" fillId="0" borderId="11" xfId="0" applyNumberFormat="1" applyFont="1" applyBorder="1" applyAlignment="1">
      <alignment horizontal="left"/>
    </xf>
    <xf numFmtId="0" fontId="5" fillId="11" borderId="11" xfId="0" applyFont="1" applyFill="1" applyBorder="1" applyAlignment="1">
      <alignment horizontal="center"/>
    </xf>
    <xf numFmtId="0" fontId="1" fillId="0" borderId="22" xfId="0" applyFont="1" applyBorder="1"/>
    <xf numFmtId="0" fontId="5" fillId="11" borderId="24" xfId="0" applyFont="1" applyFill="1" applyBorder="1" applyAlignment="1">
      <alignment horizontal="center"/>
    </xf>
    <xf numFmtId="0" fontId="4" fillId="0" borderId="25" xfId="0" applyFont="1" applyBorder="1"/>
    <xf numFmtId="0" fontId="1" fillId="0" borderId="26" xfId="0" applyFont="1" applyBorder="1"/>
    <xf numFmtId="0" fontId="4" fillId="0" borderId="27" xfId="0" applyFont="1" applyBorder="1"/>
    <xf numFmtId="0" fontId="1" fillId="0" borderId="28" xfId="0" applyFont="1" applyBorder="1"/>
    <xf numFmtId="9" fontId="0" fillId="0" borderId="11" xfId="0" applyNumberFormat="1" applyBorder="1" applyAlignment="1">
      <alignment horizontal="center" vertical="center"/>
    </xf>
    <xf numFmtId="9" fontId="1" fillId="0" borderId="11" xfId="0" applyNumberFormat="1" applyFont="1" applyBorder="1" applyAlignment="1">
      <alignment horizontal="center"/>
    </xf>
    <xf numFmtId="0" fontId="1" fillId="0" borderId="29" xfId="0" applyFont="1" applyBorder="1"/>
    <xf numFmtId="0" fontId="1" fillId="0" borderId="31" xfId="0" applyFont="1" applyBorder="1"/>
    <xf numFmtId="0" fontId="1" fillId="0" borderId="32" xfId="0" applyFont="1" applyBorder="1"/>
    <xf numFmtId="168" fontId="1" fillId="0" borderId="32" xfId="0" applyNumberFormat="1" applyFont="1" applyBorder="1" applyAlignment="1">
      <alignment horizontal="left"/>
    </xf>
    <xf numFmtId="168" fontId="1" fillId="0" borderId="33" xfId="0" applyNumberFormat="1" applyFont="1" applyBorder="1" applyAlignment="1">
      <alignment horizontal="left"/>
    </xf>
    <xf numFmtId="0" fontId="5" fillId="11" borderId="34" xfId="0" applyFont="1" applyFill="1" applyBorder="1" applyAlignment="1">
      <alignment horizontal="center"/>
    </xf>
    <xf numFmtId="0" fontId="4" fillId="0" borderId="35" xfId="0" applyFont="1" applyBorder="1"/>
    <xf numFmtId="0" fontId="2" fillId="3" borderId="36" xfId="0" applyFont="1" applyFill="1" applyBorder="1"/>
    <xf numFmtId="0" fontId="2" fillId="3" borderId="37" xfId="0" applyFont="1" applyFill="1" applyBorder="1"/>
    <xf numFmtId="0" fontId="2" fillId="3" borderId="38" xfId="0" applyFont="1" applyFill="1" applyBorder="1" applyAlignment="1">
      <alignment horizontal="center"/>
    </xf>
    <xf numFmtId="0" fontId="4" fillId="0" borderId="39" xfId="0" applyFont="1" applyBorder="1"/>
    <xf numFmtId="0" fontId="3" fillId="0" borderId="21" xfId="0" applyFont="1" applyBorder="1"/>
    <xf numFmtId="9" fontId="1" fillId="0" borderId="28" xfId="0" applyNumberFormat="1" applyFont="1" applyBorder="1" applyAlignment="1">
      <alignment horizontal="center"/>
    </xf>
    <xf numFmtId="165" fontId="1" fillId="0" borderId="11" xfId="0" applyNumberFormat="1" applyFont="1" applyBorder="1"/>
    <xf numFmtId="0" fontId="4" fillId="0" borderId="40" xfId="0" applyFont="1" applyBorder="1"/>
    <xf numFmtId="0" fontId="3" fillId="0" borderId="30" xfId="0" applyFont="1" applyBorder="1"/>
    <xf numFmtId="0" fontId="3" fillId="0" borderId="31" xfId="0" applyFont="1" applyBorder="1"/>
    <xf numFmtId="168" fontId="3" fillId="0" borderId="41" xfId="0" applyNumberFormat="1" applyFont="1" applyBorder="1" applyAlignment="1">
      <alignment horizontal="left"/>
    </xf>
    <xf numFmtId="168" fontId="3" fillId="0" borderId="42" xfId="0" applyNumberFormat="1" applyFont="1" applyBorder="1" applyAlignment="1">
      <alignment horizontal="left"/>
    </xf>
    <xf numFmtId="0" fontId="8" fillId="12" borderId="36" xfId="0" applyFont="1" applyFill="1" applyBorder="1"/>
    <xf numFmtId="0" fontId="9" fillId="12" borderId="37" xfId="0" applyFont="1" applyFill="1" applyBorder="1"/>
    <xf numFmtId="168" fontId="9" fillId="12" borderId="37" xfId="0" applyNumberFormat="1" applyFont="1" applyFill="1" applyBorder="1" applyAlignment="1">
      <alignment horizontal="left"/>
    </xf>
    <xf numFmtId="0" fontId="10" fillId="13" borderId="37" xfId="0" applyFont="1" applyFill="1" applyBorder="1" applyAlignment="1">
      <alignment horizontal="center"/>
    </xf>
    <xf numFmtId="0" fontId="9" fillId="12" borderId="39" xfId="0" applyFont="1" applyFill="1" applyBorder="1"/>
    <xf numFmtId="168" fontId="3" fillId="0" borderId="22" xfId="0" applyNumberFormat="1" applyFont="1" applyBorder="1" applyAlignment="1">
      <alignment horizontal="left"/>
    </xf>
    <xf numFmtId="168" fontId="3" fillId="0" borderId="23" xfId="0" applyNumberFormat="1" applyFont="1" applyBorder="1" applyAlignment="1">
      <alignment horizontal="left"/>
    </xf>
    <xf numFmtId="0" fontId="11" fillId="0" borderId="11" xfId="0" applyFont="1" applyBorder="1"/>
    <xf numFmtId="0" fontId="7" fillId="0" borderId="0" xfId="0" applyFont="1"/>
    <xf numFmtId="0" fontId="12" fillId="0" borderId="0" xfId="0" applyFont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eetMetadata" Target="metadata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B997"/>
  <sheetViews>
    <sheetView tabSelected="1" view="pageLayout" zoomScaleNormal="60" workbookViewId="0">
      <selection sqref="A1:R45"/>
    </sheetView>
  </sheetViews>
  <sheetFormatPr defaultColWidth="14.453125" defaultRowHeight="15" customHeight="1" x14ac:dyDescent="0.35"/>
  <cols>
    <col min="1" max="1" width="11.7265625" customWidth="1"/>
    <col min="2" max="3" width="15.36328125" bestFit="1" customWidth="1"/>
    <col min="4" max="4" width="14.26953125" bestFit="1" customWidth="1"/>
    <col min="5" max="5" width="17.26953125" bestFit="1" customWidth="1"/>
    <col min="6" max="6" width="14.6328125" customWidth="1"/>
    <col min="7" max="7" width="16.26953125" customWidth="1"/>
    <col min="8" max="8" width="12.6328125" customWidth="1"/>
    <col min="9" max="10" width="12.6328125" bestFit="1" customWidth="1"/>
    <col min="11" max="11" width="14.26953125" bestFit="1" customWidth="1"/>
    <col min="12" max="12" width="12.6328125" bestFit="1" customWidth="1"/>
    <col min="13" max="13" width="14.26953125" bestFit="1" customWidth="1"/>
    <col min="14" max="14" width="12.6328125" bestFit="1" customWidth="1"/>
    <col min="15" max="15" width="20.90625" bestFit="1" customWidth="1"/>
    <col min="16" max="16" width="7.453125" customWidth="1"/>
    <col min="17" max="17" width="14.26953125" customWidth="1"/>
    <col min="18" max="18" width="15.36328125" bestFit="1" customWidth="1"/>
    <col min="19" max="19" width="8.81640625" customWidth="1"/>
    <col min="20" max="20" width="16.81640625" bestFit="1" customWidth="1"/>
    <col min="21" max="28" width="8.81640625" customWidth="1"/>
  </cols>
  <sheetData>
    <row r="1" spans="1:28" ht="23.5" x14ac:dyDescent="0.35">
      <c r="A1" s="133" t="s">
        <v>1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Y1" s="1"/>
    </row>
    <row r="2" spans="1:28" ht="14.5" x14ac:dyDescent="0.35">
      <c r="A2" s="2"/>
      <c r="Y2" s="1"/>
    </row>
    <row r="3" spans="1:28" ht="14.5" x14ac:dyDescent="0.35">
      <c r="A3" s="3" t="s">
        <v>5</v>
      </c>
      <c r="B3" s="4" t="s">
        <v>78</v>
      </c>
      <c r="Y3" s="1"/>
    </row>
    <row r="4" spans="1:28" ht="14.5" x14ac:dyDescent="0.35">
      <c r="A4" s="3" t="s">
        <v>79</v>
      </c>
      <c r="B4" s="67">
        <v>45569</v>
      </c>
      <c r="Y4" s="1"/>
    </row>
    <row r="5" spans="1:28" ht="14.5" x14ac:dyDescent="0.35">
      <c r="A5" s="5" t="s">
        <v>7</v>
      </c>
      <c r="B5" s="4" t="s">
        <v>8</v>
      </c>
      <c r="Y5" s="1"/>
    </row>
    <row r="6" spans="1:28" ht="14.5" x14ac:dyDescent="0.35">
      <c r="Y6" s="1"/>
    </row>
    <row r="7" spans="1:28" ht="15.75" customHeight="1" x14ac:dyDescent="0.35">
      <c r="A7" s="54" t="s">
        <v>13</v>
      </c>
      <c r="B7" s="54" t="s">
        <v>15</v>
      </c>
      <c r="C7" s="56" t="s">
        <v>86</v>
      </c>
      <c r="D7" s="74" t="s">
        <v>87</v>
      </c>
      <c r="E7" s="72" t="s">
        <v>88</v>
      </c>
      <c r="F7" s="54" t="s">
        <v>19</v>
      </c>
      <c r="G7" s="56" t="s">
        <v>21</v>
      </c>
      <c r="H7" s="54" t="s">
        <v>23</v>
      </c>
      <c r="I7" s="10" t="s">
        <v>80</v>
      </c>
      <c r="J7" s="10" t="s">
        <v>81</v>
      </c>
      <c r="K7" s="12" t="s">
        <v>82</v>
      </c>
      <c r="L7" s="14" t="s">
        <v>83</v>
      </c>
      <c r="M7" s="14" t="s">
        <v>84</v>
      </c>
      <c r="N7" s="14" t="s">
        <v>85</v>
      </c>
      <c r="O7" s="56" t="s">
        <v>34</v>
      </c>
      <c r="P7" s="56" t="s">
        <v>35</v>
      </c>
      <c r="Q7" s="54" t="s">
        <v>36</v>
      </c>
      <c r="R7" s="56" t="s">
        <v>37</v>
      </c>
      <c r="S7" s="16"/>
      <c r="T7" s="16"/>
      <c r="U7" s="16"/>
      <c r="V7" s="16"/>
      <c r="W7" s="16"/>
      <c r="X7" s="16"/>
      <c r="Y7" s="16"/>
      <c r="Z7" s="16"/>
      <c r="AA7" s="16"/>
      <c r="AB7" s="16"/>
    </row>
    <row r="8" spans="1:28" ht="14.5" x14ac:dyDescent="0.35">
      <c r="A8" s="55"/>
      <c r="B8" s="55"/>
      <c r="C8" s="70"/>
      <c r="D8" s="75"/>
      <c r="E8" s="73"/>
      <c r="F8" s="55"/>
      <c r="G8" s="70"/>
      <c r="H8" s="55"/>
      <c r="I8" s="19">
        <v>1.2699999999999999E-2</v>
      </c>
      <c r="J8" s="19">
        <v>3.0000000000000001E-3</v>
      </c>
      <c r="K8" s="20">
        <v>0.04</v>
      </c>
      <c r="L8" s="21">
        <v>0.01</v>
      </c>
      <c r="M8" s="21">
        <v>0.02</v>
      </c>
      <c r="N8" s="21">
        <v>0.01</v>
      </c>
      <c r="O8" s="55"/>
      <c r="P8" s="55"/>
      <c r="Q8" s="55"/>
      <c r="R8" s="55"/>
      <c r="S8" s="16"/>
      <c r="T8" s="16"/>
      <c r="U8" s="16"/>
      <c r="V8" s="16"/>
      <c r="W8" s="16"/>
      <c r="X8" s="16"/>
      <c r="Y8" s="16"/>
      <c r="Z8" s="16"/>
      <c r="AA8" s="16"/>
      <c r="AB8" s="16"/>
    </row>
    <row r="9" spans="1:28" ht="14.5" x14ac:dyDescent="0.35">
      <c r="A9" s="22" t="s">
        <v>39</v>
      </c>
      <c r="B9" s="65">
        <v>4827725.4906000001</v>
      </c>
      <c r="C9" s="65">
        <v>1609241.8302000002</v>
      </c>
      <c r="D9" s="65">
        <f>18*19870</f>
        <v>357660</v>
      </c>
      <c r="E9" s="65">
        <f>18*15270</f>
        <v>274860</v>
      </c>
      <c r="F9" s="65"/>
      <c r="G9" s="65"/>
      <c r="H9" s="65"/>
      <c r="I9" s="68">
        <f>(B9+C9)*$I$8</f>
        <v>81749.484974160005</v>
      </c>
      <c r="J9" s="68">
        <f>(B9+C9)*$J$8</f>
        <v>19310.901962400003</v>
      </c>
      <c r="K9" s="68">
        <f>$K$8 * MIN(B9+C9, 12000000)</f>
        <v>257478.69283200003</v>
      </c>
      <c r="L9" s="65">
        <f>$L$8 * MIN(B9+C9, 11086300)</f>
        <v>64369.673208000007</v>
      </c>
      <c r="M9" s="65">
        <f>(B9+C9)*$M$8</f>
        <v>128739.34641600001</v>
      </c>
      <c r="N9" s="65">
        <f>$N$8*MIN(B9+C9,12000000)</f>
        <v>64369.673208000007</v>
      </c>
      <c r="O9" s="65">
        <f>SUM(B9:H9)</f>
        <v>7069487.3208000008</v>
      </c>
      <c r="P9" s="30" cm="1">
        <f t="array" ref="P9">INDEX(rgTarifPajak,MATCH(1,(VLOOKUP($B$5,tabPTKP,3,FALSE)=rgKategori) *(O9&gt;=rgPenghasilanMulai)*(O9&lt;=rgPenghasilanSampai),0))</f>
        <v>1.2500000000000001E-2</v>
      </c>
      <c r="Q9" s="65">
        <f t="shared" ref="Q9:Q19" si="0">+P9*O9</f>
        <v>88368.591510000013</v>
      </c>
      <c r="R9" s="65">
        <f>SUM(B9:H9)-SUM(L9:N9)-Q9</f>
        <v>6723640.0364580015</v>
      </c>
      <c r="T9" s="80"/>
      <c r="Y9" s="1"/>
    </row>
    <row r="10" spans="1:28" ht="14.5" x14ac:dyDescent="0.35">
      <c r="A10" s="22" t="s">
        <v>48</v>
      </c>
      <c r="B10" s="65">
        <v>4827725.4906000001</v>
      </c>
      <c r="C10" s="65">
        <v>1609241.8302000002</v>
      </c>
      <c r="D10" s="65">
        <f>21*19870</f>
        <v>417270</v>
      </c>
      <c r="E10" s="65">
        <f>21*15270</f>
        <v>320670</v>
      </c>
      <c r="F10" s="65"/>
      <c r="G10" s="65"/>
      <c r="H10" s="65"/>
      <c r="I10" s="68">
        <f>(B10+C10)*$I$8</f>
        <v>81749.484974160005</v>
      </c>
      <c r="J10" s="68">
        <f>(B10+C10)*$J$8</f>
        <v>19310.901962400003</v>
      </c>
      <c r="K10" s="68">
        <f>$K$8 * MIN(B10+C10, 12000000)</f>
        <v>257478.69283200003</v>
      </c>
      <c r="L10" s="65">
        <f>$L$8 * MIN(B10+C10, 11086300)</f>
        <v>64369.673208000007</v>
      </c>
      <c r="M10" s="65">
        <f>(B10+C10)*$M$8</f>
        <v>128739.34641600001</v>
      </c>
      <c r="N10" s="65">
        <f>$N$8*MIN(B10+C10,12000000)</f>
        <v>64369.673208000007</v>
      </c>
      <c r="O10" s="65">
        <f>SUM(B10:H10)</f>
        <v>7174907.3208000008</v>
      </c>
      <c r="P10" s="30" cm="1">
        <f t="array" ref="P10">INDEX(rgTarifPajak,MATCH(1,(VLOOKUP($B$5,tabPTKP,3,FALSE)=rgKategori) * (O10&gt;=rgPenghasilanMulai) * (O10&lt;=rgPenghasilanSampai), 0))</f>
        <v>1.2500000000000001E-2</v>
      </c>
      <c r="Q10" s="65">
        <f t="shared" si="0"/>
        <v>89686.341510000013</v>
      </c>
      <c r="R10" s="65">
        <f>SUM(B10:H10)-SUM(L10:N10)-Q10</f>
        <v>6827742.2864580015</v>
      </c>
      <c r="T10" s="80"/>
      <c r="Y10" s="1"/>
    </row>
    <row r="11" spans="1:28" ht="14.5" x14ac:dyDescent="0.35">
      <c r="A11" s="22" t="s">
        <v>49</v>
      </c>
      <c r="B11" s="65">
        <v>4827725.4906000001</v>
      </c>
      <c r="C11" s="65">
        <v>1609241.8302000002</v>
      </c>
      <c r="D11" s="65">
        <f>18*19870</f>
        <v>357660</v>
      </c>
      <c r="E11" s="65">
        <f>18*15270</f>
        <v>274860</v>
      </c>
      <c r="F11" s="65">
        <f>B11+C11</f>
        <v>6436967.3208000008</v>
      </c>
      <c r="G11" s="65"/>
      <c r="H11" s="65"/>
      <c r="I11" s="68">
        <f>(B11+C11)*$I$8</f>
        <v>81749.484974160005</v>
      </c>
      <c r="J11" s="68">
        <f>(B11+C11)*$J$8</f>
        <v>19310.901962400003</v>
      </c>
      <c r="K11" s="68">
        <f>$K$8 * MIN(B11+C11, 12000000)</f>
        <v>257478.69283200003</v>
      </c>
      <c r="L11" s="65">
        <f>$L$8 * MIN(B11+C11, 11086300)</f>
        <v>64369.673208000007</v>
      </c>
      <c r="M11" s="65">
        <f>(B11+C11)*$M$8</f>
        <v>128739.34641600001</v>
      </c>
      <c r="N11" s="65">
        <f>$N$8*MIN(B11+C11,12000000)</f>
        <v>64369.673208000007</v>
      </c>
      <c r="O11" s="65">
        <f>SUM(B11:H11)</f>
        <v>13506454.641600002</v>
      </c>
      <c r="P11" s="30" cm="1">
        <f t="array" ref="P11">INDEX(rgTarifPajak,MATCH(1,(VLOOKUP($B$5,tabPTKP,3,FALSE)=rgKategori) * (O11&gt;=rgPenghasilanMulai) * (O11&lt;=rgPenghasilanSampai), 0))</f>
        <v>0.05</v>
      </c>
      <c r="Q11" s="65">
        <f t="shared" si="0"/>
        <v>675322.7320800001</v>
      </c>
      <c r="R11" s="65">
        <f>SUM(B11:H11)-SUM(L11:N11)-Q11</f>
        <v>12573653.216688002</v>
      </c>
      <c r="T11" s="80"/>
      <c r="Y11" s="1"/>
    </row>
    <row r="12" spans="1:28" ht="14.5" x14ac:dyDescent="0.35">
      <c r="A12" s="22" t="s">
        <v>50</v>
      </c>
      <c r="B12" s="65">
        <v>4827725.4906000001</v>
      </c>
      <c r="C12" s="65">
        <v>1609241.8302000002</v>
      </c>
      <c r="D12" s="65">
        <f>18*19870</f>
        <v>357660</v>
      </c>
      <c r="E12" s="65">
        <f>18*15270</f>
        <v>274860</v>
      </c>
      <c r="F12" s="65"/>
      <c r="G12" s="65"/>
      <c r="H12" s="65"/>
      <c r="I12" s="68">
        <f>(B12+C12)*$I$8</f>
        <v>81749.484974160005</v>
      </c>
      <c r="J12" s="68">
        <f>(B12+C12)*$J$8</f>
        <v>19310.901962400003</v>
      </c>
      <c r="K12" s="68">
        <f>$K$8 * MIN(B12+C12, 12000000)</f>
        <v>257478.69283200003</v>
      </c>
      <c r="L12" s="65">
        <f>$L$8 * MIN(B12+C12, 11086300)</f>
        <v>64369.673208000007</v>
      </c>
      <c r="M12" s="65">
        <f>(B12+C12)*$M$8</f>
        <v>128739.34641600001</v>
      </c>
      <c r="N12" s="65">
        <f>$N$8*MIN(B12+C12,12000000)</f>
        <v>64369.673208000007</v>
      </c>
      <c r="O12" s="65">
        <f>SUM(B12:H12)</f>
        <v>7069487.3208000008</v>
      </c>
      <c r="P12" s="30" cm="1">
        <f t="array" ref="P12">INDEX(rgTarifPajak,MATCH(1,(VLOOKUP($B$5,tabPTKP,3,FALSE)=rgKategori) * (O12&gt;=rgPenghasilanMulai) * (O12&lt;=rgPenghasilanSampai), 0))</f>
        <v>1.2500000000000001E-2</v>
      </c>
      <c r="Q12" s="65">
        <f t="shared" si="0"/>
        <v>88368.591510000013</v>
      </c>
      <c r="R12" s="65">
        <f>SUM(B12:H12)-SUM(L12:N12)-Q12</f>
        <v>6723640.0364580015</v>
      </c>
      <c r="T12" s="80"/>
      <c r="Y12" s="1"/>
    </row>
    <row r="13" spans="1:28" ht="14.5" x14ac:dyDescent="0.35">
      <c r="A13" s="22" t="s">
        <v>51</v>
      </c>
      <c r="B13" s="65">
        <v>4827725.4906000001</v>
      </c>
      <c r="C13" s="65">
        <v>1609241.8302000002</v>
      </c>
      <c r="D13" s="65">
        <f>20*19870</f>
        <v>397400</v>
      </c>
      <c r="E13" s="65">
        <f>20*15270</f>
        <v>305400</v>
      </c>
      <c r="F13" s="65"/>
      <c r="G13" s="65"/>
      <c r="H13" s="65"/>
      <c r="I13" s="68">
        <f>(B13+C13)*$I$8</f>
        <v>81749.484974160005</v>
      </c>
      <c r="J13" s="68">
        <f>(B13+C13)*$J$8</f>
        <v>19310.901962400003</v>
      </c>
      <c r="K13" s="68">
        <f>$K$8 * MIN(B13+C13, 12000000)</f>
        <v>257478.69283200003</v>
      </c>
      <c r="L13" s="65">
        <f>$L$8 * MIN(B13+C13, 11086300)</f>
        <v>64369.673208000007</v>
      </c>
      <c r="M13" s="65">
        <f>(B13+C13)*$M$8</f>
        <v>128739.34641600001</v>
      </c>
      <c r="N13" s="65">
        <f>$N$8*MIN(B13+C13,12000000)</f>
        <v>64369.673208000007</v>
      </c>
      <c r="O13" s="65">
        <f>SUM(B13:H13)</f>
        <v>7139767.3208000008</v>
      </c>
      <c r="P13" s="30" cm="1">
        <f t="array" ref="P13">INDEX(rgTarifPajak,MATCH(1,(VLOOKUP($B$5,tabPTKP,3,FALSE)=rgKategori) * (O13&gt;=rgPenghasilanMulai) * (O13&lt;=rgPenghasilanSampai), 0))</f>
        <v>1.2500000000000001E-2</v>
      </c>
      <c r="Q13" s="65">
        <f t="shared" si="0"/>
        <v>89247.091510000013</v>
      </c>
      <c r="R13" s="65">
        <f>SUM(B13:H13)-SUM(L13:N13)-Q13</f>
        <v>6793041.5364580015</v>
      </c>
      <c r="T13" s="80"/>
      <c r="Y13" s="1"/>
    </row>
    <row r="14" spans="1:28" ht="14.5" x14ac:dyDescent="0.35">
      <c r="A14" s="22" t="s">
        <v>52</v>
      </c>
      <c r="B14" s="65">
        <v>4827725.4906000001</v>
      </c>
      <c r="C14" s="65">
        <v>1609241.8302000002</v>
      </c>
      <c r="D14" s="65">
        <f>18*19870</f>
        <v>357660</v>
      </c>
      <c r="E14" s="65">
        <f>18*15270</f>
        <v>274860</v>
      </c>
      <c r="F14" s="65"/>
      <c r="G14" s="65"/>
      <c r="H14" s="65"/>
      <c r="I14" s="68">
        <f>(B14+C14)*$I$8</f>
        <v>81749.484974160005</v>
      </c>
      <c r="J14" s="68">
        <f>(B14+C14)*$J$8</f>
        <v>19310.901962400003</v>
      </c>
      <c r="K14" s="68">
        <f>$K$8 * MIN(B14+C14, 12000000)</f>
        <v>257478.69283200003</v>
      </c>
      <c r="L14" s="65">
        <f>$L$8 * MIN(B14+C14, 11086300)</f>
        <v>64369.673208000007</v>
      </c>
      <c r="M14" s="65">
        <f>(B14+C14)*$M$8</f>
        <v>128739.34641600001</v>
      </c>
      <c r="N14" s="65">
        <f>$N$8*MIN(B14+C14,12000000)</f>
        <v>64369.673208000007</v>
      </c>
      <c r="O14" s="65">
        <f>SUM(B14:H14)</f>
        <v>7069487.3208000008</v>
      </c>
      <c r="P14" s="30" cm="1">
        <f t="array" ref="P14">INDEX(rgTarifPajak,MATCH(1,(VLOOKUP($B$5,tabPTKP,3,FALSE)=rgKategori) * (O14&gt;=rgPenghasilanMulai) * (O14&lt;=rgPenghasilanSampai), 0))</f>
        <v>1.2500000000000001E-2</v>
      </c>
      <c r="Q14" s="65">
        <f t="shared" si="0"/>
        <v>88368.591510000013</v>
      </c>
      <c r="R14" s="65">
        <f>SUM(B14:H14)-SUM(L14:N14)-Q14</f>
        <v>6723640.0364580015</v>
      </c>
      <c r="T14" s="80"/>
      <c r="Y14" s="1"/>
    </row>
    <row r="15" spans="1:28" ht="14.5" x14ac:dyDescent="0.35">
      <c r="A15" s="22" t="s">
        <v>53</v>
      </c>
      <c r="B15" s="65">
        <v>4827725.4906000001</v>
      </c>
      <c r="C15" s="65">
        <v>1609241.8302000002</v>
      </c>
      <c r="D15" s="65">
        <f t="shared" ref="D15:D17" si="1">20*19870</f>
        <v>397400</v>
      </c>
      <c r="E15" s="65">
        <f>20*15270</f>
        <v>305400</v>
      </c>
      <c r="F15" s="65"/>
      <c r="G15" s="65"/>
      <c r="H15" s="65">
        <v>353475.08409017336</v>
      </c>
      <c r="I15" s="68">
        <f>(B15+C15)*$I$8</f>
        <v>81749.484974160005</v>
      </c>
      <c r="J15" s="68">
        <f>(B15+C15)*$J$8</f>
        <v>19310.901962400003</v>
      </c>
      <c r="K15" s="68">
        <f>$K$8 * MIN(B15+C15, 12000000)</f>
        <v>257478.69283200003</v>
      </c>
      <c r="L15" s="65">
        <f>$L$8 * MIN(B15+C15, 11086300)</f>
        <v>64369.673208000007</v>
      </c>
      <c r="M15" s="65">
        <f>(B15+C15)*$M$8</f>
        <v>128739.34641600001</v>
      </c>
      <c r="N15" s="65">
        <f>$N$8*MIN(B15+C15,12000000)</f>
        <v>64369.673208000007</v>
      </c>
      <c r="O15" s="65">
        <f>SUM(B15:H15)</f>
        <v>7493242.404890174</v>
      </c>
      <c r="P15" s="30" cm="1">
        <f t="array" ref="P15">INDEX(rgTarifPajak,MATCH(1,(VLOOKUP($B$5,tabPTKP,3,FALSE)=rgKategori) * (O15&gt;=rgPenghasilanMulai) * (O15&lt;=rgPenghasilanSampai), 0))</f>
        <v>1.2500000000000001E-2</v>
      </c>
      <c r="Q15" s="65">
        <f t="shared" si="0"/>
        <v>93665.530061127181</v>
      </c>
      <c r="R15" s="65">
        <f>SUM(B15:H15)-SUM(L15:N15)-Q15</f>
        <v>7142098.1819970468</v>
      </c>
      <c r="T15" s="80"/>
      <c r="Y15" s="1"/>
    </row>
    <row r="16" spans="1:28" ht="14.5" x14ac:dyDescent="0.35">
      <c r="A16" s="22" t="s">
        <v>54</v>
      </c>
      <c r="B16" s="65">
        <v>4827725.4906000001</v>
      </c>
      <c r="C16" s="65">
        <v>1609241.8302000002</v>
      </c>
      <c r="D16" s="65">
        <f>21*19870</f>
        <v>417270</v>
      </c>
      <c r="E16" s="65">
        <f>21*15270</f>
        <v>320670</v>
      </c>
      <c r="F16" s="65"/>
      <c r="G16" s="65"/>
      <c r="H16" s="65"/>
      <c r="I16" s="68">
        <f>(B16+C16)*$I$8</f>
        <v>81749.484974160005</v>
      </c>
      <c r="J16" s="68">
        <f>(B16+C16)*$J$8</f>
        <v>19310.901962400003</v>
      </c>
      <c r="K16" s="68">
        <f>$K$8 * MIN(B16+C16, 12000000)</f>
        <v>257478.69283200003</v>
      </c>
      <c r="L16" s="65">
        <f>$L$8 * MIN(B16+C16, 11086300)</f>
        <v>64369.673208000007</v>
      </c>
      <c r="M16" s="65">
        <f>(B16+C16)*$M$8</f>
        <v>128739.34641600001</v>
      </c>
      <c r="N16" s="65">
        <f>$N$8*MIN(B16+C16,12000000)</f>
        <v>64369.673208000007</v>
      </c>
      <c r="O16" s="65">
        <f>SUM(B16:H16)</f>
        <v>7174907.3208000008</v>
      </c>
      <c r="P16" s="30" cm="1">
        <f t="array" ref="P16">INDEX(rgTarifPajak,MATCH(1,(VLOOKUP($B$5,tabPTKP,3,FALSE)=rgKategori) * (O16&gt;=rgPenghasilanMulai) * (O16&lt;=rgPenghasilanSampai), 0))</f>
        <v>1.2500000000000001E-2</v>
      </c>
      <c r="Q16" s="65">
        <f t="shared" si="0"/>
        <v>89686.341510000013</v>
      </c>
      <c r="R16" s="65">
        <f>SUM(B16:H16)-SUM(L16:N16)-Q16</f>
        <v>6827742.2864580015</v>
      </c>
      <c r="T16" s="80"/>
      <c r="Y16" s="1"/>
    </row>
    <row r="17" spans="1:25" ht="14.5" x14ac:dyDescent="0.35">
      <c r="A17" s="22" t="s">
        <v>55</v>
      </c>
      <c r="B17" s="65">
        <v>4827725.4906000001</v>
      </c>
      <c r="C17" s="65">
        <v>1609241.8302000002</v>
      </c>
      <c r="D17" s="65">
        <f t="shared" si="1"/>
        <v>397400</v>
      </c>
      <c r="E17" s="65">
        <f>20*15270</f>
        <v>305400</v>
      </c>
      <c r="F17" s="65"/>
      <c r="G17" s="65"/>
      <c r="H17" s="65"/>
      <c r="I17" s="68">
        <f>(B17+C17)*$I$8</f>
        <v>81749.484974160005</v>
      </c>
      <c r="J17" s="68">
        <f>(B17+C17)*$J$8</f>
        <v>19310.901962400003</v>
      </c>
      <c r="K17" s="68">
        <f>$K$8 * MIN(B17+C17, 12000000)</f>
        <v>257478.69283200003</v>
      </c>
      <c r="L17" s="65">
        <f>$L$8 * MIN(B17+C17, 11086300)</f>
        <v>64369.673208000007</v>
      </c>
      <c r="M17" s="65">
        <f>(B17+C17)*$M$8</f>
        <v>128739.34641600001</v>
      </c>
      <c r="N17" s="65">
        <f>$N$8*MIN(B17+C17,12000000)</f>
        <v>64369.673208000007</v>
      </c>
      <c r="O17" s="65">
        <f>SUM(B17:H17)</f>
        <v>7139767.3208000008</v>
      </c>
      <c r="P17" s="30" cm="1">
        <f t="array" ref="P17">INDEX(rgTarifPajak,MATCH(1,(VLOOKUP($B$5,tabPTKP,3,FALSE)=rgKategori) * (O17&gt;=rgPenghasilanMulai) * (O17&lt;=rgPenghasilanSampai), 0))</f>
        <v>1.2500000000000001E-2</v>
      </c>
      <c r="Q17" s="65">
        <f t="shared" si="0"/>
        <v>89247.091510000013</v>
      </c>
      <c r="R17" s="65">
        <f>SUM(B17:H17)-SUM(L17:N17)-Q17</f>
        <v>6793041.5364580015</v>
      </c>
      <c r="T17" s="80"/>
      <c r="Y17" s="1"/>
    </row>
    <row r="18" spans="1:25" ht="14.5" x14ac:dyDescent="0.35">
      <c r="A18" s="22" t="s">
        <v>56</v>
      </c>
      <c r="B18" s="65">
        <v>4827725.4906000001</v>
      </c>
      <c r="C18" s="65">
        <v>1609241.8302000002</v>
      </c>
      <c r="D18" s="65">
        <f>22*19870</f>
        <v>437140</v>
      </c>
      <c r="E18" s="65">
        <f>22*15270</f>
        <v>335940</v>
      </c>
      <c r="F18" s="65"/>
      <c r="G18" s="65"/>
      <c r="H18" s="65"/>
      <c r="I18" s="68">
        <f>(B18+C18)*$I$8</f>
        <v>81749.484974160005</v>
      </c>
      <c r="J18" s="68">
        <f>(B18+C18)*$J$8</f>
        <v>19310.901962400003</v>
      </c>
      <c r="K18" s="68">
        <f>$K$8 * MIN(B18+C18, 12000000)</f>
        <v>257478.69283200003</v>
      </c>
      <c r="L18" s="65">
        <f>$L$8 * MIN(B18+C18, 11086300)</f>
        <v>64369.673208000007</v>
      </c>
      <c r="M18" s="65">
        <f>(B18+C18)*$M$8</f>
        <v>128739.34641600001</v>
      </c>
      <c r="N18" s="65">
        <f>$N$8*MIN(B18+C18,12000000)</f>
        <v>64369.673208000007</v>
      </c>
      <c r="O18" s="65">
        <f>SUM(B18:H18)</f>
        <v>7210047.3208000008</v>
      </c>
      <c r="P18" s="30" cm="1">
        <f t="array" ref="P18">INDEX(rgTarifPajak,MATCH(1,(VLOOKUP($B$5,tabPTKP,3,FALSE)=rgKategori) * (O18&gt;=rgPenghasilanMulai) * (O18&lt;=rgPenghasilanSampai), 0))</f>
        <v>1.2500000000000001E-2</v>
      </c>
      <c r="Q18" s="65">
        <f t="shared" si="0"/>
        <v>90125.591510000013</v>
      </c>
      <c r="R18" s="65">
        <f>SUM(B18:H18)-SUM(L18:N18)-Q18</f>
        <v>6862443.0364580015</v>
      </c>
      <c r="T18" s="80"/>
      <c r="Y18" s="1"/>
    </row>
    <row r="19" spans="1:25" ht="14.5" x14ac:dyDescent="0.35">
      <c r="A19" s="22" t="s">
        <v>57</v>
      </c>
      <c r="B19" s="65">
        <v>4827725.4906000001</v>
      </c>
      <c r="C19" s="65">
        <v>1609241.8302000002</v>
      </c>
      <c r="D19" s="65">
        <f>22*19870</f>
        <v>437140</v>
      </c>
      <c r="E19" s="65">
        <f>22*15270</f>
        <v>335940</v>
      </c>
      <c r="F19" s="65"/>
      <c r="G19" s="65"/>
      <c r="H19" s="65"/>
      <c r="I19" s="68">
        <f>(B19+C19)*$I$8</f>
        <v>81749.484974160005</v>
      </c>
      <c r="J19" s="68">
        <f>(B19+C19)*$J$8</f>
        <v>19310.901962400003</v>
      </c>
      <c r="K19" s="68">
        <f>$K$8 * MIN(B19+C19, 12000000)</f>
        <v>257478.69283200003</v>
      </c>
      <c r="L19" s="65">
        <f>$L$8 * MIN(B19+C19, 11086300)</f>
        <v>64369.673208000007</v>
      </c>
      <c r="M19" s="65">
        <f>(B19+C19)*$M$8</f>
        <v>128739.34641600001</v>
      </c>
      <c r="N19" s="65">
        <f>$N$8*MIN(B19+C19,12000000)</f>
        <v>64369.673208000007</v>
      </c>
      <c r="O19" s="65">
        <f>SUM(B19:H19)</f>
        <v>7210047.3208000008</v>
      </c>
      <c r="P19" s="30" cm="1">
        <f t="array" ref="P19">INDEX(rgTarifPajak,MATCH(1,(VLOOKUP($B$5,tabPTKP,3,FALSE)=rgKategori) * (O19&gt;=rgPenghasilanMulai) * (O19&lt;=rgPenghasilanSampai), 0))</f>
        <v>1.2500000000000001E-2</v>
      </c>
      <c r="Q19" s="65">
        <f t="shared" si="0"/>
        <v>90125.591510000013</v>
      </c>
      <c r="R19" s="65">
        <f>SUM(B19:H19)-SUM(L19:N19)-Q19</f>
        <v>6862443.0364580015</v>
      </c>
      <c r="T19" s="80"/>
      <c r="Y19" s="1"/>
    </row>
    <row r="20" spans="1:25" ht="15.75" customHeight="1" x14ac:dyDescent="0.35">
      <c r="A20" s="22" t="s">
        <v>58</v>
      </c>
      <c r="B20" s="65">
        <v>4827725.4906000001</v>
      </c>
      <c r="C20" s="65">
        <v>1609241.8302000002</v>
      </c>
      <c r="D20" s="65">
        <f>21*19870</f>
        <v>417270</v>
      </c>
      <c r="E20" s="65">
        <f>21*15270</f>
        <v>320670</v>
      </c>
      <c r="F20" s="66"/>
      <c r="G20" s="65"/>
      <c r="H20" s="65"/>
      <c r="I20" s="68">
        <f>(B20+C20)*$I$8</f>
        <v>81749.484974160005</v>
      </c>
      <c r="J20" s="68">
        <f>(B20+C20)*$J$8</f>
        <v>19310.901962400003</v>
      </c>
      <c r="K20" s="68">
        <f>$K$8 * MIN(B20+C20, 12000000)</f>
        <v>257478.69283200003</v>
      </c>
      <c r="L20" s="65">
        <f>$L$8 * MIN(B20+C20, 11086300)</f>
        <v>64369.673208000007</v>
      </c>
      <c r="M20" s="65">
        <f>(B20+C20)*$M$8</f>
        <v>128739.34641600001</v>
      </c>
      <c r="N20" s="65">
        <f>$N$8*MIN(B20+C20,12000000)</f>
        <v>64369.673208000007</v>
      </c>
      <c r="O20" s="65">
        <f>SUM(B20:H20)</f>
        <v>7174907.3208000008</v>
      </c>
      <c r="P20" s="79">
        <v>0</v>
      </c>
      <c r="Q20" s="65">
        <v>0</v>
      </c>
      <c r="R20" s="65">
        <f>SUM(B20:H20)-SUM(L20:N20)-Q20</f>
        <v>6917428.6279680012</v>
      </c>
      <c r="T20" s="80"/>
      <c r="Y20" s="1"/>
    </row>
    <row r="21" spans="1:25" ht="15.75" customHeight="1" x14ac:dyDescent="0.35">
      <c r="A21" s="33" t="s">
        <v>59</v>
      </c>
      <c r="B21" s="69">
        <f t="shared" ref="B21:N21" si="2">SUM(B9:B20)</f>
        <v>57932705.88719999</v>
      </c>
      <c r="C21" s="69">
        <f t="shared" si="2"/>
        <v>19310901.962400001</v>
      </c>
      <c r="D21" s="69">
        <f t="shared" si="2"/>
        <v>4748930</v>
      </c>
      <c r="E21" s="69">
        <f t="shared" si="2"/>
        <v>3649530</v>
      </c>
      <c r="F21" s="69">
        <f t="shared" si="2"/>
        <v>6436967.3208000008</v>
      </c>
      <c r="G21" s="69">
        <f t="shared" si="2"/>
        <v>0</v>
      </c>
      <c r="H21" s="69">
        <f t="shared" si="2"/>
        <v>353475.08409017336</v>
      </c>
      <c r="I21" s="69">
        <f t="shared" si="2"/>
        <v>980993.81968991982</v>
      </c>
      <c r="J21" s="69">
        <f t="shared" si="2"/>
        <v>231730.82354880005</v>
      </c>
      <c r="K21" s="69">
        <f t="shared" si="2"/>
        <v>3089744.3139840006</v>
      </c>
      <c r="L21" s="69">
        <f t="shared" si="2"/>
        <v>772436.07849600015</v>
      </c>
      <c r="M21" s="69">
        <f t="shared" si="2"/>
        <v>1544872.1569920003</v>
      </c>
      <c r="N21" s="69">
        <f t="shared" si="2"/>
        <v>772436.07849600015</v>
      </c>
      <c r="O21" s="69">
        <f>SUM(B21:K21)</f>
        <v>96734979.211712882</v>
      </c>
      <c r="P21" s="34">
        <v>0</v>
      </c>
      <c r="Q21" s="69">
        <v>0</v>
      </c>
      <c r="R21" s="69">
        <f t="shared" ref="R21" si="3">SUM(R9:R20)</f>
        <v>87770553.854775056</v>
      </c>
      <c r="Y21" s="1"/>
    </row>
    <row r="22" spans="1:25" ht="15.75" customHeight="1" x14ac:dyDescent="0.35">
      <c r="Y22" s="1"/>
    </row>
    <row r="23" spans="1:25" ht="15.75" customHeight="1" x14ac:dyDescent="0.35">
      <c r="A23" s="112" t="s">
        <v>89</v>
      </c>
      <c r="B23" s="113"/>
      <c r="C23" s="113"/>
      <c r="D23" s="113"/>
      <c r="E23" s="113"/>
      <c r="F23" s="113"/>
      <c r="G23" s="113"/>
      <c r="H23" s="114" t="s">
        <v>61</v>
      </c>
      <c r="I23" s="115"/>
      <c r="Y23" s="1"/>
    </row>
    <row r="24" spans="1:25" ht="15.75" customHeight="1" x14ac:dyDescent="0.35">
      <c r="A24" s="116" t="s">
        <v>62</v>
      </c>
      <c r="B24" s="97"/>
      <c r="C24" s="97"/>
      <c r="D24" s="97"/>
      <c r="E24" s="97"/>
      <c r="F24" s="129">
        <f>O21</f>
        <v>96734979.211712882</v>
      </c>
      <c r="G24" s="130"/>
      <c r="H24" s="98">
        <v>1</v>
      </c>
      <c r="I24" s="99"/>
      <c r="Y24" s="1"/>
    </row>
    <row r="25" spans="1:25" ht="15.75" customHeight="1" x14ac:dyDescent="0.35">
      <c r="A25" s="100" t="s">
        <v>63</v>
      </c>
      <c r="B25" s="40"/>
      <c r="C25" s="40"/>
      <c r="D25" s="40"/>
      <c r="E25" s="40"/>
      <c r="F25" s="81"/>
      <c r="G25" s="82"/>
      <c r="H25" s="58" t="s">
        <v>92</v>
      </c>
      <c r="I25" s="101"/>
      <c r="Y25" s="1"/>
    </row>
    <row r="26" spans="1:25" ht="15.75" customHeight="1" x14ac:dyDescent="0.35">
      <c r="A26" s="102" t="s">
        <v>93</v>
      </c>
      <c r="B26" s="92"/>
      <c r="C26" s="103">
        <v>0.05</v>
      </c>
      <c r="D26" s="131"/>
      <c r="E26" s="92"/>
      <c r="F26" s="83">
        <f>MIN(6000000,5%*F24)</f>
        <v>4836748.9605856445</v>
      </c>
      <c r="G26" s="84"/>
      <c r="H26" s="58">
        <v>2</v>
      </c>
      <c r="I26" s="101"/>
      <c r="Y26" s="1"/>
    </row>
    <row r="27" spans="1:25" ht="15.75" customHeight="1" x14ac:dyDescent="0.35">
      <c r="A27" s="102" t="s">
        <v>65</v>
      </c>
      <c r="B27" s="92"/>
      <c r="C27" s="104">
        <f>L8</f>
        <v>0.01</v>
      </c>
      <c r="D27" s="104"/>
      <c r="E27" s="104"/>
      <c r="F27" s="83">
        <f>L21</f>
        <v>772436.07849600015</v>
      </c>
      <c r="G27" s="84"/>
      <c r="H27" s="58">
        <v>3</v>
      </c>
      <c r="I27" s="101"/>
      <c r="Y27" s="1"/>
    </row>
    <row r="28" spans="1:25" ht="15.75" customHeight="1" x14ac:dyDescent="0.35">
      <c r="A28" s="102" t="s">
        <v>66</v>
      </c>
      <c r="B28" s="92"/>
      <c r="C28" s="104">
        <f>M8</f>
        <v>0.02</v>
      </c>
      <c r="D28" s="104"/>
      <c r="E28" s="104"/>
      <c r="F28" s="83">
        <f>M21</f>
        <v>1544872.1569920003</v>
      </c>
      <c r="G28" s="84"/>
      <c r="H28" s="58">
        <v>4</v>
      </c>
      <c r="I28" s="101"/>
      <c r="Y28" s="1"/>
    </row>
    <row r="29" spans="1:25" ht="15.75" customHeight="1" x14ac:dyDescent="0.35">
      <c r="A29" s="105"/>
      <c r="B29" s="44"/>
      <c r="C29" s="44"/>
      <c r="D29" s="44"/>
      <c r="E29" s="44"/>
      <c r="F29" s="85">
        <f>SUM(F26:F28)</f>
        <v>7154057.1960736448</v>
      </c>
      <c r="G29" s="86"/>
      <c r="H29" s="58" t="s">
        <v>67</v>
      </c>
      <c r="I29" s="101"/>
      <c r="Y29" s="1"/>
    </row>
    <row r="30" spans="1:25" ht="15.75" customHeight="1" x14ac:dyDescent="0.35">
      <c r="A30" s="120" t="s">
        <v>68</v>
      </c>
      <c r="B30" s="37"/>
      <c r="C30" s="37"/>
      <c r="D30" s="37"/>
      <c r="E30" s="37"/>
      <c r="F30" s="89">
        <f>F24-F29</f>
        <v>89580922.015639231</v>
      </c>
      <c r="G30" s="90"/>
      <c r="H30" s="58" t="s">
        <v>69</v>
      </c>
      <c r="I30" s="101"/>
      <c r="Y30" s="1"/>
    </row>
    <row r="31" spans="1:25" ht="15.75" customHeight="1" x14ac:dyDescent="0.35">
      <c r="A31" s="102" t="s">
        <v>70</v>
      </c>
      <c r="B31" s="92"/>
      <c r="C31" s="92"/>
      <c r="D31" s="92"/>
      <c r="E31" s="92"/>
      <c r="F31" s="87">
        <f>VLOOKUP($B$5,tabPTKP,2,FALSE)</f>
        <v>54000000</v>
      </c>
      <c r="G31" s="88"/>
      <c r="H31" s="58">
        <v>7</v>
      </c>
      <c r="I31" s="101"/>
      <c r="Y31" s="1"/>
    </row>
    <row r="32" spans="1:25" s="92" customFormat="1" ht="15.75" customHeight="1" x14ac:dyDescent="0.35">
      <c r="A32" s="106" t="s">
        <v>71</v>
      </c>
      <c r="B32" s="107"/>
      <c r="C32" s="107"/>
      <c r="D32" s="107"/>
      <c r="E32" s="107"/>
      <c r="F32" s="108">
        <f>ROUNDDOWN(F30-F31,-3)</f>
        <v>35580000</v>
      </c>
      <c r="G32" s="109"/>
      <c r="H32" s="110">
        <v>8</v>
      </c>
      <c r="I32" s="111"/>
      <c r="Y32" s="93"/>
    </row>
    <row r="33" spans="1:25" s="92" customFormat="1" ht="15.75" customHeight="1" x14ac:dyDescent="0.35">
      <c r="A33" s="91"/>
      <c r="B33" s="91"/>
      <c r="C33" s="91"/>
      <c r="D33" s="91"/>
      <c r="E33" s="91"/>
      <c r="F33" s="95"/>
      <c r="G33" s="95"/>
      <c r="H33" s="96"/>
      <c r="I33" s="57"/>
      <c r="Y33" s="93"/>
    </row>
    <row r="34" spans="1:25" s="92" customFormat="1" ht="15.75" customHeight="1" x14ac:dyDescent="0.35">
      <c r="A34" s="124" t="s">
        <v>72</v>
      </c>
      <c r="B34" s="125"/>
      <c r="C34" s="125"/>
      <c r="D34" s="125"/>
      <c r="E34" s="125"/>
      <c r="F34" s="126"/>
      <c r="G34" s="126"/>
      <c r="H34" s="127"/>
      <c r="I34" s="128"/>
      <c r="Y34" s="93"/>
    </row>
    <row r="35" spans="1:25" ht="15.75" customHeight="1" x14ac:dyDescent="0.35">
      <c r="A35" s="117">
        <v>0.05</v>
      </c>
      <c r="B35" s="93" t="s">
        <v>73</v>
      </c>
      <c r="C35" s="71">
        <f>MIN(F32,Referensi!M4)</f>
        <v>35580000</v>
      </c>
      <c r="D35" s="118"/>
      <c r="E35" s="118"/>
      <c r="F35" s="83">
        <f t="shared" ref="F35:F39" si="4">A35*C35</f>
        <v>1779000</v>
      </c>
      <c r="G35" s="84"/>
      <c r="H35" s="94">
        <v>9</v>
      </c>
      <c r="I35" s="119"/>
      <c r="Y35" s="1"/>
    </row>
    <row r="36" spans="1:25" ht="15.75" customHeight="1" x14ac:dyDescent="0.35">
      <c r="A36" s="117">
        <v>0.15</v>
      </c>
      <c r="B36" s="93" t="s">
        <v>73</v>
      </c>
      <c r="C36" s="71">
        <f>MIN(Referensi!M5,MAX(F32-Referensi!M4,0))</f>
        <v>0</v>
      </c>
      <c r="D36" s="118"/>
      <c r="E36" s="118"/>
      <c r="F36" s="83">
        <f t="shared" si="4"/>
        <v>0</v>
      </c>
      <c r="G36" s="84"/>
      <c r="H36" s="58">
        <v>10</v>
      </c>
      <c r="I36" s="101"/>
      <c r="Y36" s="1"/>
    </row>
    <row r="37" spans="1:25" ht="15.75" customHeight="1" x14ac:dyDescent="0.35">
      <c r="A37" s="117">
        <v>0.25</v>
      </c>
      <c r="B37" s="93" t="s">
        <v>73</v>
      </c>
      <c r="C37" s="71">
        <f>MIN(Referensi!M5,MAX(F32-Referensi!M4-Referensi!M5,0))</f>
        <v>0</v>
      </c>
      <c r="D37" s="118"/>
      <c r="E37" s="118"/>
      <c r="F37" s="83">
        <f t="shared" si="4"/>
        <v>0</v>
      </c>
      <c r="G37" s="84"/>
      <c r="H37" s="58">
        <v>11</v>
      </c>
      <c r="I37" s="101"/>
      <c r="Y37" s="1"/>
    </row>
    <row r="38" spans="1:25" ht="15.75" customHeight="1" x14ac:dyDescent="0.35">
      <c r="A38" s="117">
        <v>0.3</v>
      </c>
      <c r="B38" s="93" t="s">
        <v>73</v>
      </c>
      <c r="C38" s="71">
        <f>MIN(Referensi!M5,MAX(F32-Referensi!M4-Referensi!M5-Referensi!M6,0))</f>
        <v>0</v>
      </c>
      <c r="D38" s="118"/>
      <c r="E38" s="118"/>
      <c r="F38" s="83">
        <f t="shared" si="4"/>
        <v>0</v>
      </c>
      <c r="G38" s="84"/>
      <c r="H38" s="58">
        <v>12</v>
      </c>
      <c r="I38" s="101"/>
      <c r="Y38" s="1"/>
    </row>
    <row r="39" spans="1:25" ht="15.75" customHeight="1" x14ac:dyDescent="0.35">
      <c r="A39" s="117">
        <v>0.35</v>
      </c>
      <c r="B39" s="93" t="s">
        <v>73</v>
      </c>
      <c r="C39" s="71">
        <f>MIN(Referensi!M5,MAX(F32-Referensi!M4-Referensi!M5-Referensi!M6-Referensi!M7,0))</f>
        <v>0</v>
      </c>
      <c r="D39" s="118"/>
      <c r="E39" s="118"/>
      <c r="F39" s="83">
        <f t="shared" si="4"/>
        <v>0</v>
      </c>
      <c r="G39" s="84"/>
      <c r="H39" s="58">
        <v>13</v>
      </c>
      <c r="I39" s="101"/>
      <c r="Y39" s="1"/>
    </row>
    <row r="40" spans="1:25" ht="15.75" customHeight="1" x14ac:dyDescent="0.35">
      <c r="A40" s="105"/>
      <c r="B40" s="44"/>
      <c r="C40" s="45"/>
      <c r="D40" s="45"/>
      <c r="E40" s="45"/>
      <c r="F40" s="85">
        <f>SUM(F35:F39)</f>
        <v>1779000</v>
      </c>
      <c r="G40" s="86"/>
      <c r="H40" s="58" t="s">
        <v>74</v>
      </c>
      <c r="I40" s="101"/>
      <c r="Y40" s="1"/>
    </row>
    <row r="41" spans="1:25" ht="15.75" customHeight="1" x14ac:dyDescent="0.35">
      <c r="A41" s="120" t="s">
        <v>90</v>
      </c>
      <c r="B41" s="37"/>
      <c r="C41" s="37"/>
      <c r="D41" s="37"/>
      <c r="E41" s="37"/>
      <c r="F41" s="89">
        <f>SUM(Q9:Q19)</f>
        <v>1572212.0857311271</v>
      </c>
      <c r="G41" s="90"/>
      <c r="H41" s="58">
        <v>15</v>
      </c>
      <c r="I41" s="101"/>
      <c r="Y41" s="1"/>
    </row>
    <row r="42" spans="1:25" ht="15.75" customHeight="1" x14ac:dyDescent="0.35">
      <c r="A42" s="121" t="s">
        <v>91</v>
      </c>
      <c r="B42" s="107"/>
      <c r="C42" s="107"/>
      <c r="D42" s="107"/>
      <c r="E42" s="107"/>
      <c r="F42" s="122">
        <f>F40-F41</f>
        <v>206787.91426887293</v>
      </c>
      <c r="G42" s="123"/>
      <c r="H42" s="110" t="s">
        <v>77</v>
      </c>
      <c r="I42" s="111"/>
      <c r="Y42" s="1"/>
    </row>
    <row r="43" spans="1:25" ht="15.75" customHeight="1" x14ac:dyDescent="0.35">
      <c r="Y43" s="1"/>
    </row>
    <row r="44" spans="1:25" ht="15.75" customHeight="1" x14ac:dyDescent="0.35">
      <c r="A44" s="132" t="s">
        <v>94</v>
      </c>
      <c r="Y44" s="1"/>
    </row>
    <row r="45" spans="1:25" ht="15.75" customHeight="1" x14ac:dyDescent="0.35">
      <c r="Y45" s="1"/>
    </row>
    <row r="46" spans="1:25" ht="15.75" customHeight="1" x14ac:dyDescent="0.35">
      <c r="Y46" s="1"/>
    </row>
    <row r="47" spans="1:25" ht="15.75" customHeight="1" x14ac:dyDescent="0.35">
      <c r="Y47" s="1"/>
    </row>
    <row r="48" spans="1:25" ht="15.75" customHeight="1" x14ac:dyDescent="0.35">
      <c r="Y48" s="1"/>
    </row>
    <row r="49" spans="25:25" ht="15.75" customHeight="1" x14ac:dyDescent="0.35">
      <c r="Y49" s="1"/>
    </row>
    <row r="50" spans="25:25" ht="15.75" customHeight="1" x14ac:dyDescent="0.35">
      <c r="Y50" s="1"/>
    </row>
    <row r="51" spans="25:25" ht="15.75" customHeight="1" x14ac:dyDescent="0.35">
      <c r="Y51" s="1"/>
    </row>
    <row r="52" spans="25:25" ht="15.75" customHeight="1" x14ac:dyDescent="0.35">
      <c r="Y52" s="1"/>
    </row>
    <row r="53" spans="25:25" ht="15.75" customHeight="1" x14ac:dyDescent="0.35">
      <c r="Y53" s="1"/>
    </row>
    <row r="54" spans="25:25" ht="15.75" customHeight="1" x14ac:dyDescent="0.35">
      <c r="Y54" s="1"/>
    </row>
    <row r="55" spans="25:25" ht="15.75" customHeight="1" x14ac:dyDescent="0.35">
      <c r="Y55" s="1"/>
    </row>
    <row r="56" spans="25:25" ht="15.75" customHeight="1" x14ac:dyDescent="0.35">
      <c r="Y56" s="1"/>
    </row>
    <row r="57" spans="25:25" ht="15.75" customHeight="1" x14ac:dyDescent="0.35">
      <c r="Y57" s="1"/>
    </row>
    <row r="58" spans="25:25" ht="15.75" customHeight="1" x14ac:dyDescent="0.35">
      <c r="Y58" s="1"/>
    </row>
    <row r="59" spans="25:25" ht="15.75" customHeight="1" x14ac:dyDescent="0.35">
      <c r="Y59" s="1"/>
    </row>
    <row r="60" spans="25:25" ht="15.75" customHeight="1" x14ac:dyDescent="0.35">
      <c r="Y60" s="1"/>
    </row>
    <row r="61" spans="25:25" ht="15.75" customHeight="1" x14ac:dyDescent="0.35">
      <c r="Y61" s="1"/>
    </row>
    <row r="62" spans="25:25" ht="15.75" customHeight="1" x14ac:dyDescent="0.35">
      <c r="Y62" s="1"/>
    </row>
    <row r="63" spans="25:25" ht="15.75" customHeight="1" x14ac:dyDescent="0.35">
      <c r="Y63" s="1"/>
    </row>
    <row r="64" spans="25:25" ht="15.75" customHeight="1" x14ac:dyDescent="0.35">
      <c r="Y64" s="1"/>
    </row>
    <row r="65" spans="25:25" ht="15.75" customHeight="1" x14ac:dyDescent="0.35">
      <c r="Y65" s="1"/>
    </row>
    <row r="66" spans="25:25" ht="15.75" customHeight="1" x14ac:dyDescent="0.35">
      <c r="Y66" s="1"/>
    </row>
    <row r="67" spans="25:25" ht="15.75" customHeight="1" x14ac:dyDescent="0.35">
      <c r="Y67" s="1"/>
    </row>
    <row r="68" spans="25:25" ht="15.75" customHeight="1" x14ac:dyDescent="0.35">
      <c r="Y68" s="1"/>
    </row>
    <row r="69" spans="25:25" ht="15.75" customHeight="1" x14ac:dyDescent="0.35">
      <c r="Y69" s="1"/>
    </row>
    <row r="70" spans="25:25" ht="15.75" customHeight="1" x14ac:dyDescent="0.35">
      <c r="Y70" s="1"/>
    </row>
    <row r="71" spans="25:25" ht="15.75" customHeight="1" x14ac:dyDescent="0.35">
      <c r="Y71" s="1"/>
    </row>
    <row r="72" spans="25:25" ht="15.75" customHeight="1" x14ac:dyDescent="0.35">
      <c r="Y72" s="1"/>
    </row>
    <row r="73" spans="25:25" ht="15.75" customHeight="1" x14ac:dyDescent="0.35">
      <c r="Y73" s="1"/>
    </row>
    <row r="74" spans="25:25" ht="15.75" customHeight="1" x14ac:dyDescent="0.35">
      <c r="Y74" s="1"/>
    </row>
    <row r="75" spans="25:25" ht="15.75" customHeight="1" x14ac:dyDescent="0.35">
      <c r="Y75" s="1"/>
    </row>
    <row r="76" spans="25:25" ht="15.75" customHeight="1" x14ac:dyDescent="0.35">
      <c r="Y76" s="1"/>
    </row>
    <row r="77" spans="25:25" ht="15.75" customHeight="1" x14ac:dyDescent="0.35">
      <c r="Y77" s="1"/>
    </row>
    <row r="78" spans="25:25" ht="15.75" customHeight="1" x14ac:dyDescent="0.35">
      <c r="Y78" s="1"/>
    </row>
    <row r="79" spans="25:25" ht="15.75" customHeight="1" x14ac:dyDescent="0.35">
      <c r="Y79" s="1"/>
    </row>
    <row r="80" spans="25:25" ht="15.75" customHeight="1" x14ac:dyDescent="0.35">
      <c r="Y80" s="1"/>
    </row>
    <row r="81" spans="25:25" ht="15.75" customHeight="1" x14ac:dyDescent="0.35">
      <c r="Y81" s="1"/>
    </row>
    <row r="82" spans="25:25" ht="15.75" customHeight="1" x14ac:dyDescent="0.35">
      <c r="Y82" s="1"/>
    </row>
    <row r="83" spans="25:25" ht="15.75" customHeight="1" x14ac:dyDescent="0.35">
      <c r="Y83" s="1"/>
    </row>
    <row r="84" spans="25:25" ht="15.75" customHeight="1" x14ac:dyDescent="0.35">
      <c r="Y84" s="1"/>
    </row>
    <row r="85" spans="25:25" ht="15.75" customHeight="1" x14ac:dyDescent="0.35">
      <c r="Y85" s="1"/>
    </row>
    <row r="86" spans="25:25" ht="15.75" customHeight="1" x14ac:dyDescent="0.35">
      <c r="Y86" s="1"/>
    </row>
    <row r="87" spans="25:25" ht="15.75" customHeight="1" x14ac:dyDescent="0.35">
      <c r="Y87" s="1"/>
    </row>
    <row r="88" spans="25:25" ht="15.75" customHeight="1" x14ac:dyDescent="0.35">
      <c r="Y88" s="1"/>
    </row>
    <row r="89" spans="25:25" ht="15.75" customHeight="1" x14ac:dyDescent="0.35">
      <c r="Y89" s="1"/>
    </row>
    <row r="90" spans="25:25" ht="15.75" customHeight="1" x14ac:dyDescent="0.35">
      <c r="Y90" s="1"/>
    </row>
    <row r="91" spans="25:25" ht="15.75" customHeight="1" x14ac:dyDescent="0.35">
      <c r="Y91" s="1"/>
    </row>
    <row r="92" spans="25:25" ht="15.75" customHeight="1" x14ac:dyDescent="0.35">
      <c r="Y92" s="1"/>
    </row>
    <row r="93" spans="25:25" ht="15.75" customHeight="1" x14ac:dyDescent="0.35">
      <c r="Y93" s="1"/>
    </row>
    <row r="94" spans="25:25" ht="15.75" customHeight="1" x14ac:dyDescent="0.35">
      <c r="Y94" s="1"/>
    </row>
    <row r="95" spans="25:25" ht="15.75" customHeight="1" x14ac:dyDescent="0.35">
      <c r="Y95" s="1"/>
    </row>
    <row r="96" spans="25:25" ht="15.75" customHeight="1" x14ac:dyDescent="0.35">
      <c r="Y96" s="1"/>
    </row>
    <row r="97" spans="25:25" ht="15.75" customHeight="1" x14ac:dyDescent="0.35">
      <c r="Y97" s="1"/>
    </row>
    <row r="98" spans="25:25" ht="15.75" customHeight="1" x14ac:dyDescent="0.35">
      <c r="Y98" s="1"/>
    </row>
    <row r="99" spans="25:25" ht="15.75" customHeight="1" x14ac:dyDescent="0.35">
      <c r="Y99" s="1"/>
    </row>
    <row r="100" spans="25:25" ht="15.75" customHeight="1" x14ac:dyDescent="0.35">
      <c r="Y100" s="1"/>
    </row>
    <row r="101" spans="25:25" ht="15.75" customHeight="1" x14ac:dyDescent="0.35">
      <c r="Y101" s="1"/>
    </row>
    <row r="102" spans="25:25" ht="15.75" customHeight="1" x14ac:dyDescent="0.35">
      <c r="Y102" s="1"/>
    </row>
    <row r="103" spans="25:25" ht="15.75" customHeight="1" x14ac:dyDescent="0.35">
      <c r="Y103" s="1"/>
    </row>
    <row r="104" spans="25:25" ht="15.75" customHeight="1" x14ac:dyDescent="0.35">
      <c r="Y104" s="1"/>
    </row>
    <row r="105" spans="25:25" ht="15.75" customHeight="1" x14ac:dyDescent="0.35">
      <c r="Y105" s="1"/>
    </row>
    <row r="106" spans="25:25" ht="15.75" customHeight="1" x14ac:dyDescent="0.35">
      <c r="Y106" s="1"/>
    </row>
    <row r="107" spans="25:25" ht="15.75" customHeight="1" x14ac:dyDescent="0.35">
      <c r="Y107" s="1"/>
    </row>
    <row r="108" spans="25:25" ht="15.75" customHeight="1" x14ac:dyDescent="0.35">
      <c r="Y108" s="1"/>
    </row>
    <row r="109" spans="25:25" ht="15.75" customHeight="1" x14ac:dyDescent="0.35">
      <c r="Y109" s="1"/>
    </row>
    <row r="110" spans="25:25" ht="15.75" customHeight="1" x14ac:dyDescent="0.35">
      <c r="Y110" s="1"/>
    </row>
    <row r="111" spans="25:25" ht="15.75" customHeight="1" x14ac:dyDescent="0.35">
      <c r="Y111" s="1"/>
    </row>
    <row r="112" spans="25:25" ht="15.75" customHeight="1" x14ac:dyDescent="0.35">
      <c r="Y112" s="1"/>
    </row>
    <row r="113" spans="25:25" ht="15.75" customHeight="1" x14ac:dyDescent="0.35">
      <c r="Y113" s="1"/>
    </row>
    <row r="114" spans="25:25" ht="15.75" customHeight="1" x14ac:dyDescent="0.35">
      <c r="Y114" s="1"/>
    </row>
    <row r="115" spans="25:25" ht="15.75" customHeight="1" x14ac:dyDescent="0.35">
      <c r="Y115" s="1"/>
    </row>
    <row r="116" spans="25:25" ht="15.75" customHeight="1" x14ac:dyDescent="0.35">
      <c r="Y116" s="1"/>
    </row>
    <row r="117" spans="25:25" ht="15.75" customHeight="1" x14ac:dyDescent="0.35">
      <c r="Y117" s="1"/>
    </row>
    <row r="118" spans="25:25" ht="15.75" customHeight="1" x14ac:dyDescent="0.35">
      <c r="Y118" s="1"/>
    </row>
    <row r="119" spans="25:25" ht="15.75" customHeight="1" x14ac:dyDescent="0.35">
      <c r="Y119" s="1"/>
    </row>
    <row r="120" spans="25:25" ht="15.75" customHeight="1" x14ac:dyDescent="0.35">
      <c r="Y120" s="1"/>
    </row>
    <row r="121" spans="25:25" ht="15.75" customHeight="1" x14ac:dyDescent="0.35">
      <c r="Y121" s="1"/>
    </row>
    <row r="122" spans="25:25" ht="15.75" customHeight="1" x14ac:dyDescent="0.35">
      <c r="Y122" s="1"/>
    </row>
    <row r="123" spans="25:25" ht="15.75" customHeight="1" x14ac:dyDescent="0.35">
      <c r="Y123" s="1"/>
    </row>
    <row r="124" spans="25:25" ht="15.75" customHeight="1" x14ac:dyDescent="0.35">
      <c r="Y124" s="1"/>
    </row>
    <row r="125" spans="25:25" ht="15.75" customHeight="1" x14ac:dyDescent="0.35">
      <c r="Y125" s="1"/>
    </row>
    <row r="126" spans="25:25" ht="15.75" customHeight="1" x14ac:dyDescent="0.35">
      <c r="Y126" s="1"/>
    </row>
    <row r="127" spans="25:25" ht="15.75" customHeight="1" x14ac:dyDescent="0.35">
      <c r="Y127" s="1"/>
    </row>
    <row r="128" spans="25:25" ht="15.75" customHeight="1" x14ac:dyDescent="0.35">
      <c r="Y128" s="1"/>
    </row>
    <row r="129" spans="25:25" ht="15.75" customHeight="1" x14ac:dyDescent="0.35">
      <c r="Y129" s="1"/>
    </row>
    <row r="130" spans="25:25" ht="15.75" customHeight="1" x14ac:dyDescent="0.35">
      <c r="Y130" s="1"/>
    </row>
    <row r="131" spans="25:25" ht="15.75" customHeight="1" x14ac:dyDescent="0.35">
      <c r="Y131" s="1"/>
    </row>
    <row r="132" spans="25:25" ht="15.75" customHeight="1" x14ac:dyDescent="0.35">
      <c r="Y132" s="1"/>
    </row>
    <row r="133" spans="25:25" ht="15.75" customHeight="1" x14ac:dyDescent="0.35">
      <c r="Y133" s="1"/>
    </row>
    <row r="134" spans="25:25" ht="15.75" customHeight="1" x14ac:dyDescent="0.35">
      <c r="Y134" s="1"/>
    </row>
    <row r="135" spans="25:25" ht="15.75" customHeight="1" x14ac:dyDescent="0.35">
      <c r="Y135" s="1"/>
    </row>
    <row r="136" spans="25:25" ht="15.75" customHeight="1" x14ac:dyDescent="0.35">
      <c r="Y136" s="1"/>
    </row>
    <row r="137" spans="25:25" ht="15.75" customHeight="1" x14ac:dyDescent="0.35">
      <c r="Y137" s="1"/>
    </row>
    <row r="138" spans="25:25" ht="15.75" customHeight="1" x14ac:dyDescent="0.35">
      <c r="Y138" s="1"/>
    </row>
    <row r="139" spans="25:25" ht="15.75" customHeight="1" x14ac:dyDescent="0.35">
      <c r="Y139" s="1"/>
    </row>
    <row r="140" spans="25:25" ht="15.75" customHeight="1" x14ac:dyDescent="0.35">
      <c r="Y140" s="1"/>
    </row>
    <row r="141" spans="25:25" ht="15.75" customHeight="1" x14ac:dyDescent="0.35">
      <c r="Y141" s="1"/>
    </row>
    <row r="142" spans="25:25" ht="15.75" customHeight="1" x14ac:dyDescent="0.35">
      <c r="Y142" s="1"/>
    </row>
    <row r="143" spans="25:25" ht="15.75" customHeight="1" x14ac:dyDescent="0.35">
      <c r="Y143" s="1"/>
    </row>
    <row r="144" spans="25:25" ht="15.75" customHeight="1" x14ac:dyDescent="0.35">
      <c r="Y144" s="1"/>
    </row>
    <row r="145" spans="25:25" ht="15.75" customHeight="1" x14ac:dyDescent="0.35">
      <c r="Y145" s="1"/>
    </row>
    <row r="146" spans="25:25" ht="15.75" customHeight="1" x14ac:dyDescent="0.35">
      <c r="Y146" s="1"/>
    </row>
    <row r="147" spans="25:25" ht="15.75" customHeight="1" x14ac:dyDescent="0.35">
      <c r="Y147" s="1"/>
    </row>
    <row r="148" spans="25:25" ht="15.75" customHeight="1" x14ac:dyDescent="0.35">
      <c r="Y148" s="1"/>
    </row>
    <row r="149" spans="25:25" ht="15.75" customHeight="1" x14ac:dyDescent="0.35">
      <c r="Y149" s="1"/>
    </row>
    <row r="150" spans="25:25" ht="15.75" customHeight="1" x14ac:dyDescent="0.35">
      <c r="Y150" s="1"/>
    </row>
    <row r="151" spans="25:25" ht="15.75" customHeight="1" x14ac:dyDescent="0.35">
      <c r="Y151" s="1"/>
    </row>
    <row r="152" spans="25:25" ht="15.75" customHeight="1" x14ac:dyDescent="0.35">
      <c r="Y152" s="1"/>
    </row>
    <row r="153" spans="25:25" ht="15.75" customHeight="1" x14ac:dyDescent="0.35">
      <c r="Y153" s="1"/>
    </row>
    <row r="154" spans="25:25" ht="15.75" customHeight="1" x14ac:dyDescent="0.35">
      <c r="Y154" s="1"/>
    </row>
    <row r="155" spans="25:25" ht="15.75" customHeight="1" x14ac:dyDescent="0.35">
      <c r="Y155" s="1"/>
    </row>
    <row r="156" spans="25:25" ht="15.75" customHeight="1" x14ac:dyDescent="0.35">
      <c r="Y156" s="1"/>
    </row>
    <row r="157" spans="25:25" ht="15.75" customHeight="1" x14ac:dyDescent="0.35">
      <c r="Y157" s="1"/>
    </row>
    <row r="158" spans="25:25" ht="15.75" customHeight="1" x14ac:dyDescent="0.35">
      <c r="Y158" s="1"/>
    </row>
    <row r="159" spans="25:25" ht="15.75" customHeight="1" x14ac:dyDescent="0.35">
      <c r="Y159" s="1"/>
    </row>
    <row r="160" spans="25:25" ht="15.75" customHeight="1" x14ac:dyDescent="0.35">
      <c r="Y160" s="1"/>
    </row>
    <row r="161" spans="25:25" ht="15.75" customHeight="1" x14ac:dyDescent="0.35">
      <c r="Y161" s="1"/>
    </row>
    <row r="162" spans="25:25" ht="15.75" customHeight="1" x14ac:dyDescent="0.35">
      <c r="Y162" s="1"/>
    </row>
    <row r="163" spans="25:25" ht="15.75" customHeight="1" x14ac:dyDescent="0.35">
      <c r="Y163" s="1"/>
    </row>
    <row r="164" spans="25:25" ht="15.75" customHeight="1" x14ac:dyDescent="0.35">
      <c r="Y164" s="1"/>
    </row>
    <row r="165" spans="25:25" ht="15.75" customHeight="1" x14ac:dyDescent="0.35">
      <c r="Y165" s="1"/>
    </row>
    <row r="166" spans="25:25" ht="15.75" customHeight="1" x14ac:dyDescent="0.35">
      <c r="Y166" s="1"/>
    </row>
    <row r="167" spans="25:25" ht="15.75" customHeight="1" x14ac:dyDescent="0.35">
      <c r="Y167" s="1"/>
    </row>
    <row r="168" spans="25:25" ht="15.75" customHeight="1" x14ac:dyDescent="0.35">
      <c r="Y168" s="1"/>
    </row>
    <row r="169" spans="25:25" ht="15.75" customHeight="1" x14ac:dyDescent="0.35">
      <c r="Y169" s="1"/>
    </row>
    <row r="170" spans="25:25" ht="15.75" customHeight="1" x14ac:dyDescent="0.35">
      <c r="Y170" s="1"/>
    </row>
    <row r="171" spans="25:25" ht="15.75" customHeight="1" x14ac:dyDescent="0.35">
      <c r="Y171" s="1"/>
    </row>
    <row r="172" spans="25:25" ht="15.75" customHeight="1" x14ac:dyDescent="0.35">
      <c r="Y172" s="1"/>
    </row>
    <row r="173" spans="25:25" ht="15.75" customHeight="1" x14ac:dyDescent="0.35">
      <c r="Y173" s="1"/>
    </row>
    <row r="174" spans="25:25" ht="15.75" customHeight="1" x14ac:dyDescent="0.35">
      <c r="Y174" s="1"/>
    </row>
    <row r="175" spans="25:25" ht="15.75" customHeight="1" x14ac:dyDescent="0.35">
      <c r="Y175" s="1"/>
    </row>
    <row r="176" spans="25:25" ht="15.75" customHeight="1" x14ac:dyDescent="0.35">
      <c r="Y176" s="1"/>
    </row>
    <row r="177" spans="25:25" ht="15.75" customHeight="1" x14ac:dyDescent="0.35">
      <c r="Y177" s="1"/>
    </row>
    <row r="178" spans="25:25" ht="15.75" customHeight="1" x14ac:dyDescent="0.35">
      <c r="Y178" s="1"/>
    </row>
    <row r="179" spans="25:25" ht="15.75" customHeight="1" x14ac:dyDescent="0.35">
      <c r="Y179" s="1"/>
    </row>
    <row r="180" spans="25:25" ht="15.75" customHeight="1" x14ac:dyDescent="0.35">
      <c r="Y180" s="1"/>
    </row>
    <row r="181" spans="25:25" ht="15.75" customHeight="1" x14ac:dyDescent="0.35">
      <c r="Y181" s="1"/>
    </row>
    <row r="182" spans="25:25" ht="15.75" customHeight="1" x14ac:dyDescent="0.35">
      <c r="Y182" s="1"/>
    </row>
    <row r="183" spans="25:25" ht="15.75" customHeight="1" x14ac:dyDescent="0.35">
      <c r="Y183" s="1"/>
    </row>
    <row r="184" spans="25:25" ht="15.75" customHeight="1" x14ac:dyDescent="0.35">
      <c r="Y184" s="1"/>
    </row>
    <row r="185" spans="25:25" ht="15.75" customHeight="1" x14ac:dyDescent="0.35">
      <c r="Y185" s="1"/>
    </row>
    <row r="186" spans="25:25" ht="15.75" customHeight="1" x14ac:dyDescent="0.35">
      <c r="Y186" s="1"/>
    </row>
    <row r="187" spans="25:25" ht="15.75" customHeight="1" x14ac:dyDescent="0.35">
      <c r="Y187" s="1"/>
    </row>
    <row r="188" spans="25:25" ht="15.75" customHeight="1" x14ac:dyDescent="0.35">
      <c r="Y188" s="1"/>
    </row>
    <row r="189" spans="25:25" ht="15.75" customHeight="1" x14ac:dyDescent="0.35">
      <c r="Y189" s="1"/>
    </row>
    <row r="190" spans="25:25" ht="15.75" customHeight="1" x14ac:dyDescent="0.35">
      <c r="Y190" s="1"/>
    </row>
    <row r="191" spans="25:25" ht="15.75" customHeight="1" x14ac:dyDescent="0.35">
      <c r="Y191" s="1"/>
    </row>
    <row r="192" spans="25:25" ht="15.75" customHeight="1" x14ac:dyDescent="0.35">
      <c r="Y192" s="1"/>
    </row>
    <row r="193" spans="25:25" ht="15.75" customHeight="1" x14ac:dyDescent="0.35">
      <c r="Y193" s="1"/>
    </row>
    <row r="194" spans="25:25" ht="15.75" customHeight="1" x14ac:dyDescent="0.35">
      <c r="Y194" s="1"/>
    </row>
    <row r="195" spans="25:25" ht="15.75" customHeight="1" x14ac:dyDescent="0.35">
      <c r="Y195" s="1"/>
    </row>
    <row r="196" spans="25:25" ht="15.75" customHeight="1" x14ac:dyDescent="0.35">
      <c r="Y196" s="1"/>
    </row>
    <row r="197" spans="25:25" ht="15.75" customHeight="1" x14ac:dyDescent="0.35">
      <c r="Y197" s="1"/>
    </row>
    <row r="198" spans="25:25" ht="15.75" customHeight="1" x14ac:dyDescent="0.35">
      <c r="Y198" s="1"/>
    </row>
    <row r="199" spans="25:25" ht="15.75" customHeight="1" x14ac:dyDescent="0.35">
      <c r="Y199" s="1"/>
    </row>
    <row r="200" spans="25:25" ht="15.75" customHeight="1" x14ac:dyDescent="0.35">
      <c r="Y200" s="1"/>
    </row>
    <row r="201" spans="25:25" ht="15.75" customHeight="1" x14ac:dyDescent="0.35">
      <c r="Y201" s="1"/>
    </row>
    <row r="202" spans="25:25" ht="15.75" customHeight="1" x14ac:dyDescent="0.35">
      <c r="Y202" s="1"/>
    </row>
    <row r="203" spans="25:25" ht="15.75" customHeight="1" x14ac:dyDescent="0.35">
      <c r="Y203" s="1"/>
    </row>
    <row r="204" spans="25:25" ht="15.75" customHeight="1" x14ac:dyDescent="0.35">
      <c r="Y204" s="1"/>
    </row>
    <row r="205" spans="25:25" ht="15.75" customHeight="1" x14ac:dyDescent="0.35">
      <c r="Y205" s="1"/>
    </row>
    <row r="206" spans="25:25" ht="15.75" customHeight="1" x14ac:dyDescent="0.35">
      <c r="Y206" s="1"/>
    </row>
    <row r="207" spans="25:25" ht="15.75" customHeight="1" x14ac:dyDescent="0.35">
      <c r="Y207" s="1"/>
    </row>
    <row r="208" spans="25:25" ht="15.75" customHeight="1" x14ac:dyDescent="0.35">
      <c r="Y208" s="1"/>
    </row>
    <row r="209" spans="25:25" ht="15.75" customHeight="1" x14ac:dyDescent="0.35">
      <c r="Y209" s="1"/>
    </row>
    <row r="210" spans="25:25" ht="15.75" customHeight="1" x14ac:dyDescent="0.35">
      <c r="Y210" s="1"/>
    </row>
    <row r="211" spans="25:25" ht="15.75" customHeight="1" x14ac:dyDescent="0.35">
      <c r="Y211" s="1"/>
    </row>
    <row r="212" spans="25:25" ht="15.75" customHeight="1" x14ac:dyDescent="0.35">
      <c r="Y212" s="1"/>
    </row>
    <row r="213" spans="25:25" ht="15.75" customHeight="1" x14ac:dyDescent="0.35">
      <c r="Y213" s="1"/>
    </row>
    <row r="214" spans="25:25" ht="15.75" customHeight="1" x14ac:dyDescent="0.35">
      <c r="Y214" s="1"/>
    </row>
    <row r="215" spans="25:25" ht="15.75" customHeight="1" x14ac:dyDescent="0.35">
      <c r="Y215" s="1"/>
    </row>
    <row r="216" spans="25:25" ht="15.75" customHeight="1" x14ac:dyDescent="0.35">
      <c r="Y216" s="1"/>
    </row>
    <row r="217" spans="25:25" ht="15.75" customHeight="1" x14ac:dyDescent="0.35">
      <c r="Y217" s="1"/>
    </row>
    <row r="218" spans="25:25" ht="15.75" customHeight="1" x14ac:dyDescent="0.35">
      <c r="Y218" s="1"/>
    </row>
    <row r="219" spans="25:25" ht="15.75" customHeight="1" x14ac:dyDescent="0.35">
      <c r="Y219" s="1"/>
    </row>
    <row r="220" spans="25:25" ht="15.75" customHeight="1" x14ac:dyDescent="0.35">
      <c r="Y220" s="1"/>
    </row>
    <row r="221" spans="25:25" ht="15.75" customHeight="1" x14ac:dyDescent="0.35">
      <c r="Y221" s="1"/>
    </row>
    <row r="222" spans="25:25" ht="15.75" customHeight="1" x14ac:dyDescent="0.35">
      <c r="Y222" s="1"/>
    </row>
    <row r="223" spans="25:25" ht="15.75" customHeight="1" x14ac:dyDescent="0.35">
      <c r="Y223" s="1"/>
    </row>
    <row r="224" spans="25:25" ht="15.75" customHeight="1" x14ac:dyDescent="0.35">
      <c r="Y224" s="1"/>
    </row>
    <row r="225" spans="25:25" ht="15.75" customHeight="1" x14ac:dyDescent="0.35">
      <c r="Y225" s="1"/>
    </row>
    <row r="226" spans="25:25" ht="15.75" customHeight="1" x14ac:dyDescent="0.35">
      <c r="Y226" s="1"/>
    </row>
    <row r="227" spans="25:25" ht="15.75" customHeight="1" x14ac:dyDescent="0.35">
      <c r="Y227" s="1"/>
    </row>
    <row r="228" spans="25:25" ht="15.75" customHeight="1" x14ac:dyDescent="0.35">
      <c r="Y228" s="1"/>
    </row>
    <row r="229" spans="25:25" ht="15.75" customHeight="1" x14ac:dyDescent="0.35">
      <c r="Y229" s="1"/>
    </row>
    <row r="230" spans="25:25" ht="15.75" customHeight="1" x14ac:dyDescent="0.35">
      <c r="Y230" s="1"/>
    </row>
    <row r="231" spans="25:25" ht="15.75" customHeight="1" x14ac:dyDescent="0.35">
      <c r="Y231" s="1"/>
    </row>
    <row r="232" spans="25:25" ht="15.75" customHeight="1" x14ac:dyDescent="0.35">
      <c r="Y232" s="1"/>
    </row>
    <row r="233" spans="25:25" ht="15.75" customHeight="1" x14ac:dyDescent="0.35">
      <c r="Y233" s="1"/>
    </row>
    <row r="234" spans="25:25" ht="15.75" customHeight="1" x14ac:dyDescent="0.35">
      <c r="Y234" s="1"/>
    </row>
    <row r="235" spans="25:25" ht="15.75" customHeight="1" x14ac:dyDescent="0.35">
      <c r="Y235" s="1"/>
    </row>
    <row r="236" spans="25:25" ht="15.75" customHeight="1" x14ac:dyDescent="0.35">
      <c r="Y236" s="1"/>
    </row>
    <row r="237" spans="25:25" ht="15.75" customHeight="1" x14ac:dyDescent="0.35">
      <c r="Y237" s="1"/>
    </row>
    <row r="238" spans="25:25" ht="15.75" customHeight="1" x14ac:dyDescent="0.35">
      <c r="Y238" s="1"/>
    </row>
    <row r="239" spans="25:25" ht="15.75" customHeight="1" x14ac:dyDescent="0.35">
      <c r="Y239" s="1"/>
    </row>
    <row r="240" spans="25:25" ht="15.75" customHeight="1" x14ac:dyDescent="0.35">
      <c r="Y240" s="1"/>
    </row>
    <row r="241" spans="25:25" ht="15.75" customHeight="1" x14ac:dyDescent="0.35">
      <c r="Y241" s="1"/>
    </row>
    <row r="242" spans="25:25" ht="15.75" customHeight="1" x14ac:dyDescent="0.35">
      <c r="Y242" s="1"/>
    </row>
    <row r="243" spans="25:25" ht="15.75" customHeight="1" x14ac:dyDescent="0.35">
      <c r="Y243" s="1"/>
    </row>
    <row r="244" spans="25:25" ht="15.75" customHeight="1" x14ac:dyDescent="0.35">
      <c r="Y244" s="1"/>
    </row>
    <row r="245" spans="25:25" ht="15.75" customHeight="1" x14ac:dyDescent="0.35">
      <c r="Y245" s="1"/>
    </row>
    <row r="246" spans="25:25" ht="15.75" customHeight="1" x14ac:dyDescent="0.35">
      <c r="Y246" s="1"/>
    </row>
    <row r="247" spans="25:25" ht="15.75" customHeight="1" x14ac:dyDescent="0.35">
      <c r="Y247" s="1"/>
    </row>
    <row r="248" spans="25:25" ht="15.75" customHeight="1" x14ac:dyDescent="0.35">
      <c r="Y248" s="1"/>
    </row>
    <row r="249" spans="25:25" ht="15.75" customHeight="1" x14ac:dyDescent="0.35">
      <c r="Y249" s="1"/>
    </row>
    <row r="250" spans="25:25" ht="15.75" customHeight="1" x14ac:dyDescent="0.35">
      <c r="Y250" s="1"/>
    </row>
    <row r="251" spans="25:25" ht="15.75" customHeight="1" x14ac:dyDescent="0.35">
      <c r="Y251" s="1"/>
    </row>
    <row r="252" spans="25:25" ht="15.75" customHeight="1" x14ac:dyDescent="0.35">
      <c r="Y252" s="1"/>
    </row>
    <row r="253" spans="25:25" ht="15.75" customHeight="1" x14ac:dyDescent="0.35">
      <c r="Y253" s="1"/>
    </row>
    <row r="254" spans="25:25" ht="15.75" customHeight="1" x14ac:dyDescent="0.35">
      <c r="Y254" s="1"/>
    </row>
    <row r="255" spans="25:25" ht="15.75" customHeight="1" x14ac:dyDescent="0.35">
      <c r="Y255" s="1"/>
    </row>
    <row r="256" spans="25:25" ht="15.75" customHeight="1" x14ac:dyDescent="0.35">
      <c r="Y256" s="1"/>
    </row>
    <row r="257" spans="25:25" ht="15.75" customHeight="1" x14ac:dyDescent="0.35">
      <c r="Y257" s="1"/>
    </row>
    <row r="258" spans="25:25" ht="15.75" customHeight="1" x14ac:dyDescent="0.35">
      <c r="Y258" s="1"/>
    </row>
    <row r="259" spans="25:25" ht="15.75" customHeight="1" x14ac:dyDescent="0.35">
      <c r="Y259" s="1"/>
    </row>
    <row r="260" spans="25:25" ht="15.75" customHeight="1" x14ac:dyDescent="0.35">
      <c r="Y260" s="1"/>
    </row>
    <row r="261" spans="25:25" ht="15.75" customHeight="1" x14ac:dyDescent="0.35">
      <c r="Y261" s="1"/>
    </row>
    <row r="262" spans="25:25" ht="15.75" customHeight="1" x14ac:dyDescent="0.35">
      <c r="Y262" s="1"/>
    </row>
    <row r="263" spans="25:25" ht="15.75" customHeight="1" x14ac:dyDescent="0.35">
      <c r="Y263" s="1"/>
    </row>
    <row r="264" spans="25:25" ht="15.75" customHeight="1" x14ac:dyDescent="0.35">
      <c r="Y264" s="1"/>
    </row>
    <row r="265" spans="25:25" ht="15.75" customHeight="1" x14ac:dyDescent="0.35">
      <c r="Y265" s="1"/>
    </row>
    <row r="266" spans="25:25" ht="15.75" customHeight="1" x14ac:dyDescent="0.35">
      <c r="Y266" s="1"/>
    </row>
    <row r="267" spans="25:25" ht="15.75" customHeight="1" x14ac:dyDescent="0.35">
      <c r="Y267" s="1"/>
    </row>
    <row r="268" spans="25:25" ht="15.75" customHeight="1" x14ac:dyDescent="0.35">
      <c r="Y268" s="1"/>
    </row>
    <row r="269" spans="25:25" ht="15.75" customHeight="1" x14ac:dyDescent="0.35">
      <c r="Y269" s="1"/>
    </row>
    <row r="270" spans="25:25" ht="15.75" customHeight="1" x14ac:dyDescent="0.35">
      <c r="Y270" s="1"/>
    </row>
    <row r="271" spans="25:25" ht="15.75" customHeight="1" x14ac:dyDescent="0.35">
      <c r="Y271" s="1"/>
    </row>
    <row r="272" spans="25:25" ht="15.75" customHeight="1" x14ac:dyDescent="0.35">
      <c r="Y272" s="1"/>
    </row>
    <row r="273" spans="25:25" ht="15.75" customHeight="1" x14ac:dyDescent="0.35">
      <c r="Y273" s="1"/>
    </row>
    <row r="274" spans="25:25" ht="15.75" customHeight="1" x14ac:dyDescent="0.35">
      <c r="Y274" s="1"/>
    </row>
    <row r="275" spans="25:25" ht="15.75" customHeight="1" x14ac:dyDescent="0.35">
      <c r="Y275" s="1"/>
    </row>
    <row r="276" spans="25:25" ht="15.75" customHeight="1" x14ac:dyDescent="0.35">
      <c r="Y276" s="1"/>
    </row>
    <row r="277" spans="25:25" ht="15.75" customHeight="1" x14ac:dyDescent="0.35">
      <c r="Y277" s="1"/>
    </row>
    <row r="278" spans="25:25" ht="15.75" customHeight="1" x14ac:dyDescent="0.35">
      <c r="Y278" s="1"/>
    </row>
    <row r="279" spans="25:25" ht="15.75" customHeight="1" x14ac:dyDescent="0.35">
      <c r="Y279" s="1"/>
    </row>
    <row r="280" spans="25:25" ht="15.75" customHeight="1" x14ac:dyDescent="0.35">
      <c r="Y280" s="1"/>
    </row>
    <row r="281" spans="25:25" ht="15.75" customHeight="1" x14ac:dyDescent="0.35">
      <c r="Y281" s="1"/>
    </row>
    <row r="282" spans="25:25" ht="15.75" customHeight="1" x14ac:dyDescent="0.35">
      <c r="Y282" s="1"/>
    </row>
    <row r="283" spans="25:25" ht="15.75" customHeight="1" x14ac:dyDescent="0.35">
      <c r="Y283" s="1"/>
    </row>
    <row r="284" spans="25:25" ht="15.75" customHeight="1" x14ac:dyDescent="0.35">
      <c r="Y284" s="1"/>
    </row>
    <row r="285" spans="25:25" ht="15.75" customHeight="1" x14ac:dyDescent="0.35">
      <c r="Y285" s="1"/>
    </row>
    <row r="286" spans="25:25" ht="15.75" customHeight="1" x14ac:dyDescent="0.35">
      <c r="Y286" s="1"/>
    </row>
    <row r="287" spans="25:25" ht="15.75" customHeight="1" x14ac:dyDescent="0.35">
      <c r="Y287" s="1"/>
    </row>
    <row r="288" spans="25:25" ht="15.75" customHeight="1" x14ac:dyDescent="0.35">
      <c r="Y288" s="1"/>
    </row>
    <row r="289" spans="25:25" ht="15.75" customHeight="1" x14ac:dyDescent="0.35">
      <c r="Y289" s="1"/>
    </row>
    <row r="290" spans="25:25" ht="15.75" customHeight="1" x14ac:dyDescent="0.35">
      <c r="Y290" s="1"/>
    </row>
    <row r="291" spans="25:25" ht="15.75" customHeight="1" x14ac:dyDescent="0.35">
      <c r="Y291" s="1"/>
    </row>
    <row r="292" spans="25:25" ht="15.75" customHeight="1" x14ac:dyDescent="0.35">
      <c r="Y292" s="1"/>
    </row>
    <row r="293" spans="25:25" ht="15.75" customHeight="1" x14ac:dyDescent="0.35">
      <c r="Y293" s="1"/>
    </row>
    <row r="294" spans="25:25" ht="15.75" customHeight="1" x14ac:dyDescent="0.35">
      <c r="Y294" s="1"/>
    </row>
    <row r="295" spans="25:25" ht="15.75" customHeight="1" x14ac:dyDescent="0.35">
      <c r="Y295" s="1"/>
    </row>
    <row r="296" spans="25:25" ht="15.75" customHeight="1" x14ac:dyDescent="0.35">
      <c r="Y296" s="1"/>
    </row>
    <row r="297" spans="25:25" ht="15.75" customHeight="1" x14ac:dyDescent="0.35">
      <c r="Y297" s="1"/>
    </row>
    <row r="298" spans="25:25" ht="15.75" customHeight="1" x14ac:dyDescent="0.35">
      <c r="Y298" s="1"/>
    </row>
    <row r="299" spans="25:25" ht="15.75" customHeight="1" x14ac:dyDescent="0.35">
      <c r="Y299" s="1"/>
    </row>
    <row r="300" spans="25:25" ht="15.75" customHeight="1" x14ac:dyDescent="0.35">
      <c r="Y300" s="1"/>
    </row>
    <row r="301" spans="25:25" ht="15.75" customHeight="1" x14ac:dyDescent="0.35">
      <c r="Y301" s="1"/>
    </row>
    <row r="302" spans="25:25" ht="15.75" customHeight="1" x14ac:dyDescent="0.35">
      <c r="Y302" s="1"/>
    </row>
    <row r="303" spans="25:25" ht="15.75" customHeight="1" x14ac:dyDescent="0.35">
      <c r="Y303" s="1"/>
    </row>
    <row r="304" spans="25:25" ht="15.75" customHeight="1" x14ac:dyDescent="0.35">
      <c r="Y304" s="1"/>
    </row>
    <row r="305" spans="25:25" ht="15.75" customHeight="1" x14ac:dyDescent="0.35">
      <c r="Y305" s="1"/>
    </row>
    <row r="306" spans="25:25" ht="15.75" customHeight="1" x14ac:dyDescent="0.35">
      <c r="Y306" s="1"/>
    </row>
    <row r="307" spans="25:25" ht="15.75" customHeight="1" x14ac:dyDescent="0.35">
      <c r="Y307" s="1"/>
    </row>
    <row r="308" spans="25:25" ht="15.75" customHeight="1" x14ac:dyDescent="0.35">
      <c r="Y308" s="1"/>
    </row>
    <row r="309" spans="25:25" ht="15.75" customHeight="1" x14ac:dyDescent="0.35">
      <c r="Y309" s="1"/>
    </row>
    <row r="310" spans="25:25" ht="15.75" customHeight="1" x14ac:dyDescent="0.35">
      <c r="Y310" s="1"/>
    </row>
    <row r="311" spans="25:25" ht="15.75" customHeight="1" x14ac:dyDescent="0.35">
      <c r="Y311" s="1"/>
    </row>
    <row r="312" spans="25:25" ht="15.75" customHeight="1" x14ac:dyDescent="0.35">
      <c r="Y312" s="1"/>
    </row>
    <row r="313" spans="25:25" ht="15.75" customHeight="1" x14ac:dyDescent="0.35">
      <c r="Y313" s="1"/>
    </row>
    <row r="314" spans="25:25" ht="15.75" customHeight="1" x14ac:dyDescent="0.35">
      <c r="Y314" s="1"/>
    </row>
    <row r="315" spans="25:25" ht="15.75" customHeight="1" x14ac:dyDescent="0.35">
      <c r="Y315" s="1"/>
    </row>
    <row r="316" spans="25:25" ht="15.75" customHeight="1" x14ac:dyDescent="0.35">
      <c r="Y316" s="1"/>
    </row>
    <row r="317" spans="25:25" ht="15.75" customHeight="1" x14ac:dyDescent="0.35">
      <c r="Y317" s="1"/>
    </row>
    <row r="318" spans="25:25" ht="15.75" customHeight="1" x14ac:dyDescent="0.35">
      <c r="Y318" s="1"/>
    </row>
    <row r="319" spans="25:25" ht="15.75" customHeight="1" x14ac:dyDescent="0.35">
      <c r="Y319" s="1"/>
    </row>
    <row r="320" spans="25:25" ht="15.75" customHeight="1" x14ac:dyDescent="0.35">
      <c r="Y320" s="1"/>
    </row>
    <row r="321" spans="25:25" ht="15.75" customHeight="1" x14ac:dyDescent="0.35">
      <c r="Y321" s="1"/>
    </row>
    <row r="322" spans="25:25" ht="15.75" customHeight="1" x14ac:dyDescent="0.35">
      <c r="Y322" s="1"/>
    </row>
    <row r="323" spans="25:25" ht="15.75" customHeight="1" x14ac:dyDescent="0.35">
      <c r="Y323" s="1"/>
    </row>
    <row r="324" spans="25:25" ht="15.75" customHeight="1" x14ac:dyDescent="0.35">
      <c r="Y324" s="1"/>
    </row>
    <row r="325" spans="25:25" ht="15.75" customHeight="1" x14ac:dyDescent="0.35">
      <c r="Y325" s="1"/>
    </row>
    <row r="326" spans="25:25" ht="15.75" customHeight="1" x14ac:dyDescent="0.35">
      <c r="Y326" s="1"/>
    </row>
    <row r="327" spans="25:25" ht="15.75" customHeight="1" x14ac:dyDescent="0.35">
      <c r="Y327" s="1"/>
    </row>
    <row r="328" spans="25:25" ht="15.75" customHeight="1" x14ac:dyDescent="0.35">
      <c r="Y328" s="1"/>
    </row>
    <row r="329" spans="25:25" ht="15.75" customHeight="1" x14ac:dyDescent="0.35">
      <c r="Y329" s="1"/>
    </row>
    <row r="330" spans="25:25" ht="15.75" customHeight="1" x14ac:dyDescent="0.35">
      <c r="Y330" s="1"/>
    </row>
    <row r="331" spans="25:25" ht="15.75" customHeight="1" x14ac:dyDescent="0.35">
      <c r="Y331" s="1"/>
    </row>
    <row r="332" spans="25:25" ht="15.75" customHeight="1" x14ac:dyDescent="0.35">
      <c r="Y332" s="1"/>
    </row>
    <row r="333" spans="25:25" ht="15.75" customHeight="1" x14ac:dyDescent="0.35">
      <c r="Y333" s="1"/>
    </row>
    <row r="334" spans="25:25" ht="15.75" customHeight="1" x14ac:dyDescent="0.35">
      <c r="Y334" s="1"/>
    </row>
    <row r="335" spans="25:25" ht="15.75" customHeight="1" x14ac:dyDescent="0.35">
      <c r="Y335" s="1"/>
    </row>
    <row r="336" spans="25:25" ht="15.75" customHeight="1" x14ac:dyDescent="0.35">
      <c r="Y336" s="1"/>
    </row>
    <row r="337" spans="25:25" ht="15.75" customHeight="1" x14ac:dyDescent="0.35">
      <c r="Y337" s="1"/>
    </row>
    <row r="338" spans="25:25" ht="15.75" customHeight="1" x14ac:dyDescent="0.35">
      <c r="Y338" s="1"/>
    </row>
    <row r="339" spans="25:25" ht="15.75" customHeight="1" x14ac:dyDescent="0.35">
      <c r="Y339" s="1"/>
    </row>
    <row r="340" spans="25:25" ht="15.75" customHeight="1" x14ac:dyDescent="0.35">
      <c r="Y340" s="1"/>
    </row>
    <row r="341" spans="25:25" ht="15.75" customHeight="1" x14ac:dyDescent="0.35">
      <c r="Y341" s="1"/>
    </row>
    <row r="342" spans="25:25" ht="15.75" customHeight="1" x14ac:dyDescent="0.35">
      <c r="Y342" s="1"/>
    </row>
    <row r="343" spans="25:25" ht="15.75" customHeight="1" x14ac:dyDescent="0.35">
      <c r="Y343" s="1"/>
    </row>
    <row r="344" spans="25:25" ht="15.75" customHeight="1" x14ac:dyDescent="0.35">
      <c r="Y344" s="1"/>
    </row>
    <row r="345" spans="25:25" ht="15.75" customHeight="1" x14ac:dyDescent="0.35">
      <c r="Y345" s="1"/>
    </row>
    <row r="346" spans="25:25" ht="15.75" customHeight="1" x14ac:dyDescent="0.35">
      <c r="Y346" s="1"/>
    </row>
    <row r="347" spans="25:25" ht="15.75" customHeight="1" x14ac:dyDescent="0.35">
      <c r="Y347" s="1"/>
    </row>
    <row r="348" spans="25:25" ht="15.75" customHeight="1" x14ac:dyDescent="0.35">
      <c r="Y348" s="1"/>
    </row>
    <row r="349" spans="25:25" ht="15.75" customHeight="1" x14ac:dyDescent="0.35">
      <c r="Y349" s="1"/>
    </row>
    <row r="350" spans="25:25" ht="15.75" customHeight="1" x14ac:dyDescent="0.35">
      <c r="Y350" s="1"/>
    </row>
    <row r="351" spans="25:25" ht="15.75" customHeight="1" x14ac:dyDescent="0.35">
      <c r="Y351" s="1"/>
    </row>
    <row r="352" spans="25:25" ht="15.75" customHeight="1" x14ac:dyDescent="0.35">
      <c r="Y352" s="1"/>
    </row>
    <row r="353" spans="25:25" ht="15.75" customHeight="1" x14ac:dyDescent="0.35">
      <c r="Y353" s="1"/>
    </row>
    <row r="354" spans="25:25" ht="15.75" customHeight="1" x14ac:dyDescent="0.35">
      <c r="Y354" s="1"/>
    </row>
    <row r="355" spans="25:25" ht="15.75" customHeight="1" x14ac:dyDescent="0.35">
      <c r="Y355" s="1"/>
    </row>
    <row r="356" spans="25:25" ht="15.75" customHeight="1" x14ac:dyDescent="0.35">
      <c r="Y356" s="1"/>
    </row>
    <row r="357" spans="25:25" ht="15.75" customHeight="1" x14ac:dyDescent="0.35">
      <c r="Y357" s="1"/>
    </row>
    <row r="358" spans="25:25" ht="15.75" customHeight="1" x14ac:dyDescent="0.35">
      <c r="Y358" s="1"/>
    </row>
    <row r="359" spans="25:25" ht="15.75" customHeight="1" x14ac:dyDescent="0.35">
      <c r="Y359" s="1"/>
    </row>
    <row r="360" spans="25:25" ht="15.75" customHeight="1" x14ac:dyDescent="0.35">
      <c r="Y360" s="1"/>
    </row>
    <row r="361" spans="25:25" ht="15.75" customHeight="1" x14ac:dyDescent="0.35">
      <c r="Y361" s="1"/>
    </row>
    <row r="362" spans="25:25" ht="15.75" customHeight="1" x14ac:dyDescent="0.35">
      <c r="Y362" s="1"/>
    </row>
    <row r="363" spans="25:25" ht="15.75" customHeight="1" x14ac:dyDescent="0.35">
      <c r="Y363" s="1"/>
    </row>
    <row r="364" spans="25:25" ht="15.75" customHeight="1" x14ac:dyDescent="0.35">
      <c r="Y364" s="1"/>
    </row>
    <row r="365" spans="25:25" ht="15.75" customHeight="1" x14ac:dyDescent="0.35">
      <c r="Y365" s="1"/>
    </row>
    <row r="366" spans="25:25" ht="15.75" customHeight="1" x14ac:dyDescent="0.35">
      <c r="Y366" s="1"/>
    </row>
    <row r="367" spans="25:25" ht="15.75" customHeight="1" x14ac:dyDescent="0.35">
      <c r="Y367" s="1"/>
    </row>
    <row r="368" spans="25:25" ht="15.75" customHeight="1" x14ac:dyDescent="0.35">
      <c r="Y368" s="1"/>
    </row>
    <row r="369" spans="25:25" ht="15.75" customHeight="1" x14ac:dyDescent="0.35">
      <c r="Y369" s="1"/>
    </row>
    <row r="370" spans="25:25" ht="15.75" customHeight="1" x14ac:dyDescent="0.35">
      <c r="Y370" s="1"/>
    </row>
    <row r="371" spans="25:25" ht="15.75" customHeight="1" x14ac:dyDescent="0.35">
      <c r="Y371" s="1"/>
    </row>
    <row r="372" spans="25:25" ht="15.75" customHeight="1" x14ac:dyDescent="0.35">
      <c r="Y372" s="1"/>
    </row>
    <row r="373" spans="25:25" ht="15.75" customHeight="1" x14ac:dyDescent="0.35">
      <c r="Y373" s="1"/>
    </row>
    <row r="374" spans="25:25" ht="15.75" customHeight="1" x14ac:dyDescent="0.35">
      <c r="Y374" s="1"/>
    </row>
    <row r="375" spans="25:25" ht="15.75" customHeight="1" x14ac:dyDescent="0.35">
      <c r="Y375" s="1"/>
    </row>
    <row r="376" spans="25:25" ht="15.75" customHeight="1" x14ac:dyDescent="0.35">
      <c r="Y376" s="1"/>
    </row>
    <row r="377" spans="25:25" ht="15.75" customHeight="1" x14ac:dyDescent="0.35">
      <c r="Y377" s="1"/>
    </row>
    <row r="378" spans="25:25" ht="15.75" customHeight="1" x14ac:dyDescent="0.35">
      <c r="Y378" s="1"/>
    </row>
    <row r="379" spans="25:25" ht="15.75" customHeight="1" x14ac:dyDescent="0.35">
      <c r="Y379" s="1"/>
    </row>
    <row r="380" spans="25:25" ht="15.75" customHeight="1" x14ac:dyDescent="0.35">
      <c r="Y380" s="1"/>
    </row>
    <row r="381" spans="25:25" ht="15.75" customHeight="1" x14ac:dyDescent="0.35">
      <c r="Y381" s="1"/>
    </row>
    <row r="382" spans="25:25" ht="15.75" customHeight="1" x14ac:dyDescent="0.35">
      <c r="Y382" s="1"/>
    </row>
    <row r="383" spans="25:25" ht="15.75" customHeight="1" x14ac:dyDescent="0.35">
      <c r="Y383" s="1"/>
    </row>
    <row r="384" spans="25:25" ht="15.75" customHeight="1" x14ac:dyDescent="0.35">
      <c r="Y384" s="1"/>
    </row>
    <row r="385" spans="25:25" ht="15.75" customHeight="1" x14ac:dyDescent="0.35">
      <c r="Y385" s="1"/>
    </row>
    <row r="386" spans="25:25" ht="15.75" customHeight="1" x14ac:dyDescent="0.35">
      <c r="Y386" s="1"/>
    </row>
    <row r="387" spans="25:25" ht="15.75" customHeight="1" x14ac:dyDescent="0.35">
      <c r="Y387" s="1"/>
    </row>
    <row r="388" spans="25:25" ht="15.75" customHeight="1" x14ac:dyDescent="0.35">
      <c r="Y388" s="1"/>
    </row>
    <row r="389" spans="25:25" ht="15.75" customHeight="1" x14ac:dyDescent="0.35">
      <c r="Y389" s="1"/>
    </row>
    <row r="390" spans="25:25" ht="15.75" customHeight="1" x14ac:dyDescent="0.35">
      <c r="Y390" s="1"/>
    </row>
    <row r="391" spans="25:25" ht="15.75" customHeight="1" x14ac:dyDescent="0.35">
      <c r="Y391" s="1"/>
    </row>
    <row r="392" spans="25:25" ht="15.75" customHeight="1" x14ac:dyDescent="0.35">
      <c r="Y392" s="1"/>
    </row>
    <row r="393" spans="25:25" ht="15.75" customHeight="1" x14ac:dyDescent="0.35">
      <c r="Y393" s="1"/>
    </row>
    <row r="394" spans="25:25" ht="15.75" customHeight="1" x14ac:dyDescent="0.35">
      <c r="Y394" s="1"/>
    </row>
    <row r="395" spans="25:25" ht="15.75" customHeight="1" x14ac:dyDescent="0.35">
      <c r="Y395" s="1"/>
    </row>
    <row r="396" spans="25:25" ht="15.75" customHeight="1" x14ac:dyDescent="0.35">
      <c r="Y396" s="1"/>
    </row>
    <row r="397" spans="25:25" ht="15.75" customHeight="1" x14ac:dyDescent="0.35">
      <c r="Y397" s="1"/>
    </row>
    <row r="398" spans="25:25" ht="15.75" customHeight="1" x14ac:dyDescent="0.35">
      <c r="Y398" s="1"/>
    </row>
    <row r="399" spans="25:25" ht="15.75" customHeight="1" x14ac:dyDescent="0.35">
      <c r="Y399" s="1"/>
    </row>
    <row r="400" spans="25:25" ht="15.75" customHeight="1" x14ac:dyDescent="0.35">
      <c r="Y400" s="1"/>
    </row>
    <row r="401" spans="25:25" ht="15.75" customHeight="1" x14ac:dyDescent="0.35">
      <c r="Y401" s="1"/>
    </row>
    <row r="402" spans="25:25" ht="15.75" customHeight="1" x14ac:dyDescent="0.35">
      <c r="Y402" s="1"/>
    </row>
    <row r="403" spans="25:25" ht="15.75" customHeight="1" x14ac:dyDescent="0.35">
      <c r="Y403" s="1"/>
    </row>
    <row r="404" spans="25:25" ht="15.75" customHeight="1" x14ac:dyDescent="0.35">
      <c r="Y404" s="1"/>
    </row>
    <row r="405" spans="25:25" ht="15.75" customHeight="1" x14ac:dyDescent="0.35">
      <c r="Y405" s="1"/>
    </row>
    <row r="406" spans="25:25" ht="15.75" customHeight="1" x14ac:dyDescent="0.35">
      <c r="Y406" s="1"/>
    </row>
    <row r="407" spans="25:25" ht="15.75" customHeight="1" x14ac:dyDescent="0.35">
      <c r="Y407" s="1"/>
    </row>
    <row r="408" spans="25:25" ht="15.75" customHeight="1" x14ac:dyDescent="0.35">
      <c r="Y408" s="1"/>
    </row>
    <row r="409" spans="25:25" ht="15.75" customHeight="1" x14ac:dyDescent="0.35">
      <c r="Y409" s="1"/>
    </row>
    <row r="410" spans="25:25" ht="15.75" customHeight="1" x14ac:dyDescent="0.35">
      <c r="Y410" s="1"/>
    </row>
    <row r="411" spans="25:25" ht="15.75" customHeight="1" x14ac:dyDescent="0.35">
      <c r="Y411" s="1"/>
    </row>
    <row r="412" spans="25:25" ht="15.75" customHeight="1" x14ac:dyDescent="0.35">
      <c r="Y412" s="1"/>
    </row>
    <row r="413" spans="25:25" ht="15.75" customHeight="1" x14ac:dyDescent="0.35">
      <c r="Y413" s="1"/>
    </row>
    <row r="414" spans="25:25" ht="15.75" customHeight="1" x14ac:dyDescent="0.35">
      <c r="Y414" s="1"/>
    </row>
    <row r="415" spans="25:25" ht="15.75" customHeight="1" x14ac:dyDescent="0.35">
      <c r="Y415" s="1"/>
    </row>
    <row r="416" spans="25:25" ht="15.75" customHeight="1" x14ac:dyDescent="0.35">
      <c r="Y416" s="1"/>
    </row>
    <row r="417" spans="25:25" ht="15.75" customHeight="1" x14ac:dyDescent="0.35">
      <c r="Y417" s="1"/>
    </row>
    <row r="418" spans="25:25" ht="15.75" customHeight="1" x14ac:dyDescent="0.35">
      <c r="Y418" s="1"/>
    </row>
    <row r="419" spans="25:25" ht="15.75" customHeight="1" x14ac:dyDescent="0.35">
      <c r="Y419" s="1"/>
    </row>
    <row r="420" spans="25:25" ht="15.75" customHeight="1" x14ac:dyDescent="0.35">
      <c r="Y420" s="1"/>
    </row>
    <row r="421" spans="25:25" ht="15.75" customHeight="1" x14ac:dyDescent="0.35">
      <c r="Y421" s="1"/>
    </row>
    <row r="422" spans="25:25" ht="15.75" customHeight="1" x14ac:dyDescent="0.35">
      <c r="Y422" s="1"/>
    </row>
    <row r="423" spans="25:25" ht="15.75" customHeight="1" x14ac:dyDescent="0.35">
      <c r="Y423" s="1"/>
    </row>
    <row r="424" spans="25:25" ht="15.75" customHeight="1" x14ac:dyDescent="0.35">
      <c r="Y424" s="1"/>
    </row>
    <row r="425" spans="25:25" ht="15.75" customHeight="1" x14ac:dyDescent="0.35">
      <c r="Y425" s="1"/>
    </row>
    <row r="426" spans="25:25" ht="15.75" customHeight="1" x14ac:dyDescent="0.35">
      <c r="Y426" s="1"/>
    </row>
    <row r="427" spans="25:25" ht="15.75" customHeight="1" x14ac:dyDescent="0.35">
      <c r="Y427" s="1"/>
    </row>
    <row r="428" spans="25:25" ht="15.75" customHeight="1" x14ac:dyDescent="0.35">
      <c r="Y428" s="1"/>
    </row>
    <row r="429" spans="25:25" ht="15.75" customHeight="1" x14ac:dyDescent="0.35">
      <c r="Y429" s="1"/>
    </row>
    <row r="430" spans="25:25" ht="15.75" customHeight="1" x14ac:dyDescent="0.35">
      <c r="Y430" s="1"/>
    </row>
    <row r="431" spans="25:25" ht="15.75" customHeight="1" x14ac:dyDescent="0.35">
      <c r="Y431" s="1"/>
    </row>
    <row r="432" spans="25:25" ht="15.75" customHeight="1" x14ac:dyDescent="0.35">
      <c r="Y432" s="1"/>
    </row>
    <row r="433" spans="25:25" ht="15.75" customHeight="1" x14ac:dyDescent="0.35">
      <c r="Y433" s="1"/>
    </row>
    <row r="434" spans="25:25" ht="15.75" customHeight="1" x14ac:dyDescent="0.35">
      <c r="Y434" s="1"/>
    </row>
    <row r="435" spans="25:25" ht="15.75" customHeight="1" x14ac:dyDescent="0.35">
      <c r="Y435" s="1"/>
    </row>
    <row r="436" spans="25:25" ht="15.75" customHeight="1" x14ac:dyDescent="0.35">
      <c r="Y436" s="1"/>
    </row>
    <row r="437" spans="25:25" ht="15.75" customHeight="1" x14ac:dyDescent="0.35">
      <c r="Y437" s="1"/>
    </row>
    <row r="438" spans="25:25" ht="15.75" customHeight="1" x14ac:dyDescent="0.35">
      <c r="Y438" s="1"/>
    </row>
    <row r="439" spans="25:25" ht="15.75" customHeight="1" x14ac:dyDescent="0.35">
      <c r="Y439" s="1"/>
    </row>
    <row r="440" spans="25:25" ht="15.75" customHeight="1" x14ac:dyDescent="0.35">
      <c r="Y440" s="1"/>
    </row>
    <row r="441" spans="25:25" ht="15.75" customHeight="1" x14ac:dyDescent="0.35">
      <c r="Y441" s="1"/>
    </row>
    <row r="442" spans="25:25" ht="15.75" customHeight="1" x14ac:dyDescent="0.35">
      <c r="Y442" s="1"/>
    </row>
    <row r="443" spans="25:25" ht="15.75" customHeight="1" x14ac:dyDescent="0.35">
      <c r="Y443" s="1"/>
    </row>
    <row r="444" spans="25:25" ht="15.75" customHeight="1" x14ac:dyDescent="0.35">
      <c r="Y444" s="1"/>
    </row>
    <row r="445" spans="25:25" ht="15.75" customHeight="1" x14ac:dyDescent="0.35">
      <c r="Y445" s="1"/>
    </row>
    <row r="446" spans="25:25" ht="15.75" customHeight="1" x14ac:dyDescent="0.35">
      <c r="Y446" s="1"/>
    </row>
    <row r="447" spans="25:25" ht="15.75" customHeight="1" x14ac:dyDescent="0.35">
      <c r="Y447" s="1"/>
    </row>
    <row r="448" spans="25:25" ht="15.75" customHeight="1" x14ac:dyDescent="0.35">
      <c r="Y448" s="1"/>
    </row>
    <row r="449" spans="25:25" ht="15.75" customHeight="1" x14ac:dyDescent="0.35">
      <c r="Y449" s="1"/>
    </row>
    <row r="450" spans="25:25" ht="15.75" customHeight="1" x14ac:dyDescent="0.35">
      <c r="Y450" s="1"/>
    </row>
    <row r="451" spans="25:25" ht="15.75" customHeight="1" x14ac:dyDescent="0.35">
      <c r="Y451" s="1"/>
    </row>
    <row r="452" spans="25:25" ht="15.75" customHeight="1" x14ac:dyDescent="0.35">
      <c r="Y452" s="1"/>
    </row>
    <row r="453" spans="25:25" ht="15.75" customHeight="1" x14ac:dyDescent="0.35">
      <c r="Y453" s="1"/>
    </row>
    <row r="454" spans="25:25" ht="15.75" customHeight="1" x14ac:dyDescent="0.35">
      <c r="Y454" s="1"/>
    </row>
    <row r="455" spans="25:25" ht="15.75" customHeight="1" x14ac:dyDescent="0.35">
      <c r="Y455" s="1"/>
    </row>
    <row r="456" spans="25:25" ht="15.75" customHeight="1" x14ac:dyDescent="0.35">
      <c r="Y456" s="1"/>
    </row>
    <row r="457" spans="25:25" ht="15.75" customHeight="1" x14ac:dyDescent="0.35">
      <c r="Y457" s="1"/>
    </row>
    <row r="458" spans="25:25" ht="15.75" customHeight="1" x14ac:dyDescent="0.35">
      <c r="Y458" s="1"/>
    </row>
    <row r="459" spans="25:25" ht="15.75" customHeight="1" x14ac:dyDescent="0.35">
      <c r="Y459" s="1"/>
    </row>
    <row r="460" spans="25:25" ht="15.75" customHeight="1" x14ac:dyDescent="0.35">
      <c r="Y460" s="1"/>
    </row>
    <row r="461" spans="25:25" ht="15.75" customHeight="1" x14ac:dyDescent="0.35">
      <c r="Y461" s="1"/>
    </row>
    <row r="462" spans="25:25" ht="15.75" customHeight="1" x14ac:dyDescent="0.35">
      <c r="Y462" s="1"/>
    </row>
    <row r="463" spans="25:25" ht="15.75" customHeight="1" x14ac:dyDescent="0.35">
      <c r="Y463" s="1"/>
    </row>
    <row r="464" spans="25:25" ht="15.75" customHeight="1" x14ac:dyDescent="0.35">
      <c r="Y464" s="1"/>
    </row>
    <row r="465" spans="25:25" ht="15.75" customHeight="1" x14ac:dyDescent="0.35">
      <c r="Y465" s="1"/>
    </row>
    <row r="466" spans="25:25" ht="15.75" customHeight="1" x14ac:dyDescent="0.35">
      <c r="Y466" s="1"/>
    </row>
    <row r="467" spans="25:25" ht="15.75" customHeight="1" x14ac:dyDescent="0.35">
      <c r="Y467" s="1"/>
    </row>
    <row r="468" spans="25:25" ht="15.75" customHeight="1" x14ac:dyDescent="0.35">
      <c r="Y468" s="1"/>
    </row>
    <row r="469" spans="25:25" ht="15.75" customHeight="1" x14ac:dyDescent="0.35">
      <c r="Y469" s="1"/>
    </row>
    <row r="470" spans="25:25" ht="15.75" customHeight="1" x14ac:dyDescent="0.35">
      <c r="Y470" s="1"/>
    </row>
    <row r="471" spans="25:25" ht="15.75" customHeight="1" x14ac:dyDescent="0.35">
      <c r="Y471" s="1"/>
    </row>
    <row r="472" spans="25:25" ht="15.75" customHeight="1" x14ac:dyDescent="0.35">
      <c r="Y472" s="1"/>
    </row>
    <row r="473" spans="25:25" ht="15.75" customHeight="1" x14ac:dyDescent="0.35">
      <c r="Y473" s="1"/>
    </row>
    <row r="474" spans="25:25" ht="15.75" customHeight="1" x14ac:dyDescent="0.35">
      <c r="Y474" s="1"/>
    </row>
    <row r="475" spans="25:25" ht="15.75" customHeight="1" x14ac:dyDescent="0.35">
      <c r="Y475" s="1"/>
    </row>
    <row r="476" spans="25:25" ht="15.75" customHeight="1" x14ac:dyDescent="0.35">
      <c r="Y476" s="1"/>
    </row>
    <row r="477" spans="25:25" ht="15.75" customHeight="1" x14ac:dyDescent="0.35">
      <c r="Y477" s="1"/>
    </row>
    <row r="478" spans="25:25" ht="15.75" customHeight="1" x14ac:dyDescent="0.35">
      <c r="Y478" s="1"/>
    </row>
    <row r="479" spans="25:25" ht="15.75" customHeight="1" x14ac:dyDescent="0.35">
      <c r="Y479" s="1"/>
    </row>
    <row r="480" spans="25:25" ht="15.75" customHeight="1" x14ac:dyDescent="0.35">
      <c r="Y480" s="1"/>
    </row>
    <row r="481" spans="25:25" ht="15.75" customHeight="1" x14ac:dyDescent="0.35">
      <c r="Y481" s="1"/>
    </row>
    <row r="482" spans="25:25" ht="15.75" customHeight="1" x14ac:dyDescent="0.35">
      <c r="Y482" s="1"/>
    </row>
    <row r="483" spans="25:25" ht="15.75" customHeight="1" x14ac:dyDescent="0.35">
      <c r="Y483" s="1"/>
    </row>
    <row r="484" spans="25:25" ht="15.75" customHeight="1" x14ac:dyDescent="0.35">
      <c r="Y484" s="1"/>
    </row>
    <row r="485" spans="25:25" ht="15.75" customHeight="1" x14ac:dyDescent="0.35">
      <c r="Y485" s="1"/>
    </row>
    <row r="486" spans="25:25" ht="15.75" customHeight="1" x14ac:dyDescent="0.35">
      <c r="Y486" s="1"/>
    </row>
    <row r="487" spans="25:25" ht="15.75" customHeight="1" x14ac:dyDescent="0.35">
      <c r="Y487" s="1"/>
    </row>
    <row r="488" spans="25:25" ht="15.75" customHeight="1" x14ac:dyDescent="0.35">
      <c r="Y488" s="1"/>
    </row>
    <row r="489" spans="25:25" ht="15.75" customHeight="1" x14ac:dyDescent="0.35">
      <c r="Y489" s="1"/>
    </row>
    <row r="490" spans="25:25" ht="15.75" customHeight="1" x14ac:dyDescent="0.35">
      <c r="Y490" s="1"/>
    </row>
    <row r="491" spans="25:25" ht="15.75" customHeight="1" x14ac:dyDescent="0.35">
      <c r="Y491" s="1"/>
    </row>
    <row r="492" spans="25:25" ht="15.75" customHeight="1" x14ac:dyDescent="0.35">
      <c r="Y492" s="1"/>
    </row>
    <row r="493" spans="25:25" ht="15.75" customHeight="1" x14ac:dyDescent="0.35">
      <c r="Y493" s="1"/>
    </row>
    <row r="494" spans="25:25" ht="15.75" customHeight="1" x14ac:dyDescent="0.35">
      <c r="Y494" s="1"/>
    </row>
    <row r="495" spans="25:25" ht="15.75" customHeight="1" x14ac:dyDescent="0.35">
      <c r="Y495" s="1"/>
    </row>
    <row r="496" spans="25:25" ht="15.75" customHeight="1" x14ac:dyDescent="0.35">
      <c r="Y496" s="1"/>
    </row>
    <row r="497" spans="25:25" ht="15.75" customHeight="1" x14ac:dyDescent="0.35">
      <c r="Y497" s="1"/>
    </row>
    <row r="498" spans="25:25" ht="15.75" customHeight="1" x14ac:dyDescent="0.35">
      <c r="Y498" s="1"/>
    </row>
    <row r="499" spans="25:25" ht="15.75" customHeight="1" x14ac:dyDescent="0.35">
      <c r="Y499" s="1"/>
    </row>
    <row r="500" spans="25:25" ht="15.75" customHeight="1" x14ac:dyDescent="0.35">
      <c r="Y500" s="1"/>
    </row>
    <row r="501" spans="25:25" ht="15.75" customHeight="1" x14ac:dyDescent="0.35">
      <c r="Y501" s="1"/>
    </row>
    <row r="502" spans="25:25" ht="15.75" customHeight="1" x14ac:dyDescent="0.35">
      <c r="Y502" s="1"/>
    </row>
    <row r="503" spans="25:25" ht="15.75" customHeight="1" x14ac:dyDescent="0.35">
      <c r="Y503" s="1"/>
    </row>
    <row r="504" spans="25:25" ht="15.75" customHeight="1" x14ac:dyDescent="0.35">
      <c r="Y504" s="1"/>
    </row>
    <row r="505" spans="25:25" ht="15.75" customHeight="1" x14ac:dyDescent="0.35">
      <c r="Y505" s="1"/>
    </row>
    <row r="506" spans="25:25" ht="15.75" customHeight="1" x14ac:dyDescent="0.35">
      <c r="Y506" s="1"/>
    </row>
    <row r="507" spans="25:25" ht="15.75" customHeight="1" x14ac:dyDescent="0.35">
      <c r="Y507" s="1"/>
    </row>
    <row r="508" spans="25:25" ht="15.75" customHeight="1" x14ac:dyDescent="0.35">
      <c r="Y508" s="1"/>
    </row>
    <row r="509" spans="25:25" ht="15.75" customHeight="1" x14ac:dyDescent="0.35">
      <c r="Y509" s="1"/>
    </row>
    <row r="510" spans="25:25" ht="15.75" customHeight="1" x14ac:dyDescent="0.35">
      <c r="Y510" s="1"/>
    </row>
    <row r="511" spans="25:25" ht="15.75" customHeight="1" x14ac:dyDescent="0.35">
      <c r="Y511" s="1"/>
    </row>
    <row r="512" spans="25:25" ht="15.75" customHeight="1" x14ac:dyDescent="0.35">
      <c r="Y512" s="1"/>
    </row>
    <row r="513" spans="25:25" ht="15.75" customHeight="1" x14ac:dyDescent="0.35">
      <c r="Y513" s="1"/>
    </row>
    <row r="514" spans="25:25" ht="15.75" customHeight="1" x14ac:dyDescent="0.35">
      <c r="Y514" s="1"/>
    </row>
    <row r="515" spans="25:25" ht="15.75" customHeight="1" x14ac:dyDescent="0.35">
      <c r="Y515" s="1"/>
    </row>
    <row r="516" spans="25:25" ht="15.75" customHeight="1" x14ac:dyDescent="0.35">
      <c r="Y516" s="1"/>
    </row>
    <row r="517" spans="25:25" ht="15.75" customHeight="1" x14ac:dyDescent="0.35">
      <c r="Y517" s="1"/>
    </row>
    <row r="518" spans="25:25" ht="15.75" customHeight="1" x14ac:dyDescent="0.35">
      <c r="Y518" s="1"/>
    </row>
    <row r="519" spans="25:25" ht="15.75" customHeight="1" x14ac:dyDescent="0.35">
      <c r="Y519" s="1"/>
    </row>
    <row r="520" spans="25:25" ht="15.75" customHeight="1" x14ac:dyDescent="0.35">
      <c r="Y520" s="1"/>
    </row>
    <row r="521" spans="25:25" ht="15.75" customHeight="1" x14ac:dyDescent="0.35">
      <c r="Y521" s="1"/>
    </row>
    <row r="522" spans="25:25" ht="15.75" customHeight="1" x14ac:dyDescent="0.35">
      <c r="Y522" s="1"/>
    </row>
    <row r="523" spans="25:25" ht="15.75" customHeight="1" x14ac:dyDescent="0.35">
      <c r="Y523" s="1"/>
    </row>
    <row r="524" spans="25:25" ht="15.75" customHeight="1" x14ac:dyDescent="0.35">
      <c r="Y524" s="1"/>
    </row>
    <row r="525" spans="25:25" ht="15.75" customHeight="1" x14ac:dyDescent="0.35">
      <c r="Y525" s="1"/>
    </row>
    <row r="526" spans="25:25" ht="15.75" customHeight="1" x14ac:dyDescent="0.35">
      <c r="Y526" s="1"/>
    </row>
    <row r="527" spans="25:25" ht="15.75" customHeight="1" x14ac:dyDescent="0.35">
      <c r="Y527" s="1"/>
    </row>
    <row r="528" spans="25:25" ht="15.75" customHeight="1" x14ac:dyDescent="0.35">
      <c r="Y528" s="1"/>
    </row>
    <row r="529" spans="25:25" ht="15.75" customHeight="1" x14ac:dyDescent="0.35">
      <c r="Y529" s="1"/>
    </row>
    <row r="530" spans="25:25" ht="15.75" customHeight="1" x14ac:dyDescent="0.35">
      <c r="Y530" s="1"/>
    </row>
    <row r="531" spans="25:25" ht="15.75" customHeight="1" x14ac:dyDescent="0.35">
      <c r="Y531" s="1"/>
    </row>
    <row r="532" spans="25:25" ht="15.75" customHeight="1" x14ac:dyDescent="0.35">
      <c r="Y532" s="1"/>
    </row>
    <row r="533" spans="25:25" ht="15.75" customHeight="1" x14ac:dyDescent="0.35">
      <c r="Y533" s="1"/>
    </row>
    <row r="534" spans="25:25" ht="15.75" customHeight="1" x14ac:dyDescent="0.35">
      <c r="Y534" s="1"/>
    </row>
    <row r="535" spans="25:25" ht="15.75" customHeight="1" x14ac:dyDescent="0.35">
      <c r="Y535" s="1"/>
    </row>
    <row r="536" spans="25:25" ht="15.75" customHeight="1" x14ac:dyDescent="0.35">
      <c r="Y536" s="1"/>
    </row>
    <row r="537" spans="25:25" ht="15.75" customHeight="1" x14ac:dyDescent="0.35">
      <c r="Y537" s="1"/>
    </row>
    <row r="538" spans="25:25" ht="15.75" customHeight="1" x14ac:dyDescent="0.35">
      <c r="Y538" s="1"/>
    </row>
    <row r="539" spans="25:25" ht="15.75" customHeight="1" x14ac:dyDescent="0.35">
      <c r="Y539" s="1"/>
    </row>
    <row r="540" spans="25:25" ht="15.75" customHeight="1" x14ac:dyDescent="0.35">
      <c r="Y540" s="1"/>
    </row>
    <row r="541" spans="25:25" ht="15.75" customHeight="1" x14ac:dyDescent="0.35">
      <c r="Y541" s="1"/>
    </row>
    <row r="542" spans="25:25" ht="15.75" customHeight="1" x14ac:dyDescent="0.35">
      <c r="Y542" s="1"/>
    </row>
    <row r="543" spans="25:25" ht="15.75" customHeight="1" x14ac:dyDescent="0.35">
      <c r="Y543" s="1"/>
    </row>
    <row r="544" spans="25:25" ht="15.75" customHeight="1" x14ac:dyDescent="0.35">
      <c r="Y544" s="1"/>
    </row>
    <row r="545" spans="25:25" ht="15.75" customHeight="1" x14ac:dyDescent="0.35">
      <c r="Y545" s="1"/>
    </row>
    <row r="546" spans="25:25" ht="15.75" customHeight="1" x14ac:dyDescent="0.35">
      <c r="Y546" s="1"/>
    </row>
    <row r="547" spans="25:25" ht="15.75" customHeight="1" x14ac:dyDescent="0.35">
      <c r="Y547" s="1"/>
    </row>
    <row r="548" spans="25:25" ht="15.75" customHeight="1" x14ac:dyDescent="0.35">
      <c r="Y548" s="1"/>
    </row>
    <row r="549" spans="25:25" ht="15.75" customHeight="1" x14ac:dyDescent="0.35">
      <c r="Y549" s="1"/>
    </row>
    <row r="550" spans="25:25" ht="15.75" customHeight="1" x14ac:dyDescent="0.35">
      <c r="Y550" s="1"/>
    </row>
    <row r="551" spans="25:25" ht="15.75" customHeight="1" x14ac:dyDescent="0.35">
      <c r="Y551" s="1"/>
    </row>
    <row r="552" spans="25:25" ht="15.75" customHeight="1" x14ac:dyDescent="0.35">
      <c r="Y552" s="1"/>
    </row>
    <row r="553" spans="25:25" ht="15.75" customHeight="1" x14ac:dyDescent="0.35">
      <c r="Y553" s="1"/>
    </row>
    <row r="554" spans="25:25" ht="15.75" customHeight="1" x14ac:dyDescent="0.35">
      <c r="Y554" s="1"/>
    </row>
    <row r="555" spans="25:25" ht="15.75" customHeight="1" x14ac:dyDescent="0.35">
      <c r="Y555" s="1"/>
    </row>
    <row r="556" spans="25:25" ht="15.75" customHeight="1" x14ac:dyDescent="0.35">
      <c r="Y556" s="1"/>
    </row>
    <row r="557" spans="25:25" ht="15.75" customHeight="1" x14ac:dyDescent="0.35">
      <c r="Y557" s="1"/>
    </row>
    <row r="558" spans="25:25" ht="15.75" customHeight="1" x14ac:dyDescent="0.35">
      <c r="Y558" s="1"/>
    </row>
    <row r="559" spans="25:25" ht="15.75" customHeight="1" x14ac:dyDescent="0.35">
      <c r="Y559" s="1"/>
    </row>
    <row r="560" spans="25:25" ht="15.75" customHeight="1" x14ac:dyDescent="0.35">
      <c r="Y560" s="1"/>
    </row>
    <row r="561" spans="25:25" ht="15.75" customHeight="1" x14ac:dyDescent="0.35">
      <c r="Y561" s="1"/>
    </row>
    <row r="562" spans="25:25" ht="15.75" customHeight="1" x14ac:dyDescent="0.35">
      <c r="Y562" s="1"/>
    </row>
    <row r="563" spans="25:25" ht="15.75" customHeight="1" x14ac:dyDescent="0.35">
      <c r="Y563" s="1"/>
    </row>
    <row r="564" spans="25:25" ht="15.75" customHeight="1" x14ac:dyDescent="0.35">
      <c r="Y564" s="1"/>
    </row>
    <row r="565" spans="25:25" ht="15.75" customHeight="1" x14ac:dyDescent="0.35">
      <c r="Y565" s="1"/>
    </row>
    <row r="566" spans="25:25" ht="15.75" customHeight="1" x14ac:dyDescent="0.35">
      <c r="Y566" s="1"/>
    </row>
    <row r="567" spans="25:25" ht="15.75" customHeight="1" x14ac:dyDescent="0.35">
      <c r="Y567" s="1"/>
    </row>
    <row r="568" spans="25:25" ht="15.75" customHeight="1" x14ac:dyDescent="0.35">
      <c r="Y568" s="1"/>
    </row>
    <row r="569" spans="25:25" ht="15.75" customHeight="1" x14ac:dyDescent="0.35">
      <c r="Y569" s="1"/>
    </row>
    <row r="570" spans="25:25" ht="15.75" customHeight="1" x14ac:dyDescent="0.35">
      <c r="Y570" s="1"/>
    </row>
    <row r="571" spans="25:25" ht="15.75" customHeight="1" x14ac:dyDescent="0.35">
      <c r="Y571" s="1"/>
    </row>
    <row r="572" spans="25:25" ht="15.75" customHeight="1" x14ac:dyDescent="0.35">
      <c r="Y572" s="1"/>
    </row>
    <row r="573" spans="25:25" ht="15.75" customHeight="1" x14ac:dyDescent="0.35">
      <c r="Y573" s="1"/>
    </row>
    <row r="574" spans="25:25" ht="15.75" customHeight="1" x14ac:dyDescent="0.35">
      <c r="Y574" s="1"/>
    </row>
    <row r="575" spans="25:25" ht="15.75" customHeight="1" x14ac:dyDescent="0.35">
      <c r="Y575" s="1"/>
    </row>
    <row r="576" spans="25:25" ht="15.75" customHeight="1" x14ac:dyDescent="0.35">
      <c r="Y576" s="1"/>
    </row>
    <row r="577" spans="25:25" ht="15.75" customHeight="1" x14ac:dyDescent="0.35">
      <c r="Y577" s="1"/>
    </row>
    <row r="578" spans="25:25" ht="15.75" customHeight="1" x14ac:dyDescent="0.35">
      <c r="Y578" s="1"/>
    </row>
    <row r="579" spans="25:25" ht="15.75" customHeight="1" x14ac:dyDescent="0.35">
      <c r="Y579" s="1"/>
    </row>
    <row r="580" spans="25:25" ht="15.75" customHeight="1" x14ac:dyDescent="0.35">
      <c r="Y580" s="1"/>
    </row>
    <row r="581" spans="25:25" ht="15.75" customHeight="1" x14ac:dyDescent="0.35">
      <c r="Y581" s="1"/>
    </row>
    <row r="582" spans="25:25" ht="15.75" customHeight="1" x14ac:dyDescent="0.35">
      <c r="Y582" s="1"/>
    </row>
    <row r="583" spans="25:25" ht="15.75" customHeight="1" x14ac:dyDescent="0.35">
      <c r="Y583" s="1"/>
    </row>
    <row r="584" spans="25:25" ht="15.75" customHeight="1" x14ac:dyDescent="0.35">
      <c r="Y584" s="1"/>
    </row>
    <row r="585" spans="25:25" ht="15.75" customHeight="1" x14ac:dyDescent="0.35">
      <c r="Y585" s="1"/>
    </row>
    <row r="586" spans="25:25" ht="15.75" customHeight="1" x14ac:dyDescent="0.35">
      <c r="Y586" s="1"/>
    </row>
    <row r="587" spans="25:25" ht="15.75" customHeight="1" x14ac:dyDescent="0.35">
      <c r="Y587" s="1"/>
    </row>
    <row r="588" spans="25:25" ht="15.75" customHeight="1" x14ac:dyDescent="0.35">
      <c r="Y588" s="1"/>
    </row>
    <row r="589" spans="25:25" ht="15.75" customHeight="1" x14ac:dyDescent="0.35">
      <c r="Y589" s="1"/>
    </row>
    <row r="590" spans="25:25" ht="15.75" customHeight="1" x14ac:dyDescent="0.35">
      <c r="Y590" s="1"/>
    </row>
    <row r="591" spans="25:25" ht="15.75" customHeight="1" x14ac:dyDescent="0.35">
      <c r="Y591" s="1"/>
    </row>
    <row r="592" spans="25:25" ht="15.75" customHeight="1" x14ac:dyDescent="0.35">
      <c r="Y592" s="1"/>
    </row>
    <row r="593" spans="25:25" ht="15.75" customHeight="1" x14ac:dyDescent="0.35">
      <c r="Y593" s="1"/>
    </row>
    <row r="594" spans="25:25" ht="15.75" customHeight="1" x14ac:dyDescent="0.35">
      <c r="Y594" s="1"/>
    </row>
    <row r="595" spans="25:25" ht="15.75" customHeight="1" x14ac:dyDescent="0.35">
      <c r="Y595" s="1"/>
    </row>
    <row r="596" spans="25:25" ht="15.75" customHeight="1" x14ac:dyDescent="0.35">
      <c r="Y596" s="1"/>
    </row>
    <row r="597" spans="25:25" ht="15.75" customHeight="1" x14ac:dyDescent="0.35">
      <c r="Y597" s="1"/>
    </row>
    <row r="598" spans="25:25" ht="15.75" customHeight="1" x14ac:dyDescent="0.35">
      <c r="Y598" s="1"/>
    </row>
    <row r="599" spans="25:25" ht="15.75" customHeight="1" x14ac:dyDescent="0.35">
      <c r="Y599" s="1"/>
    </row>
    <row r="600" spans="25:25" ht="15.75" customHeight="1" x14ac:dyDescent="0.35">
      <c r="Y600" s="1"/>
    </row>
    <row r="601" spans="25:25" ht="15.75" customHeight="1" x14ac:dyDescent="0.35">
      <c r="Y601" s="1"/>
    </row>
    <row r="602" spans="25:25" ht="15.75" customHeight="1" x14ac:dyDescent="0.35">
      <c r="Y602" s="1"/>
    </row>
    <row r="603" spans="25:25" ht="15.75" customHeight="1" x14ac:dyDescent="0.35">
      <c r="Y603" s="1"/>
    </row>
    <row r="604" spans="25:25" ht="15.75" customHeight="1" x14ac:dyDescent="0.35">
      <c r="Y604" s="1"/>
    </row>
    <row r="605" spans="25:25" ht="15.75" customHeight="1" x14ac:dyDescent="0.35">
      <c r="Y605" s="1"/>
    </row>
    <row r="606" spans="25:25" ht="15.75" customHeight="1" x14ac:dyDescent="0.35">
      <c r="Y606" s="1"/>
    </row>
    <row r="607" spans="25:25" ht="15.75" customHeight="1" x14ac:dyDescent="0.35">
      <c r="Y607" s="1"/>
    </row>
    <row r="608" spans="25:25" ht="15.75" customHeight="1" x14ac:dyDescent="0.35">
      <c r="Y608" s="1"/>
    </row>
    <row r="609" spans="25:25" ht="15.75" customHeight="1" x14ac:dyDescent="0.35">
      <c r="Y609" s="1"/>
    </row>
    <row r="610" spans="25:25" ht="15.75" customHeight="1" x14ac:dyDescent="0.35">
      <c r="Y610" s="1"/>
    </row>
    <row r="611" spans="25:25" ht="15.75" customHeight="1" x14ac:dyDescent="0.35">
      <c r="Y611" s="1"/>
    </row>
    <row r="612" spans="25:25" ht="15.75" customHeight="1" x14ac:dyDescent="0.35">
      <c r="Y612" s="1"/>
    </row>
    <row r="613" spans="25:25" ht="15.75" customHeight="1" x14ac:dyDescent="0.35">
      <c r="Y613" s="1"/>
    </row>
    <row r="614" spans="25:25" ht="15.75" customHeight="1" x14ac:dyDescent="0.35">
      <c r="Y614" s="1"/>
    </row>
    <row r="615" spans="25:25" ht="15.75" customHeight="1" x14ac:dyDescent="0.35">
      <c r="Y615" s="1"/>
    </row>
    <row r="616" spans="25:25" ht="15.75" customHeight="1" x14ac:dyDescent="0.35">
      <c r="Y616" s="1"/>
    </row>
    <row r="617" spans="25:25" ht="15.75" customHeight="1" x14ac:dyDescent="0.35">
      <c r="Y617" s="1"/>
    </row>
    <row r="618" spans="25:25" ht="15.75" customHeight="1" x14ac:dyDescent="0.35">
      <c r="Y618" s="1"/>
    </row>
    <row r="619" spans="25:25" ht="15.75" customHeight="1" x14ac:dyDescent="0.35">
      <c r="Y619" s="1"/>
    </row>
    <row r="620" spans="25:25" ht="15.75" customHeight="1" x14ac:dyDescent="0.35">
      <c r="Y620" s="1"/>
    </row>
    <row r="621" spans="25:25" ht="15.75" customHeight="1" x14ac:dyDescent="0.35">
      <c r="Y621" s="1"/>
    </row>
    <row r="622" spans="25:25" ht="15.75" customHeight="1" x14ac:dyDescent="0.35">
      <c r="Y622" s="1"/>
    </row>
    <row r="623" spans="25:25" ht="15.75" customHeight="1" x14ac:dyDescent="0.35">
      <c r="Y623" s="1"/>
    </row>
    <row r="624" spans="25:25" ht="15.75" customHeight="1" x14ac:dyDescent="0.35">
      <c r="Y624" s="1"/>
    </row>
    <row r="625" spans="25:25" ht="15.75" customHeight="1" x14ac:dyDescent="0.35">
      <c r="Y625" s="1"/>
    </row>
    <row r="626" spans="25:25" ht="15.75" customHeight="1" x14ac:dyDescent="0.35">
      <c r="Y626" s="1"/>
    </row>
    <row r="627" spans="25:25" ht="15.75" customHeight="1" x14ac:dyDescent="0.35">
      <c r="Y627" s="1"/>
    </row>
    <row r="628" spans="25:25" ht="15.75" customHeight="1" x14ac:dyDescent="0.35">
      <c r="Y628" s="1"/>
    </row>
    <row r="629" spans="25:25" ht="15.75" customHeight="1" x14ac:dyDescent="0.35">
      <c r="Y629" s="1"/>
    </row>
    <row r="630" spans="25:25" ht="15.75" customHeight="1" x14ac:dyDescent="0.35">
      <c r="Y630" s="1"/>
    </row>
    <row r="631" spans="25:25" ht="15.75" customHeight="1" x14ac:dyDescent="0.35">
      <c r="Y631" s="1"/>
    </row>
    <row r="632" spans="25:25" ht="15.75" customHeight="1" x14ac:dyDescent="0.35">
      <c r="Y632" s="1"/>
    </row>
    <row r="633" spans="25:25" ht="15.75" customHeight="1" x14ac:dyDescent="0.35">
      <c r="Y633" s="1"/>
    </row>
    <row r="634" spans="25:25" ht="15.75" customHeight="1" x14ac:dyDescent="0.35">
      <c r="Y634" s="1"/>
    </row>
    <row r="635" spans="25:25" ht="15.75" customHeight="1" x14ac:dyDescent="0.35">
      <c r="Y635" s="1"/>
    </row>
    <row r="636" spans="25:25" ht="15.75" customHeight="1" x14ac:dyDescent="0.35">
      <c r="Y636" s="1"/>
    </row>
    <row r="637" spans="25:25" ht="15.75" customHeight="1" x14ac:dyDescent="0.35">
      <c r="Y637" s="1"/>
    </row>
    <row r="638" spans="25:25" ht="15.75" customHeight="1" x14ac:dyDescent="0.35">
      <c r="Y638" s="1"/>
    </row>
    <row r="639" spans="25:25" ht="15.75" customHeight="1" x14ac:dyDescent="0.35">
      <c r="Y639" s="1"/>
    </row>
    <row r="640" spans="25:25" ht="15.75" customHeight="1" x14ac:dyDescent="0.35">
      <c r="Y640" s="1"/>
    </row>
    <row r="641" spans="25:25" ht="15.75" customHeight="1" x14ac:dyDescent="0.35">
      <c r="Y641" s="1"/>
    </row>
    <row r="642" spans="25:25" ht="15.75" customHeight="1" x14ac:dyDescent="0.35">
      <c r="Y642" s="1"/>
    </row>
    <row r="643" spans="25:25" ht="15.75" customHeight="1" x14ac:dyDescent="0.35">
      <c r="Y643" s="1"/>
    </row>
    <row r="644" spans="25:25" ht="15.75" customHeight="1" x14ac:dyDescent="0.35">
      <c r="Y644" s="1"/>
    </row>
    <row r="645" spans="25:25" ht="15.75" customHeight="1" x14ac:dyDescent="0.35">
      <c r="Y645" s="1"/>
    </row>
    <row r="646" spans="25:25" ht="15.75" customHeight="1" x14ac:dyDescent="0.35">
      <c r="Y646" s="1"/>
    </row>
    <row r="647" spans="25:25" ht="15.75" customHeight="1" x14ac:dyDescent="0.35">
      <c r="Y647" s="1"/>
    </row>
    <row r="648" spans="25:25" ht="15.75" customHeight="1" x14ac:dyDescent="0.35">
      <c r="Y648" s="1"/>
    </row>
    <row r="649" spans="25:25" ht="15.75" customHeight="1" x14ac:dyDescent="0.35">
      <c r="Y649" s="1"/>
    </row>
    <row r="650" spans="25:25" ht="15.75" customHeight="1" x14ac:dyDescent="0.35">
      <c r="Y650" s="1"/>
    </row>
    <row r="651" spans="25:25" ht="15.75" customHeight="1" x14ac:dyDescent="0.35">
      <c r="Y651" s="1"/>
    </row>
    <row r="652" spans="25:25" ht="15.75" customHeight="1" x14ac:dyDescent="0.35">
      <c r="Y652" s="1"/>
    </row>
    <row r="653" spans="25:25" ht="15.75" customHeight="1" x14ac:dyDescent="0.35">
      <c r="Y653" s="1"/>
    </row>
    <row r="654" spans="25:25" ht="15.75" customHeight="1" x14ac:dyDescent="0.35">
      <c r="Y654" s="1"/>
    </row>
    <row r="655" spans="25:25" ht="15.75" customHeight="1" x14ac:dyDescent="0.35">
      <c r="Y655" s="1"/>
    </row>
    <row r="656" spans="25:25" ht="15.75" customHeight="1" x14ac:dyDescent="0.35">
      <c r="Y656" s="1"/>
    </row>
    <row r="657" spans="25:25" ht="15.75" customHeight="1" x14ac:dyDescent="0.35">
      <c r="Y657" s="1"/>
    </row>
    <row r="658" spans="25:25" ht="15.75" customHeight="1" x14ac:dyDescent="0.35">
      <c r="Y658" s="1"/>
    </row>
    <row r="659" spans="25:25" ht="15.75" customHeight="1" x14ac:dyDescent="0.35">
      <c r="Y659" s="1"/>
    </row>
    <row r="660" spans="25:25" ht="15.75" customHeight="1" x14ac:dyDescent="0.35">
      <c r="Y660" s="1"/>
    </row>
    <row r="661" spans="25:25" ht="15.75" customHeight="1" x14ac:dyDescent="0.35">
      <c r="Y661" s="1"/>
    </row>
    <row r="662" spans="25:25" ht="15.75" customHeight="1" x14ac:dyDescent="0.35">
      <c r="Y662" s="1"/>
    </row>
    <row r="663" spans="25:25" ht="15.75" customHeight="1" x14ac:dyDescent="0.35">
      <c r="Y663" s="1"/>
    </row>
    <row r="664" spans="25:25" ht="15.75" customHeight="1" x14ac:dyDescent="0.35">
      <c r="Y664" s="1"/>
    </row>
    <row r="665" spans="25:25" ht="15.75" customHeight="1" x14ac:dyDescent="0.35">
      <c r="Y665" s="1"/>
    </row>
    <row r="666" spans="25:25" ht="15.75" customHeight="1" x14ac:dyDescent="0.35">
      <c r="Y666" s="1"/>
    </row>
    <row r="667" spans="25:25" ht="15.75" customHeight="1" x14ac:dyDescent="0.35">
      <c r="Y667" s="1"/>
    </row>
    <row r="668" spans="25:25" ht="15.75" customHeight="1" x14ac:dyDescent="0.35">
      <c r="Y668" s="1"/>
    </row>
    <row r="669" spans="25:25" ht="15.75" customHeight="1" x14ac:dyDescent="0.35">
      <c r="Y669" s="1"/>
    </row>
    <row r="670" spans="25:25" ht="15.75" customHeight="1" x14ac:dyDescent="0.35">
      <c r="Y670" s="1"/>
    </row>
    <row r="671" spans="25:25" ht="15.75" customHeight="1" x14ac:dyDescent="0.35">
      <c r="Y671" s="1"/>
    </row>
    <row r="672" spans="25:25" ht="15.75" customHeight="1" x14ac:dyDescent="0.35">
      <c r="Y672" s="1"/>
    </row>
    <row r="673" spans="25:25" ht="15.75" customHeight="1" x14ac:dyDescent="0.35">
      <c r="Y673" s="1"/>
    </row>
    <row r="674" spans="25:25" ht="15.75" customHeight="1" x14ac:dyDescent="0.35">
      <c r="Y674" s="1"/>
    </row>
    <row r="675" spans="25:25" ht="15.75" customHeight="1" x14ac:dyDescent="0.35">
      <c r="Y675" s="1"/>
    </row>
    <row r="676" spans="25:25" ht="15.75" customHeight="1" x14ac:dyDescent="0.35">
      <c r="Y676" s="1"/>
    </row>
    <row r="677" spans="25:25" ht="15.75" customHeight="1" x14ac:dyDescent="0.35">
      <c r="Y677" s="1"/>
    </row>
    <row r="678" spans="25:25" ht="15.75" customHeight="1" x14ac:dyDescent="0.35">
      <c r="Y678" s="1"/>
    </row>
    <row r="679" spans="25:25" ht="15.75" customHeight="1" x14ac:dyDescent="0.35">
      <c r="Y679" s="1"/>
    </row>
    <row r="680" spans="25:25" ht="15.75" customHeight="1" x14ac:dyDescent="0.35">
      <c r="Y680" s="1"/>
    </row>
    <row r="681" spans="25:25" ht="15.75" customHeight="1" x14ac:dyDescent="0.35">
      <c r="Y681" s="1"/>
    </row>
    <row r="682" spans="25:25" ht="15.75" customHeight="1" x14ac:dyDescent="0.35">
      <c r="Y682" s="1"/>
    </row>
    <row r="683" spans="25:25" ht="15.75" customHeight="1" x14ac:dyDescent="0.35">
      <c r="Y683" s="1"/>
    </row>
    <row r="684" spans="25:25" ht="15.75" customHeight="1" x14ac:dyDescent="0.35">
      <c r="Y684" s="1"/>
    </row>
    <row r="685" spans="25:25" ht="15.75" customHeight="1" x14ac:dyDescent="0.35">
      <c r="Y685" s="1"/>
    </row>
    <row r="686" spans="25:25" ht="15.75" customHeight="1" x14ac:dyDescent="0.35">
      <c r="Y686" s="1"/>
    </row>
    <row r="687" spans="25:25" ht="15.75" customHeight="1" x14ac:dyDescent="0.35">
      <c r="Y687" s="1"/>
    </row>
    <row r="688" spans="25:25" ht="15.75" customHeight="1" x14ac:dyDescent="0.35">
      <c r="Y688" s="1"/>
    </row>
    <row r="689" spans="25:25" ht="15.75" customHeight="1" x14ac:dyDescent="0.35">
      <c r="Y689" s="1"/>
    </row>
    <row r="690" spans="25:25" ht="15.75" customHeight="1" x14ac:dyDescent="0.35">
      <c r="Y690" s="1"/>
    </row>
    <row r="691" spans="25:25" ht="15.75" customHeight="1" x14ac:dyDescent="0.35">
      <c r="Y691" s="1"/>
    </row>
    <row r="692" spans="25:25" ht="15.75" customHeight="1" x14ac:dyDescent="0.35">
      <c r="Y692" s="1"/>
    </row>
    <row r="693" spans="25:25" ht="15.75" customHeight="1" x14ac:dyDescent="0.35">
      <c r="Y693" s="1"/>
    </row>
    <row r="694" spans="25:25" ht="15.75" customHeight="1" x14ac:dyDescent="0.35">
      <c r="Y694" s="1"/>
    </row>
    <row r="695" spans="25:25" ht="15.75" customHeight="1" x14ac:dyDescent="0.35">
      <c r="Y695" s="1"/>
    </row>
    <row r="696" spans="25:25" ht="15.75" customHeight="1" x14ac:dyDescent="0.35">
      <c r="Y696" s="1"/>
    </row>
    <row r="697" spans="25:25" ht="15.75" customHeight="1" x14ac:dyDescent="0.35">
      <c r="Y697" s="1"/>
    </row>
    <row r="698" spans="25:25" ht="15.75" customHeight="1" x14ac:dyDescent="0.35">
      <c r="Y698" s="1"/>
    </row>
    <row r="699" spans="25:25" ht="15.75" customHeight="1" x14ac:dyDescent="0.35">
      <c r="Y699" s="1"/>
    </row>
    <row r="700" spans="25:25" ht="15.75" customHeight="1" x14ac:dyDescent="0.35">
      <c r="Y700" s="1"/>
    </row>
    <row r="701" spans="25:25" ht="15.75" customHeight="1" x14ac:dyDescent="0.35">
      <c r="Y701" s="1"/>
    </row>
    <row r="702" spans="25:25" ht="15.75" customHeight="1" x14ac:dyDescent="0.35">
      <c r="Y702" s="1"/>
    </row>
    <row r="703" spans="25:25" ht="15.75" customHeight="1" x14ac:dyDescent="0.35">
      <c r="Y703" s="1"/>
    </row>
    <row r="704" spans="25:25" ht="15.75" customHeight="1" x14ac:dyDescent="0.35">
      <c r="Y704" s="1"/>
    </row>
    <row r="705" spans="25:25" ht="15.75" customHeight="1" x14ac:dyDescent="0.35">
      <c r="Y705" s="1"/>
    </row>
    <row r="706" spans="25:25" ht="15.75" customHeight="1" x14ac:dyDescent="0.35">
      <c r="Y706" s="1"/>
    </row>
    <row r="707" spans="25:25" ht="15.75" customHeight="1" x14ac:dyDescent="0.35">
      <c r="Y707" s="1"/>
    </row>
    <row r="708" spans="25:25" ht="15.75" customHeight="1" x14ac:dyDescent="0.35">
      <c r="Y708" s="1"/>
    </row>
    <row r="709" spans="25:25" ht="15.75" customHeight="1" x14ac:dyDescent="0.35">
      <c r="Y709" s="1"/>
    </row>
    <row r="710" spans="25:25" ht="15.75" customHeight="1" x14ac:dyDescent="0.35">
      <c r="Y710" s="1"/>
    </row>
    <row r="711" spans="25:25" ht="15.75" customHeight="1" x14ac:dyDescent="0.35">
      <c r="Y711" s="1"/>
    </row>
    <row r="712" spans="25:25" ht="15.75" customHeight="1" x14ac:dyDescent="0.35">
      <c r="Y712" s="1"/>
    </row>
    <row r="713" spans="25:25" ht="15.75" customHeight="1" x14ac:dyDescent="0.35">
      <c r="Y713" s="1"/>
    </row>
    <row r="714" spans="25:25" ht="15.75" customHeight="1" x14ac:dyDescent="0.35">
      <c r="Y714" s="1"/>
    </row>
    <row r="715" spans="25:25" ht="15.75" customHeight="1" x14ac:dyDescent="0.35">
      <c r="Y715" s="1"/>
    </row>
    <row r="716" spans="25:25" ht="15.75" customHeight="1" x14ac:dyDescent="0.35">
      <c r="Y716" s="1"/>
    </row>
    <row r="717" spans="25:25" ht="15.75" customHeight="1" x14ac:dyDescent="0.35">
      <c r="Y717" s="1"/>
    </row>
    <row r="718" spans="25:25" ht="15.75" customHeight="1" x14ac:dyDescent="0.35">
      <c r="Y718" s="1"/>
    </row>
    <row r="719" spans="25:25" ht="15.75" customHeight="1" x14ac:dyDescent="0.35">
      <c r="Y719" s="1"/>
    </row>
    <row r="720" spans="25:25" ht="15.75" customHeight="1" x14ac:dyDescent="0.35">
      <c r="Y720" s="1"/>
    </row>
    <row r="721" spans="25:25" ht="15.75" customHeight="1" x14ac:dyDescent="0.35">
      <c r="Y721" s="1"/>
    </row>
    <row r="722" spans="25:25" ht="15.75" customHeight="1" x14ac:dyDescent="0.35">
      <c r="Y722" s="1"/>
    </row>
    <row r="723" spans="25:25" ht="15.75" customHeight="1" x14ac:dyDescent="0.35">
      <c r="Y723" s="1"/>
    </row>
    <row r="724" spans="25:25" ht="15.75" customHeight="1" x14ac:dyDescent="0.35">
      <c r="Y724" s="1"/>
    </row>
    <row r="725" spans="25:25" ht="15.75" customHeight="1" x14ac:dyDescent="0.35">
      <c r="Y725" s="1"/>
    </row>
    <row r="726" spans="25:25" ht="15.75" customHeight="1" x14ac:dyDescent="0.35">
      <c r="Y726" s="1"/>
    </row>
    <row r="727" spans="25:25" ht="15.75" customHeight="1" x14ac:dyDescent="0.35">
      <c r="Y727" s="1"/>
    </row>
    <row r="728" spans="25:25" ht="15.75" customHeight="1" x14ac:dyDescent="0.35">
      <c r="Y728" s="1"/>
    </row>
    <row r="729" spans="25:25" ht="15.75" customHeight="1" x14ac:dyDescent="0.35">
      <c r="Y729" s="1"/>
    </row>
    <row r="730" spans="25:25" ht="15.75" customHeight="1" x14ac:dyDescent="0.35">
      <c r="Y730" s="1"/>
    </row>
    <row r="731" spans="25:25" ht="15.75" customHeight="1" x14ac:dyDescent="0.35">
      <c r="Y731" s="1"/>
    </row>
    <row r="732" spans="25:25" ht="15.75" customHeight="1" x14ac:dyDescent="0.35">
      <c r="Y732" s="1"/>
    </row>
    <row r="733" spans="25:25" ht="15.75" customHeight="1" x14ac:dyDescent="0.35">
      <c r="Y733" s="1"/>
    </row>
    <row r="734" spans="25:25" ht="15.75" customHeight="1" x14ac:dyDescent="0.35">
      <c r="Y734" s="1"/>
    </row>
    <row r="735" spans="25:25" ht="15.75" customHeight="1" x14ac:dyDescent="0.35">
      <c r="Y735" s="1"/>
    </row>
    <row r="736" spans="25:25" ht="15.75" customHeight="1" x14ac:dyDescent="0.35">
      <c r="Y736" s="1"/>
    </row>
    <row r="737" spans="25:25" ht="15.75" customHeight="1" x14ac:dyDescent="0.35">
      <c r="Y737" s="1"/>
    </row>
    <row r="738" spans="25:25" ht="15.75" customHeight="1" x14ac:dyDescent="0.35">
      <c r="Y738" s="1"/>
    </row>
    <row r="739" spans="25:25" ht="15.75" customHeight="1" x14ac:dyDescent="0.35">
      <c r="Y739" s="1"/>
    </row>
    <row r="740" spans="25:25" ht="15.75" customHeight="1" x14ac:dyDescent="0.35">
      <c r="Y740" s="1"/>
    </row>
    <row r="741" spans="25:25" ht="15.75" customHeight="1" x14ac:dyDescent="0.35">
      <c r="Y741" s="1"/>
    </row>
    <row r="742" spans="25:25" ht="15.75" customHeight="1" x14ac:dyDescent="0.35">
      <c r="Y742" s="1"/>
    </row>
    <row r="743" spans="25:25" ht="15.75" customHeight="1" x14ac:dyDescent="0.35">
      <c r="Y743" s="1"/>
    </row>
    <row r="744" spans="25:25" ht="15.75" customHeight="1" x14ac:dyDescent="0.35">
      <c r="Y744" s="1"/>
    </row>
    <row r="745" spans="25:25" ht="15.75" customHeight="1" x14ac:dyDescent="0.35">
      <c r="Y745" s="1"/>
    </row>
    <row r="746" spans="25:25" ht="15.75" customHeight="1" x14ac:dyDescent="0.35">
      <c r="Y746" s="1"/>
    </row>
    <row r="747" spans="25:25" ht="15.75" customHeight="1" x14ac:dyDescent="0.35">
      <c r="Y747" s="1"/>
    </row>
    <row r="748" spans="25:25" ht="15.75" customHeight="1" x14ac:dyDescent="0.35">
      <c r="Y748" s="1"/>
    </row>
    <row r="749" spans="25:25" ht="15.75" customHeight="1" x14ac:dyDescent="0.35">
      <c r="Y749" s="1"/>
    </row>
    <row r="750" spans="25:25" ht="15.75" customHeight="1" x14ac:dyDescent="0.35">
      <c r="Y750" s="1"/>
    </row>
    <row r="751" spans="25:25" ht="15.75" customHeight="1" x14ac:dyDescent="0.35">
      <c r="Y751" s="1"/>
    </row>
    <row r="752" spans="25:25" ht="15.75" customHeight="1" x14ac:dyDescent="0.35">
      <c r="Y752" s="1"/>
    </row>
    <row r="753" spans="25:25" ht="15.75" customHeight="1" x14ac:dyDescent="0.35">
      <c r="Y753" s="1"/>
    </row>
    <row r="754" spans="25:25" ht="15.75" customHeight="1" x14ac:dyDescent="0.35">
      <c r="Y754" s="1"/>
    </row>
    <row r="755" spans="25:25" ht="15.75" customHeight="1" x14ac:dyDescent="0.35">
      <c r="Y755" s="1"/>
    </row>
    <row r="756" spans="25:25" ht="15.75" customHeight="1" x14ac:dyDescent="0.35">
      <c r="Y756" s="1"/>
    </row>
    <row r="757" spans="25:25" ht="15.75" customHeight="1" x14ac:dyDescent="0.35">
      <c r="Y757" s="1"/>
    </row>
    <row r="758" spans="25:25" ht="15.75" customHeight="1" x14ac:dyDescent="0.35">
      <c r="Y758" s="1"/>
    </row>
    <row r="759" spans="25:25" ht="15.75" customHeight="1" x14ac:dyDescent="0.35">
      <c r="Y759" s="1"/>
    </row>
    <row r="760" spans="25:25" ht="15.75" customHeight="1" x14ac:dyDescent="0.35">
      <c r="Y760" s="1"/>
    </row>
    <row r="761" spans="25:25" ht="15.75" customHeight="1" x14ac:dyDescent="0.35">
      <c r="Y761" s="1"/>
    </row>
    <row r="762" spans="25:25" ht="15.75" customHeight="1" x14ac:dyDescent="0.35">
      <c r="Y762" s="1"/>
    </row>
    <row r="763" spans="25:25" ht="15.75" customHeight="1" x14ac:dyDescent="0.35">
      <c r="Y763" s="1"/>
    </row>
    <row r="764" spans="25:25" ht="15.75" customHeight="1" x14ac:dyDescent="0.35">
      <c r="Y764" s="1"/>
    </row>
    <row r="765" spans="25:25" ht="15.75" customHeight="1" x14ac:dyDescent="0.35">
      <c r="Y765" s="1"/>
    </row>
    <row r="766" spans="25:25" ht="15.75" customHeight="1" x14ac:dyDescent="0.35">
      <c r="Y766" s="1"/>
    </row>
    <row r="767" spans="25:25" ht="15.75" customHeight="1" x14ac:dyDescent="0.35">
      <c r="Y767" s="1"/>
    </row>
    <row r="768" spans="25:25" ht="15.75" customHeight="1" x14ac:dyDescent="0.35">
      <c r="Y768" s="1"/>
    </row>
    <row r="769" spans="25:25" ht="15.75" customHeight="1" x14ac:dyDescent="0.35">
      <c r="Y769" s="1"/>
    </row>
    <row r="770" spans="25:25" ht="15.75" customHeight="1" x14ac:dyDescent="0.35">
      <c r="Y770" s="1"/>
    </row>
    <row r="771" spans="25:25" ht="15.75" customHeight="1" x14ac:dyDescent="0.35">
      <c r="Y771" s="1"/>
    </row>
    <row r="772" spans="25:25" ht="15.75" customHeight="1" x14ac:dyDescent="0.35">
      <c r="Y772" s="1"/>
    </row>
    <row r="773" spans="25:25" ht="15.75" customHeight="1" x14ac:dyDescent="0.35">
      <c r="Y773" s="1"/>
    </row>
    <row r="774" spans="25:25" ht="15.75" customHeight="1" x14ac:dyDescent="0.35">
      <c r="Y774" s="1"/>
    </row>
    <row r="775" spans="25:25" ht="15.75" customHeight="1" x14ac:dyDescent="0.35">
      <c r="Y775" s="1"/>
    </row>
    <row r="776" spans="25:25" ht="15.75" customHeight="1" x14ac:dyDescent="0.35">
      <c r="Y776" s="1"/>
    </row>
    <row r="777" spans="25:25" ht="15.75" customHeight="1" x14ac:dyDescent="0.35">
      <c r="Y777" s="1"/>
    </row>
    <row r="778" spans="25:25" ht="15.75" customHeight="1" x14ac:dyDescent="0.35">
      <c r="Y778" s="1"/>
    </row>
    <row r="779" spans="25:25" ht="15.75" customHeight="1" x14ac:dyDescent="0.35">
      <c r="Y779" s="1"/>
    </row>
    <row r="780" spans="25:25" ht="15.75" customHeight="1" x14ac:dyDescent="0.35">
      <c r="Y780" s="1"/>
    </row>
    <row r="781" spans="25:25" ht="15.75" customHeight="1" x14ac:dyDescent="0.35">
      <c r="Y781" s="1"/>
    </row>
    <row r="782" spans="25:25" ht="15.75" customHeight="1" x14ac:dyDescent="0.35">
      <c r="Y782" s="1"/>
    </row>
    <row r="783" spans="25:25" ht="15.75" customHeight="1" x14ac:dyDescent="0.35">
      <c r="Y783" s="1"/>
    </row>
    <row r="784" spans="25:25" ht="15.75" customHeight="1" x14ac:dyDescent="0.35">
      <c r="Y784" s="1"/>
    </row>
    <row r="785" spans="25:25" ht="15.75" customHeight="1" x14ac:dyDescent="0.35">
      <c r="Y785" s="1"/>
    </row>
    <row r="786" spans="25:25" ht="15.75" customHeight="1" x14ac:dyDescent="0.35">
      <c r="Y786" s="1"/>
    </row>
    <row r="787" spans="25:25" ht="15.75" customHeight="1" x14ac:dyDescent="0.35">
      <c r="Y787" s="1"/>
    </row>
    <row r="788" spans="25:25" ht="15.75" customHeight="1" x14ac:dyDescent="0.35">
      <c r="Y788" s="1"/>
    </row>
    <row r="789" spans="25:25" ht="15.75" customHeight="1" x14ac:dyDescent="0.35">
      <c r="Y789" s="1"/>
    </row>
    <row r="790" spans="25:25" ht="15.75" customHeight="1" x14ac:dyDescent="0.35">
      <c r="Y790" s="1"/>
    </row>
    <row r="791" spans="25:25" ht="15.75" customHeight="1" x14ac:dyDescent="0.35">
      <c r="Y791" s="1"/>
    </row>
    <row r="792" spans="25:25" ht="15.75" customHeight="1" x14ac:dyDescent="0.35">
      <c r="Y792" s="1"/>
    </row>
    <row r="793" spans="25:25" ht="15.75" customHeight="1" x14ac:dyDescent="0.35">
      <c r="Y793" s="1"/>
    </row>
    <row r="794" spans="25:25" ht="15.75" customHeight="1" x14ac:dyDescent="0.35">
      <c r="Y794" s="1"/>
    </row>
    <row r="795" spans="25:25" ht="15.75" customHeight="1" x14ac:dyDescent="0.35">
      <c r="Y795" s="1"/>
    </row>
    <row r="796" spans="25:25" ht="15.75" customHeight="1" x14ac:dyDescent="0.35">
      <c r="Y796" s="1"/>
    </row>
    <row r="797" spans="25:25" ht="15.75" customHeight="1" x14ac:dyDescent="0.35">
      <c r="Y797" s="1"/>
    </row>
    <row r="798" spans="25:25" ht="15.75" customHeight="1" x14ac:dyDescent="0.35">
      <c r="Y798" s="1"/>
    </row>
    <row r="799" spans="25:25" ht="15.75" customHeight="1" x14ac:dyDescent="0.35">
      <c r="Y799" s="1"/>
    </row>
    <row r="800" spans="25:25" ht="15.75" customHeight="1" x14ac:dyDescent="0.35">
      <c r="Y800" s="1"/>
    </row>
    <row r="801" spans="25:25" ht="15.75" customHeight="1" x14ac:dyDescent="0.35">
      <c r="Y801" s="1"/>
    </row>
    <row r="802" spans="25:25" ht="15.75" customHeight="1" x14ac:dyDescent="0.35">
      <c r="Y802" s="1"/>
    </row>
    <row r="803" spans="25:25" ht="15.75" customHeight="1" x14ac:dyDescent="0.35">
      <c r="Y803" s="1"/>
    </row>
    <row r="804" spans="25:25" ht="15.75" customHeight="1" x14ac:dyDescent="0.35">
      <c r="Y804" s="1"/>
    </row>
    <row r="805" spans="25:25" ht="15.75" customHeight="1" x14ac:dyDescent="0.35">
      <c r="Y805" s="1"/>
    </row>
    <row r="806" spans="25:25" ht="15.75" customHeight="1" x14ac:dyDescent="0.35">
      <c r="Y806" s="1"/>
    </row>
    <row r="807" spans="25:25" ht="15.75" customHeight="1" x14ac:dyDescent="0.35">
      <c r="Y807" s="1"/>
    </row>
    <row r="808" spans="25:25" ht="15.75" customHeight="1" x14ac:dyDescent="0.35">
      <c r="Y808" s="1"/>
    </row>
    <row r="809" spans="25:25" ht="15.75" customHeight="1" x14ac:dyDescent="0.35">
      <c r="Y809" s="1"/>
    </row>
    <row r="810" spans="25:25" ht="15.75" customHeight="1" x14ac:dyDescent="0.35">
      <c r="Y810" s="1"/>
    </row>
    <row r="811" spans="25:25" ht="15.75" customHeight="1" x14ac:dyDescent="0.35">
      <c r="Y811" s="1"/>
    </row>
    <row r="812" spans="25:25" ht="15.75" customHeight="1" x14ac:dyDescent="0.35">
      <c r="Y812" s="1"/>
    </row>
    <row r="813" spans="25:25" ht="15.75" customHeight="1" x14ac:dyDescent="0.35">
      <c r="Y813" s="1"/>
    </row>
    <row r="814" spans="25:25" ht="15.75" customHeight="1" x14ac:dyDescent="0.35">
      <c r="Y814" s="1"/>
    </row>
    <row r="815" spans="25:25" ht="15.75" customHeight="1" x14ac:dyDescent="0.35">
      <c r="Y815" s="1"/>
    </row>
    <row r="816" spans="25:25" ht="15.75" customHeight="1" x14ac:dyDescent="0.35">
      <c r="Y816" s="1"/>
    </row>
    <row r="817" spans="25:25" ht="15.75" customHeight="1" x14ac:dyDescent="0.35">
      <c r="Y817" s="1"/>
    </row>
    <row r="818" spans="25:25" ht="15.75" customHeight="1" x14ac:dyDescent="0.35">
      <c r="Y818" s="1"/>
    </row>
    <row r="819" spans="25:25" ht="15.75" customHeight="1" x14ac:dyDescent="0.35">
      <c r="Y819" s="1"/>
    </row>
    <row r="820" spans="25:25" ht="15.75" customHeight="1" x14ac:dyDescent="0.35">
      <c r="Y820" s="1"/>
    </row>
    <row r="821" spans="25:25" ht="15.75" customHeight="1" x14ac:dyDescent="0.35">
      <c r="Y821" s="1"/>
    </row>
    <row r="822" spans="25:25" ht="15.75" customHeight="1" x14ac:dyDescent="0.35">
      <c r="Y822" s="1"/>
    </row>
    <row r="823" spans="25:25" ht="15.75" customHeight="1" x14ac:dyDescent="0.35">
      <c r="Y823" s="1"/>
    </row>
    <row r="824" spans="25:25" ht="15.75" customHeight="1" x14ac:dyDescent="0.35">
      <c r="Y824" s="1"/>
    </row>
    <row r="825" spans="25:25" ht="15.75" customHeight="1" x14ac:dyDescent="0.35">
      <c r="Y825" s="1"/>
    </row>
    <row r="826" spans="25:25" ht="15.75" customHeight="1" x14ac:dyDescent="0.35">
      <c r="Y826" s="1"/>
    </row>
    <row r="827" spans="25:25" ht="15.75" customHeight="1" x14ac:dyDescent="0.35">
      <c r="Y827" s="1"/>
    </row>
    <row r="828" spans="25:25" ht="15.75" customHeight="1" x14ac:dyDescent="0.35">
      <c r="Y828" s="1"/>
    </row>
    <row r="829" spans="25:25" ht="15.75" customHeight="1" x14ac:dyDescent="0.35">
      <c r="Y829" s="1"/>
    </row>
    <row r="830" spans="25:25" ht="15.75" customHeight="1" x14ac:dyDescent="0.35">
      <c r="Y830" s="1"/>
    </row>
    <row r="831" spans="25:25" ht="15.75" customHeight="1" x14ac:dyDescent="0.35">
      <c r="Y831" s="1"/>
    </row>
    <row r="832" spans="25:25" ht="15.75" customHeight="1" x14ac:dyDescent="0.35">
      <c r="Y832" s="1"/>
    </row>
    <row r="833" spans="25:25" ht="15.75" customHeight="1" x14ac:dyDescent="0.35">
      <c r="Y833" s="1"/>
    </row>
    <row r="834" spans="25:25" ht="15.75" customHeight="1" x14ac:dyDescent="0.35">
      <c r="Y834" s="1"/>
    </row>
    <row r="835" spans="25:25" ht="15.75" customHeight="1" x14ac:dyDescent="0.35">
      <c r="Y835" s="1"/>
    </row>
    <row r="836" spans="25:25" ht="15.75" customHeight="1" x14ac:dyDescent="0.35">
      <c r="Y836" s="1"/>
    </row>
    <row r="837" spans="25:25" ht="15.75" customHeight="1" x14ac:dyDescent="0.35">
      <c r="Y837" s="1"/>
    </row>
    <row r="838" spans="25:25" ht="15.75" customHeight="1" x14ac:dyDescent="0.35">
      <c r="Y838" s="1"/>
    </row>
    <row r="839" spans="25:25" ht="15.75" customHeight="1" x14ac:dyDescent="0.35">
      <c r="Y839" s="1"/>
    </row>
    <row r="840" spans="25:25" ht="15.75" customHeight="1" x14ac:dyDescent="0.35">
      <c r="Y840" s="1"/>
    </row>
    <row r="841" spans="25:25" ht="15.75" customHeight="1" x14ac:dyDescent="0.35">
      <c r="Y841" s="1"/>
    </row>
    <row r="842" spans="25:25" ht="15.75" customHeight="1" x14ac:dyDescent="0.35">
      <c r="Y842" s="1"/>
    </row>
    <row r="843" spans="25:25" ht="15.75" customHeight="1" x14ac:dyDescent="0.35">
      <c r="Y843" s="1"/>
    </row>
    <row r="844" spans="25:25" ht="15.75" customHeight="1" x14ac:dyDescent="0.35">
      <c r="Y844" s="1"/>
    </row>
    <row r="845" spans="25:25" ht="15.75" customHeight="1" x14ac:dyDescent="0.35">
      <c r="Y845" s="1"/>
    </row>
    <row r="846" spans="25:25" ht="15.75" customHeight="1" x14ac:dyDescent="0.35">
      <c r="Y846" s="1"/>
    </row>
    <row r="847" spans="25:25" ht="15.75" customHeight="1" x14ac:dyDescent="0.35">
      <c r="Y847" s="1"/>
    </row>
    <row r="848" spans="25:25" ht="15.75" customHeight="1" x14ac:dyDescent="0.35">
      <c r="Y848" s="1"/>
    </row>
    <row r="849" spans="25:25" ht="15.75" customHeight="1" x14ac:dyDescent="0.35">
      <c r="Y849" s="1"/>
    </row>
    <row r="850" spans="25:25" ht="15.75" customHeight="1" x14ac:dyDescent="0.35">
      <c r="Y850" s="1"/>
    </row>
    <row r="851" spans="25:25" ht="15.75" customHeight="1" x14ac:dyDescent="0.35">
      <c r="Y851" s="1"/>
    </row>
    <row r="852" spans="25:25" ht="15.75" customHeight="1" x14ac:dyDescent="0.35">
      <c r="Y852" s="1"/>
    </row>
    <row r="853" spans="25:25" ht="15.75" customHeight="1" x14ac:dyDescent="0.35">
      <c r="Y853" s="1"/>
    </row>
    <row r="854" spans="25:25" ht="15.75" customHeight="1" x14ac:dyDescent="0.35">
      <c r="Y854" s="1"/>
    </row>
    <row r="855" spans="25:25" ht="15.75" customHeight="1" x14ac:dyDescent="0.35">
      <c r="Y855" s="1"/>
    </row>
    <row r="856" spans="25:25" ht="15.75" customHeight="1" x14ac:dyDescent="0.35">
      <c r="Y856" s="1"/>
    </row>
    <row r="857" spans="25:25" ht="15.75" customHeight="1" x14ac:dyDescent="0.35">
      <c r="Y857" s="1"/>
    </row>
    <row r="858" spans="25:25" ht="15.75" customHeight="1" x14ac:dyDescent="0.35">
      <c r="Y858" s="1"/>
    </row>
    <row r="859" spans="25:25" ht="15.75" customHeight="1" x14ac:dyDescent="0.35">
      <c r="Y859" s="1"/>
    </row>
    <row r="860" spans="25:25" ht="15.75" customHeight="1" x14ac:dyDescent="0.35">
      <c r="Y860" s="1"/>
    </row>
    <row r="861" spans="25:25" ht="15.75" customHeight="1" x14ac:dyDescent="0.35">
      <c r="Y861" s="1"/>
    </row>
    <row r="862" spans="25:25" ht="15.75" customHeight="1" x14ac:dyDescent="0.35">
      <c r="Y862" s="1"/>
    </row>
    <row r="863" spans="25:25" ht="15.75" customHeight="1" x14ac:dyDescent="0.35">
      <c r="Y863" s="1"/>
    </row>
    <row r="864" spans="25:25" ht="15.75" customHeight="1" x14ac:dyDescent="0.35">
      <c r="Y864" s="1"/>
    </row>
    <row r="865" spans="25:25" ht="15.75" customHeight="1" x14ac:dyDescent="0.35">
      <c r="Y865" s="1"/>
    </row>
    <row r="866" spans="25:25" ht="15.75" customHeight="1" x14ac:dyDescent="0.35">
      <c r="Y866" s="1"/>
    </row>
    <row r="867" spans="25:25" ht="15.75" customHeight="1" x14ac:dyDescent="0.35">
      <c r="Y867" s="1"/>
    </row>
    <row r="868" spans="25:25" ht="15.75" customHeight="1" x14ac:dyDescent="0.35">
      <c r="Y868" s="1"/>
    </row>
    <row r="869" spans="25:25" ht="15.75" customHeight="1" x14ac:dyDescent="0.35">
      <c r="Y869" s="1"/>
    </row>
    <row r="870" spans="25:25" ht="15.75" customHeight="1" x14ac:dyDescent="0.35">
      <c r="Y870" s="1"/>
    </row>
    <row r="871" spans="25:25" ht="15.75" customHeight="1" x14ac:dyDescent="0.35">
      <c r="Y871" s="1"/>
    </row>
    <row r="872" spans="25:25" ht="15.75" customHeight="1" x14ac:dyDescent="0.35">
      <c r="Y872" s="1"/>
    </row>
    <row r="873" spans="25:25" ht="15.75" customHeight="1" x14ac:dyDescent="0.35">
      <c r="Y873" s="1"/>
    </row>
    <row r="874" spans="25:25" ht="15.75" customHeight="1" x14ac:dyDescent="0.35">
      <c r="Y874" s="1"/>
    </row>
    <row r="875" spans="25:25" ht="15.75" customHeight="1" x14ac:dyDescent="0.35">
      <c r="Y875" s="1"/>
    </row>
    <row r="876" spans="25:25" ht="15.75" customHeight="1" x14ac:dyDescent="0.35">
      <c r="Y876" s="1"/>
    </row>
    <row r="877" spans="25:25" ht="15.75" customHeight="1" x14ac:dyDescent="0.35">
      <c r="Y877" s="1"/>
    </row>
    <row r="878" spans="25:25" ht="15.75" customHeight="1" x14ac:dyDescent="0.35">
      <c r="Y878" s="1"/>
    </row>
    <row r="879" spans="25:25" ht="15.75" customHeight="1" x14ac:dyDescent="0.35">
      <c r="Y879" s="1"/>
    </row>
    <row r="880" spans="25:25" ht="15.75" customHeight="1" x14ac:dyDescent="0.35">
      <c r="Y880" s="1"/>
    </row>
    <row r="881" spans="25:25" ht="15.75" customHeight="1" x14ac:dyDescent="0.35">
      <c r="Y881" s="1"/>
    </row>
    <row r="882" spans="25:25" ht="15.75" customHeight="1" x14ac:dyDescent="0.35">
      <c r="Y882" s="1"/>
    </row>
    <row r="883" spans="25:25" ht="15.75" customHeight="1" x14ac:dyDescent="0.35">
      <c r="Y883" s="1"/>
    </row>
    <row r="884" spans="25:25" ht="15.75" customHeight="1" x14ac:dyDescent="0.35">
      <c r="Y884" s="1"/>
    </row>
    <row r="885" spans="25:25" ht="15.75" customHeight="1" x14ac:dyDescent="0.35">
      <c r="Y885" s="1"/>
    </row>
    <row r="886" spans="25:25" ht="15.75" customHeight="1" x14ac:dyDescent="0.35">
      <c r="Y886" s="1"/>
    </row>
    <row r="887" spans="25:25" ht="15.75" customHeight="1" x14ac:dyDescent="0.35">
      <c r="Y887" s="1"/>
    </row>
    <row r="888" spans="25:25" ht="15.75" customHeight="1" x14ac:dyDescent="0.35">
      <c r="Y888" s="1"/>
    </row>
    <row r="889" spans="25:25" ht="15.75" customHeight="1" x14ac:dyDescent="0.35">
      <c r="Y889" s="1"/>
    </row>
    <row r="890" spans="25:25" ht="15.75" customHeight="1" x14ac:dyDescent="0.35">
      <c r="Y890" s="1"/>
    </row>
    <row r="891" spans="25:25" ht="15.75" customHeight="1" x14ac:dyDescent="0.35">
      <c r="Y891" s="1"/>
    </row>
    <row r="892" spans="25:25" ht="15.75" customHeight="1" x14ac:dyDescent="0.35">
      <c r="Y892" s="1"/>
    </row>
    <row r="893" spans="25:25" ht="15.75" customHeight="1" x14ac:dyDescent="0.35">
      <c r="Y893" s="1"/>
    </row>
    <row r="894" spans="25:25" ht="15.75" customHeight="1" x14ac:dyDescent="0.35">
      <c r="Y894" s="1"/>
    </row>
    <row r="895" spans="25:25" ht="15.75" customHeight="1" x14ac:dyDescent="0.35">
      <c r="Y895" s="1"/>
    </row>
    <row r="896" spans="25:25" ht="15.75" customHeight="1" x14ac:dyDescent="0.35">
      <c r="Y896" s="1"/>
    </row>
    <row r="897" spans="25:25" ht="15.75" customHeight="1" x14ac:dyDescent="0.35">
      <c r="Y897" s="1"/>
    </row>
    <row r="898" spans="25:25" ht="15.75" customHeight="1" x14ac:dyDescent="0.35">
      <c r="Y898" s="1"/>
    </row>
    <row r="899" spans="25:25" ht="15.75" customHeight="1" x14ac:dyDescent="0.35">
      <c r="Y899" s="1"/>
    </row>
    <row r="900" spans="25:25" ht="15.75" customHeight="1" x14ac:dyDescent="0.35">
      <c r="Y900" s="1"/>
    </row>
    <row r="901" spans="25:25" ht="15.75" customHeight="1" x14ac:dyDescent="0.35">
      <c r="Y901" s="1"/>
    </row>
    <row r="902" spans="25:25" ht="15.75" customHeight="1" x14ac:dyDescent="0.35">
      <c r="Y902" s="1"/>
    </row>
    <row r="903" spans="25:25" ht="15.75" customHeight="1" x14ac:dyDescent="0.35">
      <c r="Y903" s="1"/>
    </row>
    <row r="904" spans="25:25" ht="15.75" customHeight="1" x14ac:dyDescent="0.35">
      <c r="Y904" s="1"/>
    </row>
    <row r="905" spans="25:25" ht="15.75" customHeight="1" x14ac:dyDescent="0.35">
      <c r="Y905" s="1"/>
    </row>
    <row r="906" spans="25:25" ht="15.75" customHeight="1" x14ac:dyDescent="0.35">
      <c r="Y906" s="1"/>
    </row>
    <row r="907" spans="25:25" ht="15.75" customHeight="1" x14ac:dyDescent="0.35">
      <c r="Y907" s="1"/>
    </row>
    <row r="908" spans="25:25" ht="15.75" customHeight="1" x14ac:dyDescent="0.35">
      <c r="Y908" s="1"/>
    </row>
    <row r="909" spans="25:25" ht="15.75" customHeight="1" x14ac:dyDescent="0.35">
      <c r="Y909" s="1"/>
    </row>
    <row r="910" spans="25:25" ht="15.75" customHeight="1" x14ac:dyDescent="0.35">
      <c r="Y910" s="1"/>
    </row>
    <row r="911" spans="25:25" ht="15.75" customHeight="1" x14ac:dyDescent="0.35">
      <c r="Y911" s="1"/>
    </row>
    <row r="912" spans="25:25" ht="15.75" customHeight="1" x14ac:dyDescent="0.35">
      <c r="Y912" s="1"/>
    </row>
    <row r="913" spans="25:25" ht="15.75" customHeight="1" x14ac:dyDescent="0.35">
      <c r="Y913" s="1"/>
    </row>
    <row r="914" spans="25:25" ht="15.75" customHeight="1" x14ac:dyDescent="0.35">
      <c r="Y914" s="1"/>
    </row>
    <row r="915" spans="25:25" ht="15.75" customHeight="1" x14ac:dyDescent="0.35">
      <c r="Y915" s="1"/>
    </row>
    <row r="916" spans="25:25" ht="15.75" customHeight="1" x14ac:dyDescent="0.35">
      <c r="Y916" s="1"/>
    </row>
    <row r="917" spans="25:25" ht="15.75" customHeight="1" x14ac:dyDescent="0.35">
      <c r="Y917" s="1"/>
    </row>
    <row r="918" spans="25:25" ht="15.75" customHeight="1" x14ac:dyDescent="0.35">
      <c r="Y918" s="1"/>
    </row>
    <row r="919" spans="25:25" ht="15.75" customHeight="1" x14ac:dyDescent="0.35">
      <c r="Y919" s="1"/>
    </row>
    <row r="920" spans="25:25" ht="15.75" customHeight="1" x14ac:dyDescent="0.35">
      <c r="Y920" s="1"/>
    </row>
    <row r="921" spans="25:25" ht="15.75" customHeight="1" x14ac:dyDescent="0.35">
      <c r="Y921" s="1"/>
    </row>
    <row r="922" spans="25:25" ht="15.75" customHeight="1" x14ac:dyDescent="0.35">
      <c r="Y922" s="1"/>
    </row>
    <row r="923" spans="25:25" ht="15.75" customHeight="1" x14ac:dyDescent="0.35">
      <c r="Y923" s="1"/>
    </row>
    <row r="924" spans="25:25" ht="15.75" customHeight="1" x14ac:dyDescent="0.35">
      <c r="Y924" s="1"/>
    </row>
    <row r="925" spans="25:25" ht="15.75" customHeight="1" x14ac:dyDescent="0.35">
      <c r="Y925" s="1"/>
    </row>
    <row r="926" spans="25:25" ht="15.75" customHeight="1" x14ac:dyDescent="0.35">
      <c r="Y926" s="1"/>
    </row>
    <row r="927" spans="25:25" ht="15.75" customHeight="1" x14ac:dyDescent="0.35">
      <c r="Y927" s="1"/>
    </row>
    <row r="928" spans="25:25" ht="15.75" customHeight="1" x14ac:dyDescent="0.35">
      <c r="Y928" s="1"/>
    </row>
    <row r="929" spans="25:25" ht="15.75" customHeight="1" x14ac:dyDescent="0.35">
      <c r="Y929" s="1"/>
    </row>
    <row r="930" spans="25:25" ht="15.75" customHeight="1" x14ac:dyDescent="0.35">
      <c r="Y930" s="1"/>
    </row>
    <row r="931" spans="25:25" ht="15.75" customHeight="1" x14ac:dyDescent="0.35">
      <c r="Y931" s="1"/>
    </row>
    <row r="932" spans="25:25" ht="15.75" customHeight="1" x14ac:dyDescent="0.35">
      <c r="Y932" s="1"/>
    </row>
    <row r="933" spans="25:25" ht="15.75" customHeight="1" x14ac:dyDescent="0.35">
      <c r="Y933" s="1"/>
    </row>
    <row r="934" spans="25:25" ht="15.75" customHeight="1" x14ac:dyDescent="0.35">
      <c r="Y934" s="1"/>
    </row>
    <row r="935" spans="25:25" ht="15.75" customHeight="1" x14ac:dyDescent="0.35">
      <c r="Y935" s="1"/>
    </row>
    <row r="936" spans="25:25" ht="15.75" customHeight="1" x14ac:dyDescent="0.35">
      <c r="Y936" s="1"/>
    </row>
    <row r="937" spans="25:25" ht="15.75" customHeight="1" x14ac:dyDescent="0.35">
      <c r="Y937" s="1"/>
    </row>
    <row r="938" spans="25:25" ht="15.75" customHeight="1" x14ac:dyDescent="0.35">
      <c r="Y938" s="1"/>
    </row>
    <row r="939" spans="25:25" ht="15.75" customHeight="1" x14ac:dyDescent="0.35">
      <c r="Y939" s="1"/>
    </row>
    <row r="940" spans="25:25" ht="15.75" customHeight="1" x14ac:dyDescent="0.35">
      <c r="Y940" s="1"/>
    </row>
    <row r="941" spans="25:25" ht="15.75" customHeight="1" x14ac:dyDescent="0.35">
      <c r="Y941" s="1"/>
    </row>
    <row r="942" spans="25:25" ht="15.75" customHeight="1" x14ac:dyDescent="0.35">
      <c r="Y942" s="1"/>
    </row>
    <row r="943" spans="25:25" ht="15.75" customHeight="1" x14ac:dyDescent="0.35">
      <c r="Y943" s="1"/>
    </row>
    <row r="944" spans="25:25" ht="15.75" customHeight="1" x14ac:dyDescent="0.35">
      <c r="Y944" s="1"/>
    </row>
    <row r="945" spans="25:25" ht="15.75" customHeight="1" x14ac:dyDescent="0.35">
      <c r="Y945" s="1"/>
    </row>
    <row r="946" spans="25:25" ht="15.75" customHeight="1" x14ac:dyDescent="0.35">
      <c r="Y946" s="1"/>
    </row>
    <row r="947" spans="25:25" ht="15.75" customHeight="1" x14ac:dyDescent="0.35">
      <c r="Y947" s="1"/>
    </row>
    <row r="948" spans="25:25" ht="15.75" customHeight="1" x14ac:dyDescent="0.35">
      <c r="Y948" s="1"/>
    </row>
    <row r="949" spans="25:25" ht="15.75" customHeight="1" x14ac:dyDescent="0.35">
      <c r="Y949" s="1"/>
    </row>
    <row r="950" spans="25:25" ht="15.75" customHeight="1" x14ac:dyDescent="0.35">
      <c r="Y950" s="1"/>
    </row>
    <row r="951" spans="25:25" ht="15.75" customHeight="1" x14ac:dyDescent="0.35">
      <c r="Y951" s="1"/>
    </row>
    <row r="952" spans="25:25" ht="15.75" customHeight="1" x14ac:dyDescent="0.35">
      <c r="Y952" s="1"/>
    </row>
    <row r="953" spans="25:25" ht="15.75" customHeight="1" x14ac:dyDescent="0.35">
      <c r="Y953" s="1"/>
    </row>
    <row r="954" spans="25:25" ht="15.75" customHeight="1" x14ac:dyDescent="0.35">
      <c r="Y954" s="1"/>
    </row>
    <row r="955" spans="25:25" ht="15.75" customHeight="1" x14ac:dyDescent="0.35">
      <c r="Y955" s="1"/>
    </row>
    <row r="956" spans="25:25" ht="15.75" customHeight="1" x14ac:dyDescent="0.35">
      <c r="Y956" s="1"/>
    </row>
    <row r="957" spans="25:25" ht="15.75" customHeight="1" x14ac:dyDescent="0.35">
      <c r="Y957" s="1"/>
    </row>
    <row r="958" spans="25:25" ht="15.75" customHeight="1" x14ac:dyDescent="0.35">
      <c r="Y958" s="1"/>
    </row>
    <row r="959" spans="25:25" ht="15.75" customHeight="1" x14ac:dyDescent="0.35">
      <c r="Y959" s="1"/>
    </row>
    <row r="960" spans="25:25" ht="15.75" customHeight="1" x14ac:dyDescent="0.35">
      <c r="Y960" s="1"/>
    </row>
    <row r="961" spans="25:25" ht="15.75" customHeight="1" x14ac:dyDescent="0.35">
      <c r="Y961" s="1"/>
    </row>
    <row r="962" spans="25:25" ht="15.75" customHeight="1" x14ac:dyDescent="0.35">
      <c r="Y962" s="1"/>
    </row>
    <row r="963" spans="25:25" ht="15.75" customHeight="1" x14ac:dyDescent="0.35">
      <c r="Y963" s="1"/>
    </row>
    <row r="964" spans="25:25" ht="15.75" customHeight="1" x14ac:dyDescent="0.35">
      <c r="Y964" s="1"/>
    </row>
    <row r="965" spans="25:25" ht="15.75" customHeight="1" x14ac:dyDescent="0.35">
      <c r="Y965" s="1"/>
    </row>
    <row r="966" spans="25:25" ht="15.75" customHeight="1" x14ac:dyDescent="0.35">
      <c r="Y966" s="1"/>
    </row>
    <row r="967" spans="25:25" ht="15.75" customHeight="1" x14ac:dyDescent="0.35">
      <c r="Y967" s="1"/>
    </row>
    <row r="968" spans="25:25" ht="15.75" customHeight="1" x14ac:dyDescent="0.35">
      <c r="Y968" s="1"/>
    </row>
    <row r="969" spans="25:25" ht="15.75" customHeight="1" x14ac:dyDescent="0.35">
      <c r="Y969" s="1"/>
    </row>
    <row r="970" spans="25:25" ht="15.75" customHeight="1" x14ac:dyDescent="0.35">
      <c r="Y970" s="1"/>
    </row>
    <row r="971" spans="25:25" ht="15.75" customHeight="1" x14ac:dyDescent="0.35">
      <c r="Y971" s="1"/>
    </row>
    <row r="972" spans="25:25" ht="15.75" customHeight="1" x14ac:dyDescent="0.35">
      <c r="Y972" s="1"/>
    </row>
    <row r="973" spans="25:25" ht="15.75" customHeight="1" x14ac:dyDescent="0.35">
      <c r="Y973" s="1"/>
    </row>
    <row r="974" spans="25:25" ht="15.75" customHeight="1" x14ac:dyDescent="0.35">
      <c r="Y974" s="1"/>
    </row>
    <row r="975" spans="25:25" ht="15.75" customHeight="1" x14ac:dyDescent="0.35">
      <c r="Y975" s="1"/>
    </row>
    <row r="976" spans="25:25" ht="15.75" customHeight="1" x14ac:dyDescent="0.35">
      <c r="Y976" s="1"/>
    </row>
    <row r="977" spans="25:25" ht="15.75" customHeight="1" x14ac:dyDescent="0.35">
      <c r="Y977" s="1"/>
    </row>
    <row r="978" spans="25:25" ht="15.75" customHeight="1" x14ac:dyDescent="0.35">
      <c r="Y978" s="1"/>
    </row>
    <row r="979" spans="25:25" ht="15.75" customHeight="1" x14ac:dyDescent="0.35">
      <c r="Y979" s="1"/>
    </row>
    <row r="980" spans="25:25" ht="15.75" customHeight="1" x14ac:dyDescent="0.35">
      <c r="Y980" s="1"/>
    </row>
    <row r="981" spans="25:25" ht="15.75" customHeight="1" x14ac:dyDescent="0.35">
      <c r="Y981" s="1"/>
    </row>
    <row r="982" spans="25:25" ht="15.75" customHeight="1" x14ac:dyDescent="0.35">
      <c r="Y982" s="1"/>
    </row>
    <row r="983" spans="25:25" ht="15.75" customHeight="1" x14ac:dyDescent="0.35">
      <c r="Y983" s="1"/>
    </row>
    <row r="984" spans="25:25" ht="15.75" customHeight="1" x14ac:dyDescent="0.35">
      <c r="Y984" s="1"/>
    </row>
    <row r="985" spans="25:25" ht="15.75" customHeight="1" x14ac:dyDescent="0.35">
      <c r="Y985" s="1"/>
    </row>
    <row r="986" spans="25:25" ht="15.75" customHeight="1" x14ac:dyDescent="0.35">
      <c r="Y986" s="1"/>
    </row>
    <row r="987" spans="25:25" ht="15.75" customHeight="1" x14ac:dyDescent="0.35">
      <c r="Y987" s="1"/>
    </row>
    <row r="988" spans="25:25" ht="15.75" customHeight="1" x14ac:dyDescent="0.35">
      <c r="Y988" s="1"/>
    </row>
    <row r="989" spans="25:25" ht="15.75" customHeight="1" x14ac:dyDescent="0.35">
      <c r="Y989" s="1"/>
    </row>
    <row r="990" spans="25:25" ht="15.75" customHeight="1" x14ac:dyDescent="0.35">
      <c r="Y990" s="1"/>
    </row>
    <row r="991" spans="25:25" ht="15.75" customHeight="1" x14ac:dyDescent="0.35">
      <c r="Y991" s="1"/>
    </row>
    <row r="992" spans="25:25" ht="15.75" customHeight="1" x14ac:dyDescent="0.35">
      <c r="Y992" s="1"/>
    </row>
    <row r="993" spans="25:25" ht="15.75" customHeight="1" x14ac:dyDescent="0.35">
      <c r="Y993" s="1"/>
    </row>
    <row r="994" spans="25:25" ht="15.75" customHeight="1" x14ac:dyDescent="0.35">
      <c r="Y994" s="1"/>
    </row>
    <row r="995" spans="25:25" ht="15.75" customHeight="1" x14ac:dyDescent="0.35">
      <c r="Y995" s="1"/>
    </row>
    <row r="996" spans="25:25" ht="15.75" customHeight="1" x14ac:dyDescent="0.35">
      <c r="Y996" s="1"/>
    </row>
    <row r="997" spans="25:25" ht="15.75" customHeight="1" x14ac:dyDescent="0.35">
      <c r="Y997" s="1"/>
    </row>
  </sheetData>
  <mergeCells count="49">
    <mergeCell ref="F41:G41"/>
    <mergeCell ref="F42:G42"/>
    <mergeCell ref="A1:R1"/>
    <mergeCell ref="F27:G27"/>
    <mergeCell ref="F26:G26"/>
    <mergeCell ref="F24:G24"/>
    <mergeCell ref="F40:G40"/>
    <mergeCell ref="F39:G39"/>
    <mergeCell ref="F38:G38"/>
    <mergeCell ref="F37:G37"/>
    <mergeCell ref="F36:G36"/>
    <mergeCell ref="F35:G35"/>
    <mergeCell ref="F31:G31"/>
    <mergeCell ref="F32:G32"/>
    <mergeCell ref="F30:G30"/>
    <mergeCell ref="F29:G29"/>
    <mergeCell ref="F28:G28"/>
    <mergeCell ref="H33:I33"/>
    <mergeCell ref="H41:I41"/>
    <mergeCell ref="H42:I42"/>
    <mergeCell ref="H34:I34"/>
    <mergeCell ref="H35:I35"/>
    <mergeCell ref="H36:I36"/>
    <mergeCell ref="H37:I37"/>
    <mergeCell ref="H38:I38"/>
    <mergeCell ref="H39:I39"/>
    <mergeCell ref="H40:I40"/>
    <mergeCell ref="H28:I28"/>
    <mergeCell ref="H29:I29"/>
    <mergeCell ref="H30:I30"/>
    <mergeCell ref="H31:I31"/>
    <mergeCell ref="H32:I32"/>
    <mergeCell ref="H23:I23"/>
    <mergeCell ref="H24:I24"/>
    <mergeCell ref="H25:I25"/>
    <mergeCell ref="H26:I26"/>
    <mergeCell ref="H27:I27"/>
    <mergeCell ref="H7:H8"/>
    <mergeCell ref="O7:O8"/>
    <mergeCell ref="P7:P8"/>
    <mergeCell ref="Q7:Q8"/>
    <mergeCell ref="R7:R8"/>
    <mergeCell ref="A7:A8"/>
    <mergeCell ref="B7:B8"/>
    <mergeCell ref="C7:C8"/>
    <mergeCell ref="F7:F8"/>
    <mergeCell ref="G7:G8"/>
    <mergeCell ref="D7:D8"/>
    <mergeCell ref="E7:E8"/>
  </mergeCells>
  <pageMargins left="0.70866141732283472" right="0.70866141732283472" top="0.74803149606299213" bottom="0.74803149606299213" header="0" footer="0"/>
  <pageSetup paperSize="153" scale="47" fitToHeight="0" orientation="landscape" r:id="rId1"/>
  <headerFooter>
    <oddFooter>&amp;LCreat by Wahyudiansyah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/>
  </sheetViews>
  <sheetFormatPr defaultColWidth="14.453125" defaultRowHeight="15" customHeight="1" x14ac:dyDescent="0.35"/>
  <cols>
    <col min="1" max="1" width="40.26953125" customWidth="1"/>
    <col min="2" max="2" width="12.7265625" customWidth="1"/>
    <col min="3" max="3" width="12.08984375" customWidth="1"/>
    <col min="4" max="4" width="11.81640625" customWidth="1"/>
    <col min="5" max="5" width="16.26953125" customWidth="1"/>
    <col min="6" max="6" width="18" customWidth="1"/>
    <col min="7" max="7" width="18.26953125" customWidth="1"/>
    <col min="8" max="9" width="6.453125" customWidth="1"/>
    <col min="10" max="10" width="8" customWidth="1"/>
    <col min="11" max="12" width="5.26953125" customWidth="1"/>
    <col min="13" max="13" width="8.08984375" customWidth="1"/>
    <col min="14" max="14" width="14.453125" customWidth="1"/>
    <col min="15" max="15" width="6.453125" customWidth="1"/>
    <col min="16" max="16" width="7.26953125" customWidth="1"/>
    <col min="17" max="17" width="11.54296875" customWidth="1"/>
    <col min="18" max="18" width="2.453125" customWidth="1"/>
    <col min="19" max="19" width="11.08984375" customWidth="1"/>
    <col min="20" max="26" width="8.81640625" customWidth="1"/>
  </cols>
  <sheetData>
    <row r="1" spans="1:26" ht="14.5" x14ac:dyDescent="0.35">
      <c r="X1" s="1"/>
    </row>
    <row r="2" spans="1:26" ht="14.5" x14ac:dyDescent="0.35">
      <c r="A2" s="2" t="s">
        <v>1</v>
      </c>
      <c r="W2" s="1"/>
    </row>
    <row r="3" spans="1:26" ht="14.5" x14ac:dyDescent="0.35">
      <c r="A3" s="2" t="s">
        <v>2</v>
      </c>
      <c r="W3" s="1"/>
    </row>
    <row r="4" spans="1:26" ht="14.5" x14ac:dyDescent="0.35">
      <c r="A4" s="2"/>
      <c r="X4" s="1"/>
    </row>
    <row r="5" spans="1:26" ht="14.5" x14ac:dyDescent="0.35">
      <c r="A5" s="3" t="s">
        <v>5</v>
      </c>
      <c r="B5" s="4" t="s">
        <v>6</v>
      </c>
      <c r="X5" s="1"/>
    </row>
    <row r="6" spans="1:26" ht="14.5" x14ac:dyDescent="0.35">
      <c r="A6" s="5" t="s">
        <v>7</v>
      </c>
      <c r="B6" s="4" t="s">
        <v>8</v>
      </c>
      <c r="X6" s="1"/>
    </row>
    <row r="7" spans="1:26" ht="14.5" x14ac:dyDescent="0.35">
      <c r="A7" s="5" t="s">
        <v>9</v>
      </c>
      <c r="B7" s="4" t="s">
        <v>10</v>
      </c>
      <c r="X7" s="1"/>
    </row>
    <row r="8" spans="1:26" ht="14.5" x14ac:dyDescent="0.35">
      <c r="X8" s="1"/>
    </row>
    <row r="9" spans="1:26" ht="15.75" customHeight="1" x14ac:dyDescent="0.35">
      <c r="A9" s="54" t="s">
        <v>13</v>
      </c>
      <c r="B9" s="54" t="s">
        <v>15</v>
      </c>
      <c r="C9" s="54" t="s">
        <v>17</v>
      </c>
      <c r="D9" s="54" t="s">
        <v>19</v>
      </c>
      <c r="E9" s="54" t="s">
        <v>21</v>
      </c>
      <c r="F9" s="54" t="s">
        <v>23</v>
      </c>
      <c r="G9" s="54" t="s">
        <v>28</v>
      </c>
      <c r="H9" s="10" t="s">
        <v>26</v>
      </c>
      <c r="I9" s="10" t="s">
        <v>27</v>
      </c>
      <c r="J9" s="12" t="s">
        <v>29</v>
      </c>
      <c r="K9" s="14" t="s">
        <v>30</v>
      </c>
      <c r="L9" s="14" t="s">
        <v>32</v>
      </c>
      <c r="M9" s="14" t="s">
        <v>33</v>
      </c>
      <c r="N9" s="56" t="s">
        <v>34</v>
      </c>
      <c r="O9" s="56" t="s">
        <v>35</v>
      </c>
      <c r="P9" s="54" t="s">
        <v>36</v>
      </c>
      <c r="Q9" s="56" t="s">
        <v>37</v>
      </c>
      <c r="R9" s="16"/>
      <c r="S9" s="16"/>
      <c r="T9" s="16"/>
      <c r="U9" s="16"/>
      <c r="V9" s="16"/>
      <c r="W9" s="16"/>
      <c r="X9" s="16"/>
      <c r="Y9" s="16"/>
      <c r="Z9" s="16"/>
    </row>
    <row r="10" spans="1:26" ht="14.5" x14ac:dyDescent="0.35">
      <c r="A10" s="55"/>
      <c r="B10" s="55"/>
      <c r="C10" s="55"/>
      <c r="D10" s="55"/>
      <c r="E10" s="55"/>
      <c r="F10" s="55"/>
      <c r="G10" s="55"/>
      <c r="H10" s="19">
        <v>2.3999999999999998E-3</v>
      </c>
      <c r="I10" s="19">
        <v>3.0000000000000001E-3</v>
      </c>
      <c r="J10" s="20">
        <v>0.04</v>
      </c>
      <c r="K10" s="21">
        <v>0.01</v>
      </c>
      <c r="L10" s="21">
        <v>0.02</v>
      </c>
      <c r="M10" s="21">
        <v>0.01</v>
      </c>
      <c r="N10" s="55"/>
      <c r="O10" s="55"/>
      <c r="P10" s="55"/>
      <c r="Q10" s="55"/>
      <c r="R10" s="16"/>
      <c r="S10" s="16"/>
      <c r="T10" s="16"/>
      <c r="U10" s="16"/>
      <c r="V10" s="16"/>
      <c r="W10" s="16"/>
      <c r="X10" s="16"/>
      <c r="Y10" s="16"/>
      <c r="Z10" s="16"/>
    </row>
    <row r="11" spans="1:26" ht="14.5" x14ac:dyDescent="0.35">
      <c r="A11" s="22" t="s">
        <v>39</v>
      </c>
      <c r="B11" s="18">
        <v>0</v>
      </c>
      <c r="C11" s="18"/>
      <c r="D11" s="18"/>
      <c r="E11" s="18"/>
      <c r="F11" s="18"/>
      <c r="G11" s="18">
        <f t="shared" ref="G11:G22" ca="1" si="0">P11</f>
        <v>0</v>
      </c>
      <c r="H11" s="23">
        <f t="shared" ref="H11:I11" si="1">H$10*$B11</f>
        <v>0</v>
      </c>
      <c r="I11" s="23">
        <f t="shared" si="1"/>
        <v>0</v>
      </c>
      <c r="J11" s="23">
        <f t="shared" ref="J11:J22" si="2">J$10*MIN($B11,12000000)</f>
        <v>0</v>
      </c>
      <c r="K11" s="18">
        <f t="shared" ref="K11:K22" si="3">K$10*MIN($B11,10547400)</f>
        <v>0</v>
      </c>
      <c r="L11" s="18">
        <f t="shared" ref="L11:L22" si="4">L$10*$B11</f>
        <v>0</v>
      </c>
      <c r="M11" s="18">
        <f t="shared" ref="M11:M22" si="5">M$10*MIN($B11,12000000)</f>
        <v>0</v>
      </c>
      <c r="N11" s="18">
        <f t="shared" ref="N11:N23" ca="1" si="6">SUM(B11:J11)</f>
        <v>0</v>
      </c>
      <c r="O11" s="30">
        <f t="array" aca="1" ref="O11" ca="1">INDEX(rgTarifPajak, MATCH(1, (VLOOKUP($B$6,tabPTKP,3,FALSE)=rgKategori) * (N11&gt;=rgPenghasilanMulai) * (N11&lt;=rgPenghasilanSampai), 0))</f>
        <v>0</v>
      </c>
      <c r="P11" s="18">
        <f t="shared" ref="P11:P21" ca="1" si="7">+O11*N11</f>
        <v>0</v>
      </c>
      <c r="Q11" s="18">
        <f t="shared" ref="Q11:Q22" ca="1" si="8">SUM(B11:G11)-SUM(K11:M11)-P11</f>
        <v>0</v>
      </c>
      <c r="S11" s="31"/>
      <c r="X11" s="1"/>
    </row>
    <row r="12" spans="1:26" ht="14.5" x14ac:dyDescent="0.35">
      <c r="A12" s="22" t="s">
        <v>48</v>
      </c>
      <c r="B12" s="18">
        <v>0</v>
      </c>
      <c r="C12" s="18"/>
      <c r="D12" s="18"/>
      <c r="E12" s="18"/>
      <c r="F12" s="18"/>
      <c r="G12" s="18">
        <f t="shared" ca="1" si="0"/>
        <v>0</v>
      </c>
      <c r="H12" s="23">
        <f t="shared" ref="H12:I12" si="9">H$10*$B12</f>
        <v>0</v>
      </c>
      <c r="I12" s="23">
        <f t="shared" si="9"/>
        <v>0</v>
      </c>
      <c r="J12" s="23">
        <f t="shared" si="2"/>
        <v>0</v>
      </c>
      <c r="K12" s="18">
        <f t="shared" si="3"/>
        <v>0</v>
      </c>
      <c r="L12" s="18">
        <f t="shared" si="4"/>
        <v>0</v>
      </c>
      <c r="M12" s="18">
        <f t="shared" si="5"/>
        <v>0</v>
      </c>
      <c r="N12" s="18">
        <f t="shared" ca="1" si="6"/>
        <v>0</v>
      </c>
      <c r="O12" s="30">
        <f t="array" aca="1" ref="O12" ca="1">INDEX(rgTarifPajak, MATCH(1, (VLOOKUP($B$6,tabPTKP,3,FALSE)=rgKategori) * (N12&gt;=rgPenghasilanMulai) * (N12&lt;=rgPenghasilanSampai), 0))</f>
        <v>0</v>
      </c>
      <c r="P12" s="18">
        <f t="shared" ca="1" si="7"/>
        <v>0</v>
      </c>
      <c r="Q12" s="18">
        <f t="shared" ca="1" si="8"/>
        <v>0</v>
      </c>
      <c r="X12" s="1"/>
    </row>
    <row r="13" spans="1:26" ht="14.5" x14ac:dyDescent="0.35">
      <c r="A13" s="22" t="s">
        <v>49</v>
      </c>
      <c r="B13" s="18">
        <v>0</v>
      </c>
      <c r="C13" s="18"/>
      <c r="D13" s="18"/>
      <c r="E13" s="18"/>
      <c r="F13" s="18"/>
      <c r="G13" s="18">
        <f t="shared" ca="1" si="0"/>
        <v>0</v>
      </c>
      <c r="H13" s="23">
        <f t="shared" ref="H13:I13" si="10">H$10*$B13</f>
        <v>0</v>
      </c>
      <c r="I13" s="23">
        <f t="shared" si="10"/>
        <v>0</v>
      </c>
      <c r="J13" s="23">
        <f t="shared" si="2"/>
        <v>0</v>
      </c>
      <c r="K13" s="18">
        <f t="shared" si="3"/>
        <v>0</v>
      </c>
      <c r="L13" s="18">
        <f t="shared" si="4"/>
        <v>0</v>
      </c>
      <c r="M13" s="18">
        <f t="shared" si="5"/>
        <v>0</v>
      </c>
      <c r="N13" s="18">
        <f t="shared" ca="1" si="6"/>
        <v>0</v>
      </c>
      <c r="O13" s="30">
        <f t="array" aca="1" ref="O13" ca="1">INDEX(rgTarifPajak, MATCH(1, (VLOOKUP($B$6,tabPTKP,3,FALSE)=rgKategori) * (N13&gt;=rgPenghasilanMulai) * (N13&lt;=rgPenghasilanSampai), 0))</f>
        <v>0</v>
      </c>
      <c r="P13" s="18">
        <f t="shared" ca="1" si="7"/>
        <v>0</v>
      </c>
      <c r="Q13" s="18">
        <f t="shared" ca="1" si="8"/>
        <v>0</v>
      </c>
      <c r="X13" s="1"/>
    </row>
    <row r="14" spans="1:26" ht="14.5" x14ac:dyDescent="0.35">
      <c r="A14" s="22" t="s">
        <v>50</v>
      </c>
      <c r="B14" s="18">
        <v>0</v>
      </c>
      <c r="C14" s="18"/>
      <c r="D14" s="18"/>
      <c r="E14" s="18"/>
      <c r="F14" s="18"/>
      <c r="G14" s="18">
        <f t="shared" ca="1" si="0"/>
        <v>0</v>
      </c>
      <c r="H14" s="23">
        <f t="shared" ref="H14:I14" si="11">H$10*$B14</f>
        <v>0</v>
      </c>
      <c r="I14" s="23">
        <f t="shared" si="11"/>
        <v>0</v>
      </c>
      <c r="J14" s="23">
        <f t="shared" si="2"/>
        <v>0</v>
      </c>
      <c r="K14" s="18">
        <f t="shared" si="3"/>
        <v>0</v>
      </c>
      <c r="L14" s="18">
        <f t="shared" si="4"/>
        <v>0</v>
      </c>
      <c r="M14" s="18">
        <f t="shared" si="5"/>
        <v>0</v>
      </c>
      <c r="N14" s="18">
        <f t="shared" ca="1" si="6"/>
        <v>0</v>
      </c>
      <c r="O14" s="30">
        <f t="array" aca="1" ref="O14" ca="1">INDEX(rgTarifPajak, MATCH(1, (VLOOKUP($B$6,tabPTKP,3,FALSE)=rgKategori) * (N14&gt;=rgPenghasilanMulai) * (N14&lt;=rgPenghasilanSampai), 0))</f>
        <v>0</v>
      </c>
      <c r="P14" s="18">
        <f t="shared" ca="1" si="7"/>
        <v>0</v>
      </c>
      <c r="Q14" s="18">
        <f t="shared" ca="1" si="8"/>
        <v>0</v>
      </c>
      <c r="X14" s="1"/>
    </row>
    <row r="15" spans="1:26" ht="14.5" x14ac:dyDescent="0.35">
      <c r="A15" s="22" t="s">
        <v>51</v>
      </c>
      <c r="B15" s="18">
        <v>0</v>
      </c>
      <c r="C15" s="18"/>
      <c r="D15" s="18"/>
      <c r="E15" s="18"/>
      <c r="F15" s="18"/>
      <c r="G15" s="18">
        <f t="shared" ca="1" si="0"/>
        <v>0</v>
      </c>
      <c r="H15" s="23">
        <f t="shared" ref="H15:I15" si="12">H$10*$B15</f>
        <v>0</v>
      </c>
      <c r="I15" s="23">
        <f t="shared" si="12"/>
        <v>0</v>
      </c>
      <c r="J15" s="23">
        <f t="shared" si="2"/>
        <v>0</v>
      </c>
      <c r="K15" s="18">
        <f t="shared" si="3"/>
        <v>0</v>
      </c>
      <c r="L15" s="18">
        <f t="shared" si="4"/>
        <v>0</v>
      </c>
      <c r="M15" s="18">
        <f t="shared" si="5"/>
        <v>0</v>
      </c>
      <c r="N15" s="18">
        <f t="shared" ca="1" si="6"/>
        <v>0</v>
      </c>
      <c r="O15" s="30">
        <f t="array" aca="1" ref="O15" ca="1">INDEX(rgTarifPajak, MATCH(1, (VLOOKUP($B$6,tabPTKP,3,FALSE)=rgKategori) * (N15&gt;=rgPenghasilanMulai) * (N15&lt;=rgPenghasilanSampai), 0))</f>
        <v>0</v>
      </c>
      <c r="P15" s="18">
        <f t="shared" ca="1" si="7"/>
        <v>0</v>
      </c>
      <c r="Q15" s="18">
        <f t="shared" ca="1" si="8"/>
        <v>0</v>
      </c>
      <c r="X15" s="1"/>
    </row>
    <row r="16" spans="1:26" ht="14.5" x14ac:dyDescent="0.35">
      <c r="A16" s="22" t="s">
        <v>52</v>
      </c>
      <c r="B16" s="18">
        <v>0</v>
      </c>
      <c r="C16" s="18"/>
      <c r="D16" s="18"/>
      <c r="E16" s="18"/>
      <c r="F16" s="18"/>
      <c r="G16" s="18">
        <f t="shared" ca="1" si="0"/>
        <v>0</v>
      </c>
      <c r="H16" s="23">
        <f t="shared" ref="H16:I16" si="13">H$10*$B16</f>
        <v>0</v>
      </c>
      <c r="I16" s="23">
        <f t="shared" si="13"/>
        <v>0</v>
      </c>
      <c r="J16" s="23">
        <f t="shared" si="2"/>
        <v>0</v>
      </c>
      <c r="K16" s="18">
        <f t="shared" si="3"/>
        <v>0</v>
      </c>
      <c r="L16" s="18">
        <f t="shared" si="4"/>
        <v>0</v>
      </c>
      <c r="M16" s="18">
        <f t="shared" si="5"/>
        <v>0</v>
      </c>
      <c r="N16" s="18">
        <f t="shared" ca="1" si="6"/>
        <v>0</v>
      </c>
      <c r="O16" s="30">
        <f t="array" aca="1" ref="O16" ca="1">INDEX(rgTarifPajak, MATCH(1, (VLOOKUP($B$6,tabPTKP,3,FALSE)=rgKategori) * (N16&gt;=rgPenghasilanMulai) * (N16&lt;=rgPenghasilanSampai), 0))</f>
        <v>0</v>
      </c>
      <c r="P16" s="18">
        <f t="shared" ca="1" si="7"/>
        <v>0</v>
      </c>
      <c r="Q16" s="18">
        <f t="shared" ca="1" si="8"/>
        <v>0</v>
      </c>
      <c r="X16" s="1"/>
    </row>
    <row r="17" spans="1:24" ht="14.5" x14ac:dyDescent="0.35">
      <c r="A17" s="22" t="s">
        <v>53</v>
      </c>
      <c r="B17" s="18">
        <v>0</v>
      </c>
      <c r="C17" s="18"/>
      <c r="D17" s="18"/>
      <c r="E17" s="18"/>
      <c r="F17" s="18"/>
      <c r="G17" s="18">
        <f t="shared" ca="1" si="0"/>
        <v>0</v>
      </c>
      <c r="H17" s="23">
        <f t="shared" ref="H17:I17" si="14">H$10*$B17</f>
        <v>0</v>
      </c>
      <c r="I17" s="23">
        <f t="shared" si="14"/>
        <v>0</v>
      </c>
      <c r="J17" s="23">
        <f t="shared" si="2"/>
        <v>0</v>
      </c>
      <c r="K17" s="18">
        <f t="shared" si="3"/>
        <v>0</v>
      </c>
      <c r="L17" s="18">
        <f t="shared" si="4"/>
        <v>0</v>
      </c>
      <c r="M17" s="18">
        <f t="shared" si="5"/>
        <v>0</v>
      </c>
      <c r="N17" s="18">
        <f t="shared" ca="1" si="6"/>
        <v>0</v>
      </c>
      <c r="O17" s="30">
        <f t="array" aca="1" ref="O17" ca="1">INDEX(rgTarifPajak, MATCH(1, (VLOOKUP($B$6,tabPTKP,3,FALSE)=rgKategori) * (N17&gt;=rgPenghasilanMulai) * (N17&lt;=rgPenghasilanSampai), 0))</f>
        <v>0</v>
      </c>
      <c r="P17" s="18">
        <f t="shared" ca="1" si="7"/>
        <v>0</v>
      </c>
      <c r="Q17" s="18">
        <f t="shared" ca="1" si="8"/>
        <v>0</v>
      </c>
      <c r="X17" s="1"/>
    </row>
    <row r="18" spans="1:24" ht="14.5" x14ac:dyDescent="0.35">
      <c r="A18" s="22" t="s">
        <v>54</v>
      </c>
      <c r="B18" s="18">
        <v>0</v>
      </c>
      <c r="C18" s="18"/>
      <c r="D18" s="18"/>
      <c r="E18" s="18"/>
      <c r="F18" s="18"/>
      <c r="G18" s="18">
        <f t="shared" ca="1" si="0"/>
        <v>0</v>
      </c>
      <c r="H18" s="23">
        <f t="shared" ref="H18:I18" si="15">H$10*$B18</f>
        <v>0</v>
      </c>
      <c r="I18" s="23">
        <f t="shared" si="15"/>
        <v>0</v>
      </c>
      <c r="J18" s="23">
        <f t="shared" si="2"/>
        <v>0</v>
      </c>
      <c r="K18" s="18">
        <f t="shared" si="3"/>
        <v>0</v>
      </c>
      <c r="L18" s="18">
        <f t="shared" si="4"/>
        <v>0</v>
      </c>
      <c r="M18" s="18">
        <f t="shared" si="5"/>
        <v>0</v>
      </c>
      <c r="N18" s="18">
        <f t="shared" ca="1" si="6"/>
        <v>0</v>
      </c>
      <c r="O18" s="30">
        <f t="array" aca="1" ref="O18" ca="1">INDEX(rgTarifPajak, MATCH(1, (VLOOKUP($B$6,tabPTKP,3,FALSE)=rgKategori) * (N18&gt;=rgPenghasilanMulai) * (N18&lt;=rgPenghasilanSampai), 0))</f>
        <v>0</v>
      </c>
      <c r="P18" s="18">
        <f t="shared" ca="1" si="7"/>
        <v>0</v>
      </c>
      <c r="Q18" s="18">
        <f t="shared" ca="1" si="8"/>
        <v>0</v>
      </c>
      <c r="X18" s="1"/>
    </row>
    <row r="19" spans="1:24" ht="14.5" x14ac:dyDescent="0.35">
      <c r="A19" s="22" t="s">
        <v>55</v>
      </c>
      <c r="B19" s="18">
        <v>0</v>
      </c>
      <c r="C19" s="18"/>
      <c r="D19" s="18"/>
      <c r="E19" s="18"/>
      <c r="F19" s="18"/>
      <c r="G19" s="18">
        <f t="shared" ca="1" si="0"/>
        <v>0</v>
      </c>
      <c r="H19" s="23">
        <f t="shared" ref="H19:I19" si="16">H$10*$B19</f>
        <v>0</v>
      </c>
      <c r="I19" s="23">
        <f t="shared" si="16"/>
        <v>0</v>
      </c>
      <c r="J19" s="23">
        <f t="shared" si="2"/>
        <v>0</v>
      </c>
      <c r="K19" s="18">
        <f t="shared" si="3"/>
        <v>0</v>
      </c>
      <c r="L19" s="18">
        <f t="shared" si="4"/>
        <v>0</v>
      </c>
      <c r="M19" s="18">
        <f t="shared" si="5"/>
        <v>0</v>
      </c>
      <c r="N19" s="18">
        <f t="shared" ca="1" si="6"/>
        <v>0</v>
      </c>
      <c r="O19" s="30">
        <f t="array" aca="1" ref="O19" ca="1">INDEX(rgTarifPajak, MATCH(1, (VLOOKUP($B$6,tabPTKP,3,FALSE)=rgKategori) * (N19&gt;=rgPenghasilanMulai) * (N19&lt;=rgPenghasilanSampai), 0))</f>
        <v>0</v>
      </c>
      <c r="P19" s="18">
        <f t="shared" ca="1" si="7"/>
        <v>0</v>
      </c>
      <c r="Q19" s="18">
        <f t="shared" ca="1" si="8"/>
        <v>0</v>
      </c>
      <c r="X19" s="1"/>
    </row>
    <row r="20" spans="1:24" ht="14.5" x14ac:dyDescent="0.35">
      <c r="A20" s="22" t="s">
        <v>56</v>
      </c>
      <c r="B20" s="18">
        <v>0</v>
      </c>
      <c r="C20" s="18"/>
      <c r="D20" s="18"/>
      <c r="E20" s="18"/>
      <c r="F20" s="18"/>
      <c r="G20" s="18">
        <f t="shared" ca="1" si="0"/>
        <v>0</v>
      </c>
      <c r="H20" s="23">
        <f t="shared" ref="H20:I20" si="17">H$10*$B20</f>
        <v>0</v>
      </c>
      <c r="I20" s="23">
        <f t="shared" si="17"/>
        <v>0</v>
      </c>
      <c r="J20" s="23">
        <f t="shared" si="2"/>
        <v>0</v>
      </c>
      <c r="K20" s="18">
        <f t="shared" si="3"/>
        <v>0</v>
      </c>
      <c r="L20" s="18">
        <f t="shared" si="4"/>
        <v>0</v>
      </c>
      <c r="M20" s="18">
        <f t="shared" si="5"/>
        <v>0</v>
      </c>
      <c r="N20" s="18">
        <f t="shared" ca="1" si="6"/>
        <v>0</v>
      </c>
      <c r="O20" s="30">
        <f t="array" aca="1" ref="O20" ca="1">INDEX(rgTarifPajak, MATCH(1, (VLOOKUP($B$6,tabPTKP,3,FALSE)=rgKategori) * (N20&gt;=rgPenghasilanMulai) * (N20&lt;=rgPenghasilanSampai), 0))</f>
        <v>0</v>
      </c>
      <c r="P20" s="18">
        <f t="shared" ca="1" si="7"/>
        <v>0</v>
      </c>
      <c r="Q20" s="18">
        <f t="shared" ca="1" si="8"/>
        <v>0</v>
      </c>
      <c r="X20" s="1"/>
    </row>
    <row r="21" spans="1:24" ht="15.75" customHeight="1" x14ac:dyDescent="0.35">
      <c r="A21" s="22" t="s">
        <v>57</v>
      </c>
      <c r="B21" s="18">
        <v>0</v>
      </c>
      <c r="C21" s="18"/>
      <c r="D21" s="18"/>
      <c r="E21" s="18"/>
      <c r="F21" s="18"/>
      <c r="G21" s="18">
        <f t="shared" ca="1" si="0"/>
        <v>0</v>
      </c>
      <c r="H21" s="23">
        <f t="shared" ref="H21:I21" si="18">H$10*$B21</f>
        <v>0</v>
      </c>
      <c r="I21" s="23">
        <f t="shared" si="18"/>
        <v>0</v>
      </c>
      <c r="J21" s="23">
        <f t="shared" si="2"/>
        <v>0</v>
      </c>
      <c r="K21" s="18">
        <f t="shared" si="3"/>
        <v>0</v>
      </c>
      <c r="L21" s="18">
        <f t="shared" si="4"/>
        <v>0</v>
      </c>
      <c r="M21" s="18">
        <f t="shared" si="5"/>
        <v>0</v>
      </c>
      <c r="N21" s="18">
        <f t="shared" ca="1" si="6"/>
        <v>0</v>
      </c>
      <c r="O21" s="30">
        <f t="array" aca="1" ref="O21" ca="1">INDEX(rgTarifPajak, MATCH(1, (VLOOKUP($B$6,tabPTKP,3,FALSE)=rgKategori) * (N21&gt;=rgPenghasilanMulai) * (N21&lt;=rgPenghasilanSampai), 0))</f>
        <v>0</v>
      </c>
      <c r="P21" s="18">
        <f t="shared" ca="1" si="7"/>
        <v>0</v>
      </c>
      <c r="Q21" s="18">
        <f t="shared" ca="1" si="8"/>
        <v>0</v>
      </c>
      <c r="X21" s="1"/>
    </row>
    <row r="22" spans="1:24" ht="15.75" customHeight="1" x14ac:dyDescent="0.35">
      <c r="A22" s="22" t="s">
        <v>58</v>
      </c>
      <c r="B22" s="18">
        <v>0</v>
      </c>
      <c r="C22" s="18"/>
      <c r="D22" s="31"/>
      <c r="E22" s="18"/>
      <c r="F22" s="18"/>
      <c r="G22" s="18">
        <f t="shared" ca="1" si="0"/>
        <v>-2834645.6692913389</v>
      </c>
      <c r="H22" s="23">
        <f t="shared" ref="H22:I22" si="19">H$10*$B22</f>
        <v>0</v>
      </c>
      <c r="I22" s="23">
        <f t="shared" si="19"/>
        <v>0</v>
      </c>
      <c r="J22" s="23">
        <f t="shared" si="2"/>
        <v>0</v>
      </c>
      <c r="K22" s="18">
        <f t="shared" si="3"/>
        <v>0</v>
      </c>
      <c r="L22" s="18">
        <f t="shared" si="4"/>
        <v>0</v>
      </c>
      <c r="M22" s="18">
        <f t="shared" si="5"/>
        <v>0</v>
      </c>
      <c r="N22" s="18">
        <f t="shared" ca="1" si="6"/>
        <v>-2834645.6692913389</v>
      </c>
      <c r="O22" s="32"/>
      <c r="P22" s="18">
        <f ca="1">E45</f>
        <v>-2834645.6692913389</v>
      </c>
      <c r="Q22" s="18">
        <f t="shared" ca="1" si="8"/>
        <v>0</v>
      </c>
      <c r="X22" s="1"/>
    </row>
    <row r="23" spans="1:24" ht="15.75" customHeight="1" x14ac:dyDescent="0.35">
      <c r="A23" s="33" t="s">
        <v>59</v>
      </c>
      <c r="B23" s="34">
        <f t="shared" ref="B23:M23" si="20">SUM(B11:B22)</f>
        <v>0</v>
      </c>
      <c r="C23" s="34">
        <f t="shared" si="20"/>
        <v>0</v>
      </c>
      <c r="D23" s="34">
        <f t="shared" si="20"/>
        <v>0</v>
      </c>
      <c r="E23" s="34">
        <f t="shared" si="20"/>
        <v>0</v>
      </c>
      <c r="F23" s="34">
        <f t="shared" si="20"/>
        <v>0</v>
      </c>
      <c r="G23" s="34">
        <f t="shared" ca="1" si="20"/>
        <v>-2834645.6692913389</v>
      </c>
      <c r="H23" s="34">
        <f t="shared" si="20"/>
        <v>0</v>
      </c>
      <c r="I23" s="34">
        <f t="shared" si="20"/>
        <v>0</v>
      </c>
      <c r="J23" s="34">
        <f t="shared" si="20"/>
        <v>0</v>
      </c>
      <c r="K23" s="34">
        <f t="shared" si="20"/>
        <v>0</v>
      </c>
      <c r="L23" s="34">
        <f t="shared" si="20"/>
        <v>0</v>
      </c>
      <c r="M23" s="34">
        <f t="shared" si="20"/>
        <v>0</v>
      </c>
      <c r="N23" s="34">
        <f t="shared" ca="1" si="6"/>
        <v>-2834645.6692913389</v>
      </c>
      <c r="O23" s="34"/>
      <c r="P23" s="34">
        <f t="shared" ref="P23:Q23" ca="1" si="21">SUM(P11:P22)</f>
        <v>-2834645.6692913389</v>
      </c>
      <c r="Q23" s="34">
        <f t="shared" ca="1" si="21"/>
        <v>0</v>
      </c>
      <c r="X23" s="1"/>
    </row>
    <row r="24" spans="1:24" ht="15.75" customHeight="1" x14ac:dyDescent="0.35">
      <c r="X24" s="1"/>
    </row>
    <row r="25" spans="1:24" ht="15.75" customHeight="1" x14ac:dyDescent="0.35">
      <c r="X25" s="1"/>
    </row>
    <row r="26" spans="1:24" ht="15.75" customHeight="1" x14ac:dyDescent="0.35">
      <c r="A26" s="35" t="s">
        <v>60</v>
      </c>
      <c r="B26" s="35"/>
      <c r="C26" s="35"/>
      <c r="D26" s="35"/>
      <c r="E26" s="35"/>
      <c r="F26" s="46" t="s">
        <v>61</v>
      </c>
      <c r="G26" s="47"/>
      <c r="X26" s="1"/>
    </row>
    <row r="27" spans="1:24" ht="15.75" customHeight="1" x14ac:dyDescent="0.35">
      <c r="A27" s="36" t="s">
        <v>62</v>
      </c>
      <c r="B27" s="37"/>
      <c r="C27" s="37"/>
      <c r="D27" s="37"/>
      <c r="E27" s="38">
        <f ca="1">N23</f>
        <v>-2834645.6692913389</v>
      </c>
      <c r="F27" s="50">
        <v>1</v>
      </c>
      <c r="G27" s="51"/>
      <c r="X27" s="1"/>
    </row>
    <row r="28" spans="1:24" ht="15.75" customHeight="1" x14ac:dyDescent="0.35">
      <c r="A28" s="39" t="s">
        <v>63</v>
      </c>
      <c r="B28" s="40"/>
      <c r="C28" s="40"/>
      <c r="D28" s="40"/>
      <c r="E28" s="40"/>
      <c r="F28" s="50"/>
      <c r="G28" s="51"/>
      <c r="X28" s="1"/>
    </row>
    <row r="29" spans="1:24" ht="15.75" customHeight="1" x14ac:dyDescent="0.35">
      <c r="A29" s="41" t="s">
        <v>64</v>
      </c>
      <c r="D29" s="31">
        <f ca="1">MIN(6000000,5%*N23)</f>
        <v>-141732.28346456695</v>
      </c>
      <c r="F29" s="50">
        <v>2</v>
      </c>
      <c r="G29" s="51"/>
      <c r="X29" s="1"/>
    </row>
    <row r="30" spans="1:24" ht="15.75" customHeight="1" x14ac:dyDescent="0.35">
      <c r="A30" s="41" t="s">
        <v>65</v>
      </c>
      <c r="C30" s="42">
        <f>K10</f>
        <v>0.01</v>
      </c>
      <c r="D30" s="31">
        <f>K23</f>
        <v>0</v>
      </c>
      <c r="F30" s="50">
        <v>3</v>
      </c>
      <c r="G30" s="51"/>
      <c r="X30" s="1"/>
    </row>
    <row r="31" spans="1:24" ht="15.75" customHeight="1" x14ac:dyDescent="0.35">
      <c r="A31" s="41" t="s">
        <v>66</v>
      </c>
      <c r="C31" s="42">
        <f>L10</f>
        <v>0.02</v>
      </c>
      <c r="D31" s="31">
        <f>L23</f>
        <v>0</v>
      </c>
      <c r="F31" s="50">
        <v>4</v>
      </c>
      <c r="G31" s="51"/>
      <c r="X31" s="1"/>
    </row>
    <row r="32" spans="1:24" ht="15.75" customHeight="1" x14ac:dyDescent="0.35">
      <c r="A32" s="43"/>
      <c r="B32" s="44"/>
      <c r="C32" s="44"/>
      <c r="D32" s="44"/>
      <c r="E32" s="45">
        <f ca="1">SUM(D29:D31)</f>
        <v>-141732.28346456695</v>
      </c>
      <c r="F32" s="50" t="s">
        <v>67</v>
      </c>
      <c r="G32" s="51"/>
      <c r="X32" s="1"/>
    </row>
    <row r="33" spans="1:24" ht="15.75" customHeight="1" x14ac:dyDescent="0.35">
      <c r="A33" s="36" t="s">
        <v>68</v>
      </c>
      <c r="B33" s="37"/>
      <c r="C33" s="37"/>
      <c r="D33" s="37"/>
      <c r="E33" s="38">
        <f ca="1">E27-E32</f>
        <v>-2692913.3858267721</v>
      </c>
      <c r="F33" s="50" t="s">
        <v>69</v>
      </c>
      <c r="G33" s="51"/>
      <c r="X33" s="1"/>
    </row>
    <row r="34" spans="1:24" ht="15.75" customHeight="1" x14ac:dyDescent="0.35">
      <c r="A34" s="41" t="s">
        <v>70</v>
      </c>
      <c r="D34" s="31">
        <f>VLOOKUP($B$6,tabPTKP,2,FALSE)</f>
        <v>54000000</v>
      </c>
      <c r="F34" s="50">
        <v>7</v>
      </c>
      <c r="G34" s="51"/>
      <c r="X34" s="1"/>
    </row>
    <row r="35" spans="1:24" ht="15.75" customHeight="1" x14ac:dyDescent="0.35">
      <c r="A35" s="43" t="s">
        <v>71</v>
      </c>
      <c r="B35" s="44"/>
      <c r="C35" s="44"/>
      <c r="D35" s="44"/>
      <c r="E35" s="45">
        <f ca="1">E33-D34</f>
        <v>-56692913.385826774</v>
      </c>
      <c r="F35" s="50">
        <v>8</v>
      </c>
      <c r="G35" s="51"/>
      <c r="X35" s="1"/>
    </row>
    <row r="36" spans="1:24" ht="15.75" customHeight="1" x14ac:dyDescent="0.35">
      <c r="A36" s="36"/>
      <c r="B36" s="37"/>
      <c r="C36" s="37"/>
      <c r="D36" s="37"/>
      <c r="E36" s="37"/>
      <c r="F36" s="50"/>
      <c r="G36" s="51"/>
      <c r="X36" s="1"/>
    </row>
    <row r="37" spans="1:24" ht="15.75" customHeight="1" x14ac:dyDescent="0.35">
      <c r="A37" s="48" t="s">
        <v>72</v>
      </c>
      <c r="B37" s="37"/>
      <c r="C37" s="37"/>
      <c r="D37" s="37"/>
      <c r="E37" s="37"/>
      <c r="F37" s="50"/>
      <c r="G37" s="51"/>
      <c r="X37" s="1"/>
    </row>
    <row r="38" spans="1:24" ht="15.75" customHeight="1" x14ac:dyDescent="0.35">
      <c r="A38" s="49">
        <v>0.05</v>
      </c>
      <c r="B38" s="1" t="s">
        <v>73</v>
      </c>
      <c r="C38" s="31">
        <f ca="1">MIN(E35,Referensi!M4)</f>
        <v>-56692913.385826774</v>
      </c>
      <c r="D38" s="31">
        <f t="shared" ref="D38:D42" ca="1" si="22">A38*C38</f>
        <v>-2834645.6692913389</v>
      </c>
      <c r="F38" s="50">
        <v>9</v>
      </c>
      <c r="G38" s="51"/>
      <c r="X38" s="1"/>
    </row>
    <row r="39" spans="1:24" ht="15.75" customHeight="1" x14ac:dyDescent="0.35">
      <c r="A39" s="49">
        <v>0.15</v>
      </c>
      <c r="B39" s="1" t="s">
        <v>73</v>
      </c>
      <c r="C39" s="31">
        <f ca="1">MIN(Referensi!M5,MAX(E35-Referensi!M4,0))</f>
        <v>0</v>
      </c>
      <c r="D39" s="31">
        <f t="shared" ca="1" si="22"/>
        <v>0</v>
      </c>
      <c r="F39" s="50">
        <v>10</v>
      </c>
      <c r="G39" s="51"/>
      <c r="X39" s="1"/>
    </row>
    <row r="40" spans="1:24" ht="15.75" customHeight="1" x14ac:dyDescent="0.35">
      <c r="A40" s="49">
        <v>0.25</v>
      </c>
      <c r="B40" s="1" t="s">
        <v>73</v>
      </c>
      <c r="C40" s="31">
        <f ca="1">MIN(Referensi!M5,MAX(E35-Referensi!M4-Referensi!M5,0))</f>
        <v>0</v>
      </c>
      <c r="D40" s="31">
        <f t="shared" ca="1" si="22"/>
        <v>0</v>
      </c>
      <c r="F40" s="50">
        <v>11</v>
      </c>
      <c r="G40" s="51"/>
      <c r="X40" s="1"/>
    </row>
    <row r="41" spans="1:24" ht="15.75" customHeight="1" x14ac:dyDescent="0.35">
      <c r="A41" s="49">
        <v>0.3</v>
      </c>
      <c r="B41" s="1" t="s">
        <v>73</v>
      </c>
      <c r="C41" s="31">
        <f ca="1">MIN(Referensi!M5,MAX(E35-Referensi!M4-Referensi!M5-Referensi!M6,0))</f>
        <v>0</v>
      </c>
      <c r="D41" s="31">
        <f t="shared" ca="1" si="22"/>
        <v>0</v>
      </c>
      <c r="F41" s="50">
        <v>12</v>
      </c>
      <c r="G41" s="51"/>
      <c r="X41" s="1"/>
    </row>
    <row r="42" spans="1:24" ht="15.75" customHeight="1" x14ac:dyDescent="0.35">
      <c r="A42" s="49">
        <v>0.35</v>
      </c>
      <c r="B42" s="1" t="s">
        <v>73</v>
      </c>
      <c r="C42" s="31">
        <f ca="1">MIN(Referensi!M5,MAX(E35-Referensi!M4-Referensi!M5-Referensi!M6-Referensi!M7,0))</f>
        <v>0</v>
      </c>
      <c r="D42" s="31">
        <f t="shared" ca="1" si="22"/>
        <v>0</v>
      </c>
      <c r="F42" s="50">
        <v>13</v>
      </c>
      <c r="G42" s="51"/>
      <c r="X42" s="1"/>
    </row>
    <row r="43" spans="1:24" ht="15.75" customHeight="1" x14ac:dyDescent="0.35">
      <c r="A43" s="43"/>
      <c r="B43" s="44"/>
      <c r="C43" s="45"/>
      <c r="D43" s="45"/>
      <c r="E43" s="45">
        <f ca="1">SUM(D38:D42)</f>
        <v>-2834645.6692913389</v>
      </c>
      <c r="F43" s="50" t="s">
        <v>74</v>
      </c>
      <c r="G43" s="51"/>
      <c r="X43" s="1"/>
    </row>
    <row r="44" spans="1:24" ht="15.75" customHeight="1" x14ac:dyDescent="0.35">
      <c r="A44" s="48" t="s">
        <v>75</v>
      </c>
      <c r="B44" s="37"/>
      <c r="C44" s="37"/>
      <c r="D44" s="37"/>
      <c r="E44" s="38">
        <f ca="1">SUM(P11:P21)</f>
        <v>0</v>
      </c>
      <c r="F44" s="50">
        <v>15</v>
      </c>
      <c r="G44" s="51"/>
      <c r="X44" s="1"/>
    </row>
    <row r="45" spans="1:24" ht="15.75" customHeight="1" x14ac:dyDescent="0.35">
      <c r="A45" s="52" t="s">
        <v>76</v>
      </c>
      <c r="B45" s="44"/>
      <c r="C45" s="44"/>
      <c r="D45" s="44"/>
      <c r="E45" s="53">
        <f ca="1">E43-E44</f>
        <v>-2834645.6692913389</v>
      </c>
      <c r="F45" s="50" t="s">
        <v>77</v>
      </c>
      <c r="G45" s="51"/>
      <c r="X45" s="1"/>
    </row>
    <row r="46" spans="1:24" ht="15.75" customHeight="1" x14ac:dyDescent="0.35">
      <c r="X46" s="1"/>
    </row>
    <row r="47" spans="1:24" ht="15.75" customHeight="1" x14ac:dyDescent="0.35">
      <c r="X47" s="1"/>
    </row>
    <row r="48" spans="1:24" ht="15.75" customHeight="1" x14ac:dyDescent="0.35">
      <c r="X48" s="1"/>
    </row>
    <row r="49" spans="24:24" ht="15.75" customHeight="1" x14ac:dyDescent="0.35">
      <c r="X49" s="1"/>
    </row>
    <row r="50" spans="24:24" ht="15.75" customHeight="1" x14ac:dyDescent="0.35">
      <c r="X50" s="1"/>
    </row>
    <row r="51" spans="24:24" ht="15.75" customHeight="1" x14ac:dyDescent="0.35">
      <c r="X51" s="1"/>
    </row>
    <row r="52" spans="24:24" ht="15.75" customHeight="1" x14ac:dyDescent="0.35">
      <c r="X52" s="1"/>
    </row>
    <row r="53" spans="24:24" ht="15.75" customHeight="1" x14ac:dyDescent="0.35">
      <c r="X53" s="1"/>
    </row>
    <row r="54" spans="24:24" ht="15.75" customHeight="1" x14ac:dyDescent="0.35">
      <c r="X54" s="1"/>
    </row>
    <row r="55" spans="24:24" ht="15.75" customHeight="1" x14ac:dyDescent="0.35">
      <c r="X55" s="1"/>
    </row>
    <row r="56" spans="24:24" ht="15.75" customHeight="1" x14ac:dyDescent="0.35">
      <c r="X56" s="1"/>
    </row>
    <row r="57" spans="24:24" ht="15.75" customHeight="1" x14ac:dyDescent="0.35">
      <c r="X57" s="1"/>
    </row>
    <row r="58" spans="24:24" ht="15.75" customHeight="1" x14ac:dyDescent="0.35">
      <c r="X58" s="1"/>
    </row>
    <row r="59" spans="24:24" ht="15.75" customHeight="1" x14ac:dyDescent="0.35">
      <c r="X59" s="1"/>
    </row>
    <row r="60" spans="24:24" ht="15.75" customHeight="1" x14ac:dyDescent="0.35">
      <c r="X60" s="1"/>
    </row>
    <row r="61" spans="24:24" ht="15.75" customHeight="1" x14ac:dyDescent="0.35">
      <c r="X61" s="1"/>
    </row>
    <row r="62" spans="24:24" ht="15.75" customHeight="1" x14ac:dyDescent="0.35">
      <c r="X62" s="1"/>
    </row>
    <row r="63" spans="24:24" ht="15.75" customHeight="1" x14ac:dyDescent="0.35">
      <c r="X63" s="1"/>
    </row>
    <row r="64" spans="24:24" ht="15.75" customHeight="1" x14ac:dyDescent="0.35">
      <c r="X64" s="1"/>
    </row>
    <row r="65" spans="24:24" ht="15.75" customHeight="1" x14ac:dyDescent="0.35">
      <c r="X65" s="1"/>
    </row>
    <row r="66" spans="24:24" ht="15.75" customHeight="1" x14ac:dyDescent="0.35">
      <c r="X66" s="1"/>
    </row>
    <row r="67" spans="24:24" ht="15.75" customHeight="1" x14ac:dyDescent="0.35">
      <c r="X67" s="1"/>
    </row>
    <row r="68" spans="24:24" ht="15.75" customHeight="1" x14ac:dyDescent="0.35">
      <c r="X68" s="1"/>
    </row>
    <row r="69" spans="24:24" ht="15.75" customHeight="1" x14ac:dyDescent="0.35">
      <c r="X69" s="1"/>
    </row>
    <row r="70" spans="24:24" ht="15.75" customHeight="1" x14ac:dyDescent="0.35">
      <c r="X70" s="1"/>
    </row>
    <row r="71" spans="24:24" ht="15.75" customHeight="1" x14ac:dyDescent="0.35">
      <c r="X71" s="1"/>
    </row>
    <row r="72" spans="24:24" ht="15.75" customHeight="1" x14ac:dyDescent="0.35">
      <c r="X72" s="1"/>
    </row>
    <row r="73" spans="24:24" ht="15.75" customHeight="1" x14ac:dyDescent="0.35">
      <c r="X73" s="1"/>
    </row>
    <row r="74" spans="24:24" ht="15.75" customHeight="1" x14ac:dyDescent="0.35">
      <c r="X74" s="1"/>
    </row>
    <row r="75" spans="24:24" ht="15.75" customHeight="1" x14ac:dyDescent="0.35">
      <c r="X75" s="1"/>
    </row>
    <row r="76" spans="24:24" ht="15.75" customHeight="1" x14ac:dyDescent="0.35">
      <c r="X76" s="1"/>
    </row>
    <row r="77" spans="24:24" ht="15.75" customHeight="1" x14ac:dyDescent="0.35">
      <c r="X77" s="1"/>
    </row>
    <row r="78" spans="24:24" ht="15.75" customHeight="1" x14ac:dyDescent="0.35">
      <c r="X78" s="1"/>
    </row>
    <row r="79" spans="24:24" ht="15.75" customHeight="1" x14ac:dyDescent="0.35">
      <c r="X79" s="1"/>
    </row>
    <row r="80" spans="24:24" ht="15.75" customHeight="1" x14ac:dyDescent="0.35">
      <c r="X80" s="1"/>
    </row>
    <row r="81" spans="24:24" ht="15.75" customHeight="1" x14ac:dyDescent="0.35">
      <c r="X81" s="1"/>
    </row>
    <row r="82" spans="24:24" ht="15.75" customHeight="1" x14ac:dyDescent="0.35">
      <c r="X82" s="1"/>
    </row>
    <row r="83" spans="24:24" ht="15.75" customHeight="1" x14ac:dyDescent="0.35">
      <c r="X83" s="1"/>
    </row>
    <row r="84" spans="24:24" ht="15.75" customHeight="1" x14ac:dyDescent="0.35">
      <c r="X84" s="1"/>
    </row>
    <row r="85" spans="24:24" ht="15.75" customHeight="1" x14ac:dyDescent="0.35">
      <c r="X85" s="1"/>
    </row>
    <row r="86" spans="24:24" ht="15.75" customHeight="1" x14ac:dyDescent="0.35">
      <c r="X86" s="1"/>
    </row>
    <row r="87" spans="24:24" ht="15.75" customHeight="1" x14ac:dyDescent="0.35">
      <c r="X87" s="1"/>
    </row>
    <row r="88" spans="24:24" ht="15.75" customHeight="1" x14ac:dyDescent="0.35">
      <c r="X88" s="1"/>
    </row>
    <row r="89" spans="24:24" ht="15.75" customHeight="1" x14ac:dyDescent="0.35">
      <c r="X89" s="1"/>
    </row>
    <row r="90" spans="24:24" ht="15.75" customHeight="1" x14ac:dyDescent="0.35">
      <c r="X90" s="1"/>
    </row>
    <row r="91" spans="24:24" ht="15.75" customHeight="1" x14ac:dyDescent="0.35">
      <c r="X91" s="1"/>
    </row>
    <row r="92" spans="24:24" ht="15.75" customHeight="1" x14ac:dyDescent="0.35">
      <c r="X92" s="1"/>
    </row>
    <row r="93" spans="24:24" ht="15.75" customHeight="1" x14ac:dyDescent="0.35">
      <c r="X93" s="1"/>
    </row>
    <row r="94" spans="24:24" ht="15.75" customHeight="1" x14ac:dyDescent="0.35">
      <c r="X94" s="1"/>
    </row>
    <row r="95" spans="24:24" ht="15.75" customHeight="1" x14ac:dyDescent="0.35">
      <c r="X95" s="1"/>
    </row>
    <row r="96" spans="24:24" ht="15.75" customHeight="1" x14ac:dyDescent="0.35">
      <c r="X96" s="1"/>
    </row>
    <row r="97" spans="24:24" ht="15.75" customHeight="1" x14ac:dyDescent="0.35">
      <c r="X97" s="1"/>
    </row>
    <row r="98" spans="24:24" ht="15.75" customHeight="1" x14ac:dyDescent="0.35">
      <c r="X98" s="1"/>
    </row>
    <row r="99" spans="24:24" ht="15.75" customHeight="1" x14ac:dyDescent="0.35">
      <c r="X99" s="1"/>
    </row>
    <row r="100" spans="24:24" ht="15.75" customHeight="1" x14ac:dyDescent="0.35">
      <c r="X100" s="1"/>
    </row>
    <row r="101" spans="24:24" ht="15.75" customHeight="1" x14ac:dyDescent="0.35">
      <c r="X101" s="1"/>
    </row>
    <row r="102" spans="24:24" ht="15.75" customHeight="1" x14ac:dyDescent="0.35">
      <c r="X102" s="1"/>
    </row>
    <row r="103" spans="24:24" ht="15.75" customHeight="1" x14ac:dyDescent="0.35">
      <c r="X103" s="1"/>
    </row>
    <row r="104" spans="24:24" ht="15.75" customHeight="1" x14ac:dyDescent="0.35">
      <c r="X104" s="1"/>
    </row>
    <row r="105" spans="24:24" ht="15.75" customHeight="1" x14ac:dyDescent="0.35">
      <c r="X105" s="1"/>
    </row>
    <row r="106" spans="24:24" ht="15.75" customHeight="1" x14ac:dyDescent="0.35">
      <c r="X106" s="1"/>
    </row>
    <row r="107" spans="24:24" ht="15.75" customHeight="1" x14ac:dyDescent="0.35">
      <c r="X107" s="1"/>
    </row>
    <row r="108" spans="24:24" ht="15.75" customHeight="1" x14ac:dyDescent="0.35">
      <c r="X108" s="1"/>
    </row>
    <row r="109" spans="24:24" ht="15.75" customHeight="1" x14ac:dyDescent="0.35">
      <c r="X109" s="1"/>
    </row>
    <row r="110" spans="24:24" ht="15.75" customHeight="1" x14ac:dyDescent="0.35">
      <c r="X110" s="1"/>
    </row>
    <row r="111" spans="24:24" ht="15.75" customHeight="1" x14ac:dyDescent="0.35">
      <c r="X111" s="1"/>
    </row>
    <row r="112" spans="24:24" ht="15.75" customHeight="1" x14ac:dyDescent="0.35">
      <c r="X112" s="1"/>
    </row>
    <row r="113" spans="24:24" ht="15.75" customHeight="1" x14ac:dyDescent="0.35">
      <c r="X113" s="1"/>
    </row>
    <row r="114" spans="24:24" ht="15.75" customHeight="1" x14ac:dyDescent="0.35">
      <c r="X114" s="1"/>
    </row>
    <row r="115" spans="24:24" ht="15.75" customHeight="1" x14ac:dyDescent="0.35">
      <c r="X115" s="1"/>
    </row>
    <row r="116" spans="24:24" ht="15.75" customHeight="1" x14ac:dyDescent="0.35">
      <c r="X116" s="1"/>
    </row>
    <row r="117" spans="24:24" ht="15.75" customHeight="1" x14ac:dyDescent="0.35">
      <c r="X117" s="1"/>
    </row>
    <row r="118" spans="24:24" ht="15.75" customHeight="1" x14ac:dyDescent="0.35">
      <c r="X118" s="1"/>
    </row>
    <row r="119" spans="24:24" ht="15.75" customHeight="1" x14ac:dyDescent="0.35">
      <c r="X119" s="1"/>
    </row>
    <row r="120" spans="24:24" ht="15.75" customHeight="1" x14ac:dyDescent="0.35">
      <c r="X120" s="1"/>
    </row>
    <row r="121" spans="24:24" ht="15.75" customHeight="1" x14ac:dyDescent="0.35">
      <c r="X121" s="1"/>
    </row>
    <row r="122" spans="24:24" ht="15.75" customHeight="1" x14ac:dyDescent="0.35">
      <c r="X122" s="1"/>
    </row>
    <row r="123" spans="24:24" ht="15.75" customHeight="1" x14ac:dyDescent="0.35">
      <c r="X123" s="1"/>
    </row>
    <row r="124" spans="24:24" ht="15.75" customHeight="1" x14ac:dyDescent="0.35">
      <c r="X124" s="1"/>
    </row>
    <row r="125" spans="24:24" ht="15.75" customHeight="1" x14ac:dyDescent="0.35">
      <c r="X125" s="1"/>
    </row>
    <row r="126" spans="24:24" ht="15.75" customHeight="1" x14ac:dyDescent="0.35">
      <c r="X126" s="1"/>
    </row>
    <row r="127" spans="24:24" ht="15.75" customHeight="1" x14ac:dyDescent="0.35">
      <c r="X127" s="1"/>
    </row>
    <row r="128" spans="24:24" ht="15.75" customHeight="1" x14ac:dyDescent="0.35">
      <c r="X128" s="1"/>
    </row>
    <row r="129" spans="24:24" ht="15.75" customHeight="1" x14ac:dyDescent="0.35">
      <c r="X129" s="1"/>
    </row>
    <row r="130" spans="24:24" ht="15.75" customHeight="1" x14ac:dyDescent="0.35">
      <c r="X130" s="1"/>
    </row>
    <row r="131" spans="24:24" ht="15.75" customHeight="1" x14ac:dyDescent="0.35">
      <c r="X131" s="1"/>
    </row>
    <row r="132" spans="24:24" ht="15.75" customHeight="1" x14ac:dyDescent="0.35">
      <c r="X132" s="1"/>
    </row>
    <row r="133" spans="24:24" ht="15.75" customHeight="1" x14ac:dyDescent="0.35">
      <c r="X133" s="1"/>
    </row>
    <row r="134" spans="24:24" ht="15.75" customHeight="1" x14ac:dyDescent="0.35">
      <c r="X134" s="1"/>
    </row>
    <row r="135" spans="24:24" ht="15.75" customHeight="1" x14ac:dyDescent="0.35">
      <c r="X135" s="1"/>
    </row>
    <row r="136" spans="24:24" ht="15.75" customHeight="1" x14ac:dyDescent="0.35">
      <c r="X136" s="1"/>
    </row>
    <row r="137" spans="24:24" ht="15.75" customHeight="1" x14ac:dyDescent="0.35">
      <c r="X137" s="1"/>
    </row>
    <row r="138" spans="24:24" ht="15.75" customHeight="1" x14ac:dyDescent="0.35">
      <c r="X138" s="1"/>
    </row>
    <row r="139" spans="24:24" ht="15.75" customHeight="1" x14ac:dyDescent="0.35">
      <c r="X139" s="1"/>
    </row>
    <row r="140" spans="24:24" ht="15.75" customHeight="1" x14ac:dyDescent="0.35">
      <c r="X140" s="1"/>
    </row>
    <row r="141" spans="24:24" ht="15.75" customHeight="1" x14ac:dyDescent="0.35">
      <c r="X141" s="1"/>
    </row>
    <row r="142" spans="24:24" ht="15.75" customHeight="1" x14ac:dyDescent="0.35">
      <c r="X142" s="1"/>
    </row>
    <row r="143" spans="24:24" ht="15.75" customHeight="1" x14ac:dyDescent="0.35">
      <c r="X143" s="1"/>
    </row>
    <row r="144" spans="24:24" ht="15.75" customHeight="1" x14ac:dyDescent="0.35">
      <c r="X144" s="1"/>
    </row>
    <row r="145" spans="24:24" ht="15.75" customHeight="1" x14ac:dyDescent="0.35">
      <c r="X145" s="1"/>
    </row>
    <row r="146" spans="24:24" ht="15.75" customHeight="1" x14ac:dyDescent="0.35">
      <c r="X146" s="1"/>
    </row>
    <row r="147" spans="24:24" ht="15.75" customHeight="1" x14ac:dyDescent="0.35">
      <c r="X147" s="1"/>
    </row>
    <row r="148" spans="24:24" ht="15.75" customHeight="1" x14ac:dyDescent="0.35">
      <c r="X148" s="1"/>
    </row>
    <row r="149" spans="24:24" ht="15.75" customHeight="1" x14ac:dyDescent="0.35">
      <c r="X149" s="1"/>
    </row>
    <row r="150" spans="24:24" ht="15.75" customHeight="1" x14ac:dyDescent="0.35">
      <c r="X150" s="1"/>
    </row>
    <row r="151" spans="24:24" ht="15.75" customHeight="1" x14ac:dyDescent="0.35">
      <c r="X151" s="1"/>
    </row>
    <row r="152" spans="24:24" ht="15.75" customHeight="1" x14ac:dyDescent="0.35">
      <c r="X152" s="1"/>
    </row>
    <row r="153" spans="24:24" ht="15.75" customHeight="1" x14ac:dyDescent="0.35">
      <c r="X153" s="1"/>
    </row>
    <row r="154" spans="24:24" ht="15.75" customHeight="1" x14ac:dyDescent="0.35">
      <c r="X154" s="1"/>
    </row>
    <row r="155" spans="24:24" ht="15.75" customHeight="1" x14ac:dyDescent="0.35">
      <c r="X155" s="1"/>
    </row>
    <row r="156" spans="24:24" ht="15.75" customHeight="1" x14ac:dyDescent="0.35">
      <c r="X156" s="1"/>
    </row>
    <row r="157" spans="24:24" ht="15.75" customHeight="1" x14ac:dyDescent="0.35">
      <c r="X157" s="1"/>
    </row>
    <row r="158" spans="24:24" ht="15.75" customHeight="1" x14ac:dyDescent="0.35">
      <c r="X158" s="1"/>
    </row>
    <row r="159" spans="24:24" ht="15.75" customHeight="1" x14ac:dyDescent="0.35">
      <c r="X159" s="1"/>
    </row>
    <row r="160" spans="24:24" ht="15.75" customHeight="1" x14ac:dyDescent="0.35">
      <c r="X160" s="1"/>
    </row>
    <row r="161" spans="24:24" ht="15.75" customHeight="1" x14ac:dyDescent="0.35">
      <c r="X161" s="1"/>
    </row>
    <row r="162" spans="24:24" ht="15.75" customHeight="1" x14ac:dyDescent="0.35">
      <c r="X162" s="1"/>
    </row>
    <row r="163" spans="24:24" ht="15.75" customHeight="1" x14ac:dyDescent="0.35">
      <c r="X163" s="1"/>
    </row>
    <row r="164" spans="24:24" ht="15.75" customHeight="1" x14ac:dyDescent="0.35">
      <c r="X164" s="1"/>
    </row>
    <row r="165" spans="24:24" ht="15.75" customHeight="1" x14ac:dyDescent="0.35">
      <c r="X165" s="1"/>
    </row>
    <row r="166" spans="24:24" ht="15.75" customHeight="1" x14ac:dyDescent="0.35">
      <c r="X166" s="1"/>
    </row>
    <row r="167" spans="24:24" ht="15.75" customHeight="1" x14ac:dyDescent="0.35">
      <c r="X167" s="1"/>
    </row>
    <row r="168" spans="24:24" ht="15.75" customHeight="1" x14ac:dyDescent="0.35">
      <c r="X168" s="1"/>
    </row>
    <row r="169" spans="24:24" ht="15.75" customHeight="1" x14ac:dyDescent="0.35">
      <c r="X169" s="1"/>
    </row>
    <row r="170" spans="24:24" ht="15.75" customHeight="1" x14ac:dyDescent="0.35">
      <c r="X170" s="1"/>
    </row>
    <row r="171" spans="24:24" ht="15.75" customHeight="1" x14ac:dyDescent="0.35">
      <c r="X171" s="1"/>
    </row>
    <row r="172" spans="24:24" ht="15.75" customHeight="1" x14ac:dyDescent="0.35">
      <c r="X172" s="1"/>
    </row>
    <row r="173" spans="24:24" ht="15.75" customHeight="1" x14ac:dyDescent="0.35">
      <c r="X173" s="1"/>
    </row>
    <row r="174" spans="24:24" ht="15.75" customHeight="1" x14ac:dyDescent="0.35">
      <c r="X174" s="1"/>
    </row>
    <row r="175" spans="24:24" ht="15.75" customHeight="1" x14ac:dyDescent="0.35">
      <c r="X175" s="1"/>
    </row>
    <row r="176" spans="24:24" ht="15.75" customHeight="1" x14ac:dyDescent="0.35">
      <c r="X176" s="1"/>
    </row>
    <row r="177" spans="24:24" ht="15.75" customHeight="1" x14ac:dyDescent="0.35">
      <c r="X177" s="1"/>
    </row>
    <row r="178" spans="24:24" ht="15.75" customHeight="1" x14ac:dyDescent="0.35">
      <c r="X178" s="1"/>
    </row>
    <row r="179" spans="24:24" ht="15.75" customHeight="1" x14ac:dyDescent="0.35">
      <c r="X179" s="1"/>
    </row>
    <row r="180" spans="24:24" ht="15.75" customHeight="1" x14ac:dyDescent="0.35">
      <c r="X180" s="1"/>
    </row>
    <row r="181" spans="24:24" ht="15.75" customHeight="1" x14ac:dyDescent="0.35">
      <c r="X181" s="1"/>
    </row>
    <row r="182" spans="24:24" ht="15.75" customHeight="1" x14ac:dyDescent="0.35">
      <c r="X182" s="1"/>
    </row>
    <row r="183" spans="24:24" ht="15.75" customHeight="1" x14ac:dyDescent="0.35">
      <c r="X183" s="1"/>
    </row>
    <row r="184" spans="24:24" ht="15.75" customHeight="1" x14ac:dyDescent="0.35">
      <c r="X184" s="1"/>
    </row>
    <row r="185" spans="24:24" ht="15.75" customHeight="1" x14ac:dyDescent="0.35">
      <c r="X185" s="1"/>
    </row>
    <row r="186" spans="24:24" ht="15.75" customHeight="1" x14ac:dyDescent="0.35">
      <c r="X186" s="1"/>
    </row>
    <row r="187" spans="24:24" ht="15.75" customHeight="1" x14ac:dyDescent="0.35">
      <c r="X187" s="1"/>
    </row>
    <row r="188" spans="24:24" ht="15.75" customHeight="1" x14ac:dyDescent="0.35">
      <c r="X188" s="1"/>
    </row>
    <row r="189" spans="24:24" ht="15.75" customHeight="1" x14ac:dyDescent="0.35">
      <c r="X189" s="1"/>
    </row>
    <row r="190" spans="24:24" ht="15.75" customHeight="1" x14ac:dyDescent="0.35">
      <c r="X190" s="1"/>
    </row>
    <row r="191" spans="24:24" ht="15.75" customHeight="1" x14ac:dyDescent="0.35">
      <c r="X191" s="1"/>
    </row>
    <row r="192" spans="24:24" ht="15.75" customHeight="1" x14ac:dyDescent="0.35">
      <c r="X192" s="1"/>
    </row>
    <row r="193" spans="24:24" ht="15.75" customHeight="1" x14ac:dyDescent="0.35">
      <c r="X193" s="1"/>
    </row>
    <row r="194" spans="24:24" ht="15.75" customHeight="1" x14ac:dyDescent="0.35">
      <c r="X194" s="1"/>
    </row>
    <row r="195" spans="24:24" ht="15.75" customHeight="1" x14ac:dyDescent="0.35">
      <c r="X195" s="1"/>
    </row>
    <row r="196" spans="24:24" ht="15.75" customHeight="1" x14ac:dyDescent="0.35">
      <c r="X196" s="1"/>
    </row>
    <row r="197" spans="24:24" ht="15.75" customHeight="1" x14ac:dyDescent="0.35">
      <c r="X197" s="1"/>
    </row>
    <row r="198" spans="24:24" ht="15.75" customHeight="1" x14ac:dyDescent="0.35">
      <c r="X198" s="1"/>
    </row>
    <row r="199" spans="24:24" ht="15.75" customHeight="1" x14ac:dyDescent="0.35">
      <c r="X199" s="1"/>
    </row>
    <row r="200" spans="24:24" ht="15.75" customHeight="1" x14ac:dyDescent="0.35">
      <c r="X200" s="1"/>
    </row>
    <row r="201" spans="24:24" ht="15.75" customHeight="1" x14ac:dyDescent="0.35">
      <c r="X201" s="1"/>
    </row>
    <row r="202" spans="24:24" ht="15.75" customHeight="1" x14ac:dyDescent="0.35">
      <c r="X202" s="1"/>
    </row>
    <row r="203" spans="24:24" ht="15.75" customHeight="1" x14ac:dyDescent="0.35">
      <c r="X203" s="1"/>
    </row>
    <row r="204" spans="24:24" ht="15.75" customHeight="1" x14ac:dyDescent="0.35">
      <c r="X204" s="1"/>
    </row>
    <row r="205" spans="24:24" ht="15.75" customHeight="1" x14ac:dyDescent="0.35">
      <c r="X205" s="1"/>
    </row>
    <row r="206" spans="24:24" ht="15.75" customHeight="1" x14ac:dyDescent="0.35">
      <c r="X206" s="1"/>
    </row>
    <row r="207" spans="24:24" ht="15.75" customHeight="1" x14ac:dyDescent="0.35">
      <c r="X207" s="1"/>
    </row>
    <row r="208" spans="24:24" ht="15.75" customHeight="1" x14ac:dyDescent="0.35">
      <c r="X208" s="1"/>
    </row>
    <row r="209" spans="24:24" ht="15.75" customHeight="1" x14ac:dyDescent="0.35">
      <c r="X209" s="1"/>
    </row>
    <row r="210" spans="24:24" ht="15.75" customHeight="1" x14ac:dyDescent="0.35">
      <c r="X210" s="1"/>
    </row>
    <row r="211" spans="24:24" ht="15.75" customHeight="1" x14ac:dyDescent="0.35">
      <c r="X211" s="1"/>
    </row>
    <row r="212" spans="24:24" ht="15.75" customHeight="1" x14ac:dyDescent="0.35">
      <c r="X212" s="1"/>
    </row>
    <row r="213" spans="24:24" ht="15.75" customHeight="1" x14ac:dyDescent="0.35">
      <c r="X213" s="1"/>
    </row>
    <row r="214" spans="24:24" ht="15.75" customHeight="1" x14ac:dyDescent="0.35">
      <c r="X214" s="1"/>
    </row>
    <row r="215" spans="24:24" ht="15.75" customHeight="1" x14ac:dyDescent="0.35">
      <c r="X215" s="1"/>
    </row>
    <row r="216" spans="24:24" ht="15.75" customHeight="1" x14ac:dyDescent="0.35">
      <c r="X216" s="1"/>
    </row>
    <row r="217" spans="24:24" ht="15.75" customHeight="1" x14ac:dyDescent="0.35">
      <c r="X217" s="1"/>
    </row>
    <row r="218" spans="24:24" ht="15.75" customHeight="1" x14ac:dyDescent="0.35">
      <c r="X218" s="1"/>
    </row>
    <row r="219" spans="24:24" ht="15.75" customHeight="1" x14ac:dyDescent="0.35">
      <c r="X219" s="1"/>
    </row>
    <row r="220" spans="24:24" ht="15.75" customHeight="1" x14ac:dyDescent="0.35">
      <c r="X220" s="1"/>
    </row>
    <row r="221" spans="24:24" ht="15.75" customHeight="1" x14ac:dyDescent="0.35">
      <c r="X221" s="1"/>
    </row>
    <row r="222" spans="24:24" ht="15.75" customHeight="1" x14ac:dyDescent="0.35">
      <c r="X222" s="1"/>
    </row>
    <row r="223" spans="24:24" ht="15.75" customHeight="1" x14ac:dyDescent="0.35">
      <c r="X223" s="1"/>
    </row>
    <row r="224" spans="24:24" ht="15.75" customHeight="1" x14ac:dyDescent="0.35">
      <c r="X224" s="1"/>
    </row>
    <row r="225" spans="24:24" ht="15.75" customHeight="1" x14ac:dyDescent="0.35">
      <c r="X225" s="1"/>
    </row>
    <row r="226" spans="24:24" ht="15.75" customHeight="1" x14ac:dyDescent="0.35">
      <c r="X226" s="1"/>
    </row>
    <row r="227" spans="24:24" ht="15.75" customHeight="1" x14ac:dyDescent="0.35">
      <c r="X227" s="1"/>
    </row>
    <row r="228" spans="24:24" ht="15.75" customHeight="1" x14ac:dyDescent="0.35">
      <c r="X228" s="1"/>
    </row>
    <row r="229" spans="24:24" ht="15.75" customHeight="1" x14ac:dyDescent="0.35">
      <c r="X229" s="1"/>
    </row>
    <row r="230" spans="24:24" ht="15.75" customHeight="1" x14ac:dyDescent="0.35">
      <c r="X230" s="1"/>
    </row>
    <row r="231" spans="24:24" ht="15.75" customHeight="1" x14ac:dyDescent="0.35">
      <c r="X231" s="1"/>
    </row>
    <row r="232" spans="24:24" ht="15.75" customHeight="1" x14ac:dyDescent="0.35">
      <c r="X232" s="1"/>
    </row>
    <row r="233" spans="24:24" ht="15.75" customHeight="1" x14ac:dyDescent="0.35">
      <c r="X233" s="1"/>
    </row>
    <row r="234" spans="24:24" ht="15.75" customHeight="1" x14ac:dyDescent="0.35">
      <c r="X234" s="1"/>
    </row>
    <row r="235" spans="24:24" ht="15.75" customHeight="1" x14ac:dyDescent="0.35">
      <c r="X235" s="1"/>
    </row>
    <row r="236" spans="24:24" ht="15.75" customHeight="1" x14ac:dyDescent="0.35">
      <c r="X236" s="1"/>
    </row>
    <row r="237" spans="24:24" ht="15.75" customHeight="1" x14ac:dyDescent="0.35">
      <c r="X237" s="1"/>
    </row>
    <row r="238" spans="24:24" ht="15.75" customHeight="1" x14ac:dyDescent="0.35">
      <c r="X238" s="1"/>
    </row>
    <row r="239" spans="24:24" ht="15.75" customHeight="1" x14ac:dyDescent="0.35">
      <c r="X239" s="1"/>
    </row>
    <row r="240" spans="24:24" ht="15.75" customHeight="1" x14ac:dyDescent="0.35">
      <c r="X240" s="1"/>
    </row>
    <row r="241" spans="24:24" ht="15.75" customHeight="1" x14ac:dyDescent="0.35">
      <c r="X241" s="1"/>
    </row>
    <row r="242" spans="24:24" ht="15.75" customHeight="1" x14ac:dyDescent="0.35">
      <c r="X242" s="1"/>
    </row>
    <row r="243" spans="24:24" ht="15.75" customHeight="1" x14ac:dyDescent="0.35">
      <c r="X243" s="1"/>
    </row>
    <row r="244" spans="24:24" ht="15.75" customHeight="1" x14ac:dyDescent="0.35">
      <c r="X244" s="1"/>
    </row>
    <row r="245" spans="24:24" ht="15.75" customHeight="1" x14ac:dyDescent="0.35">
      <c r="X245" s="1"/>
    </row>
    <row r="246" spans="24:24" ht="15.75" customHeight="1" x14ac:dyDescent="0.35">
      <c r="X246" s="1"/>
    </row>
    <row r="247" spans="24:24" ht="15.75" customHeight="1" x14ac:dyDescent="0.35">
      <c r="X247" s="1"/>
    </row>
    <row r="248" spans="24:24" ht="15.75" customHeight="1" x14ac:dyDescent="0.35">
      <c r="X248" s="1"/>
    </row>
    <row r="249" spans="24:24" ht="15.75" customHeight="1" x14ac:dyDescent="0.35">
      <c r="X249" s="1"/>
    </row>
    <row r="250" spans="24:24" ht="15.75" customHeight="1" x14ac:dyDescent="0.35">
      <c r="X250" s="1"/>
    </row>
    <row r="251" spans="24:24" ht="15.75" customHeight="1" x14ac:dyDescent="0.35">
      <c r="X251" s="1"/>
    </row>
    <row r="252" spans="24:24" ht="15.75" customHeight="1" x14ac:dyDescent="0.35">
      <c r="X252" s="1"/>
    </row>
    <row r="253" spans="24:24" ht="15.75" customHeight="1" x14ac:dyDescent="0.35">
      <c r="X253" s="1"/>
    </row>
    <row r="254" spans="24:24" ht="15.75" customHeight="1" x14ac:dyDescent="0.35">
      <c r="X254" s="1"/>
    </row>
    <row r="255" spans="24:24" ht="15.75" customHeight="1" x14ac:dyDescent="0.35">
      <c r="X255" s="1"/>
    </row>
    <row r="256" spans="24:24" ht="15.75" customHeight="1" x14ac:dyDescent="0.35">
      <c r="X256" s="1"/>
    </row>
    <row r="257" spans="24:24" ht="15.75" customHeight="1" x14ac:dyDescent="0.35">
      <c r="X257" s="1"/>
    </row>
    <row r="258" spans="24:24" ht="15.75" customHeight="1" x14ac:dyDescent="0.35">
      <c r="X258" s="1"/>
    </row>
    <row r="259" spans="24:24" ht="15.75" customHeight="1" x14ac:dyDescent="0.35">
      <c r="X259" s="1"/>
    </row>
    <row r="260" spans="24:24" ht="15.75" customHeight="1" x14ac:dyDescent="0.35">
      <c r="X260" s="1"/>
    </row>
    <row r="261" spans="24:24" ht="15.75" customHeight="1" x14ac:dyDescent="0.35">
      <c r="X261" s="1"/>
    </row>
    <row r="262" spans="24:24" ht="15.75" customHeight="1" x14ac:dyDescent="0.35">
      <c r="X262" s="1"/>
    </row>
    <row r="263" spans="24:24" ht="15.75" customHeight="1" x14ac:dyDescent="0.35">
      <c r="X263" s="1"/>
    </row>
    <row r="264" spans="24:24" ht="15.75" customHeight="1" x14ac:dyDescent="0.35">
      <c r="X264" s="1"/>
    </row>
    <row r="265" spans="24:24" ht="15.75" customHeight="1" x14ac:dyDescent="0.35">
      <c r="X265" s="1"/>
    </row>
    <row r="266" spans="24:24" ht="15.75" customHeight="1" x14ac:dyDescent="0.35">
      <c r="X266" s="1"/>
    </row>
    <row r="267" spans="24:24" ht="15.75" customHeight="1" x14ac:dyDescent="0.35">
      <c r="X267" s="1"/>
    </row>
    <row r="268" spans="24:24" ht="15.75" customHeight="1" x14ac:dyDescent="0.35">
      <c r="X268" s="1"/>
    </row>
    <row r="269" spans="24:24" ht="15.75" customHeight="1" x14ac:dyDescent="0.35">
      <c r="X269" s="1"/>
    </row>
    <row r="270" spans="24:24" ht="15.75" customHeight="1" x14ac:dyDescent="0.35">
      <c r="X270" s="1"/>
    </row>
    <row r="271" spans="24:24" ht="15.75" customHeight="1" x14ac:dyDescent="0.35">
      <c r="X271" s="1"/>
    </row>
    <row r="272" spans="24:24" ht="15.75" customHeight="1" x14ac:dyDescent="0.35">
      <c r="X272" s="1"/>
    </row>
    <row r="273" spans="24:24" ht="15.75" customHeight="1" x14ac:dyDescent="0.35">
      <c r="X273" s="1"/>
    </row>
    <row r="274" spans="24:24" ht="15.75" customHeight="1" x14ac:dyDescent="0.35">
      <c r="X274" s="1"/>
    </row>
    <row r="275" spans="24:24" ht="15.75" customHeight="1" x14ac:dyDescent="0.35">
      <c r="X275" s="1"/>
    </row>
    <row r="276" spans="24:24" ht="15.75" customHeight="1" x14ac:dyDescent="0.35">
      <c r="X276" s="1"/>
    </row>
    <row r="277" spans="24:24" ht="15.75" customHeight="1" x14ac:dyDescent="0.35">
      <c r="X277" s="1"/>
    </row>
    <row r="278" spans="24:24" ht="15.75" customHeight="1" x14ac:dyDescent="0.35">
      <c r="X278" s="1"/>
    </row>
    <row r="279" spans="24:24" ht="15.75" customHeight="1" x14ac:dyDescent="0.35">
      <c r="X279" s="1"/>
    </row>
    <row r="280" spans="24:24" ht="15.75" customHeight="1" x14ac:dyDescent="0.35">
      <c r="X280" s="1"/>
    </row>
    <row r="281" spans="24:24" ht="15.75" customHeight="1" x14ac:dyDescent="0.35">
      <c r="X281" s="1"/>
    </row>
    <row r="282" spans="24:24" ht="15.75" customHeight="1" x14ac:dyDescent="0.35">
      <c r="X282" s="1"/>
    </row>
    <row r="283" spans="24:24" ht="15.75" customHeight="1" x14ac:dyDescent="0.35">
      <c r="X283" s="1"/>
    </row>
    <row r="284" spans="24:24" ht="15.75" customHeight="1" x14ac:dyDescent="0.35">
      <c r="X284" s="1"/>
    </row>
    <row r="285" spans="24:24" ht="15.75" customHeight="1" x14ac:dyDescent="0.35">
      <c r="X285" s="1"/>
    </row>
    <row r="286" spans="24:24" ht="15.75" customHeight="1" x14ac:dyDescent="0.35">
      <c r="X286" s="1"/>
    </row>
    <row r="287" spans="24:24" ht="15.75" customHeight="1" x14ac:dyDescent="0.35">
      <c r="X287" s="1"/>
    </row>
    <row r="288" spans="24:24" ht="15.75" customHeight="1" x14ac:dyDescent="0.35">
      <c r="X288" s="1"/>
    </row>
    <row r="289" spans="24:24" ht="15.75" customHeight="1" x14ac:dyDescent="0.35">
      <c r="X289" s="1"/>
    </row>
    <row r="290" spans="24:24" ht="15.75" customHeight="1" x14ac:dyDescent="0.35">
      <c r="X290" s="1"/>
    </row>
    <row r="291" spans="24:24" ht="15.75" customHeight="1" x14ac:dyDescent="0.35">
      <c r="X291" s="1"/>
    </row>
    <row r="292" spans="24:24" ht="15.75" customHeight="1" x14ac:dyDescent="0.35">
      <c r="X292" s="1"/>
    </row>
    <row r="293" spans="24:24" ht="15.75" customHeight="1" x14ac:dyDescent="0.35">
      <c r="X293" s="1"/>
    </row>
    <row r="294" spans="24:24" ht="15.75" customHeight="1" x14ac:dyDescent="0.35">
      <c r="X294" s="1"/>
    </row>
    <row r="295" spans="24:24" ht="15.75" customHeight="1" x14ac:dyDescent="0.35">
      <c r="X295" s="1"/>
    </row>
    <row r="296" spans="24:24" ht="15.75" customHeight="1" x14ac:dyDescent="0.35">
      <c r="X296" s="1"/>
    </row>
    <row r="297" spans="24:24" ht="15.75" customHeight="1" x14ac:dyDescent="0.35">
      <c r="X297" s="1"/>
    </row>
    <row r="298" spans="24:24" ht="15.75" customHeight="1" x14ac:dyDescent="0.35">
      <c r="X298" s="1"/>
    </row>
    <row r="299" spans="24:24" ht="15.75" customHeight="1" x14ac:dyDescent="0.35">
      <c r="X299" s="1"/>
    </row>
    <row r="300" spans="24:24" ht="15.75" customHeight="1" x14ac:dyDescent="0.35">
      <c r="X300" s="1"/>
    </row>
    <row r="301" spans="24:24" ht="15.75" customHeight="1" x14ac:dyDescent="0.35">
      <c r="X301" s="1"/>
    </row>
    <row r="302" spans="24:24" ht="15.75" customHeight="1" x14ac:dyDescent="0.35">
      <c r="X302" s="1"/>
    </row>
    <row r="303" spans="24:24" ht="15.75" customHeight="1" x14ac:dyDescent="0.35">
      <c r="X303" s="1"/>
    </row>
    <row r="304" spans="24:24" ht="15.75" customHeight="1" x14ac:dyDescent="0.35">
      <c r="X304" s="1"/>
    </row>
    <row r="305" spans="24:24" ht="15.75" customHeight="1" x14ac:dyDescent="0.35">
      <c r="X305" s="1"/>
    </row>
    <row r="306" spans="24:24" ht="15.75" customHeight="1" x14ac:dyDescent="0.35">
      <c r="X306" s="1"/>
    </row>
    <row r="307" spans="24:24" ht="15.75" customHeight="1" x14ac:dyDescent="0.35">
      <c r="X307" s="1"/>
    </row>
    <row r="308" spans="24:24" ht="15.75" customHeight="1" x14ac:dyDescent="0.35">
      <c r="X308" s="1"/>
    </row>
    <row r="309" spans="24:24" ht="15.75" customHeight="1" x14ac:dyDescent="0.35">
      <c r="X309" s="1"/>
    </row>
    <row r="310" spans="24:24" ht="15.75" customHeight="1" x14ac:dyDescent="0.35">
      <c r="X310" s="1"/>
    </row>
    <row r="311" spans="24:24" ht="15.75" customHeight="1" x14ac:dyDescent="0.35">
      <c r="X311" s="1"/>
    </row>
    <row r="312" spans="24:24" ht="15.75" customHeight="1" x14ac:dyDescent="0.35">
      <c r="X312" s="1"/>
    </row>
    <row r="313" spans="24:24" ht="15.75" customHeight="1" x14ac:dyDescent="0.35">
      <c r="X313" s="1"/>
    </row>
    <row r="314" spans="24:24" ht="15.75" customHeight="1" x14ac:dyDescent="0.35">
      <c r="X314" s="1"/>
    </row>
    <row r="315" spans="24:24" ht="15.75" customHeight="1" x14ac:dyDescent="0.35">
      <c r="X315" s="1"/>
    </row>
    <row r="316" spans="24:24" ht="15.75" customHeight="1" x14ac:dyDescent="0.35">
      <c r="X316" s="1"/>
    </row>
    <row r="317" spans="24:24" ht="15.75" customHeight="1" x14ac:dyDescent="0.35">
      <c r="X317" s="1"/>
    </row>
    <row r="318" spans="24:24" ht="15.75" customHeight="1" x14ac:dyDescent="0.35">
      <c r="X318" s="1"/>
    </row>
    <row r="319" spans="24:24" ht="15.75" customHeight="1" x14ac:dyDescent="0.35">
      <c r="X319" s="1"/>
    </row>
    <row r="320" spans="24:24" ht="15.75" customHeight="1" x14ac:dyDescent="0.35">
      <c r="X320" s="1"/>
    </row>
    <row r="321" spans="24:24" ht="15.75" customHeight="1" x14ac:dyDescent="0.35">
      <c r="X321" s="1"/>
    </row>
    <row r="322" spans="24:24" ht="15.75" customHeight="1" x14ac:dyDescent="0.35">
      <c r="X322" s="1"/>
    </row>
    <row r="323" spans="24:24" ht="15.75" customHeight="1" x14ac:dyDescent="0.35">
      <c r="X323" s="1"/>
    </row>
    <row r="324" spans="24:24" ht="15.75" customHeight="1" x14ac:dyDescent="0.35">
      <c r="X324" s="1"/>
    </row>
    <row r="325" spans="24:24" ht="15.75" customHeight="1" x14ac:dyDescent="0.35">
      <c r="X325" s="1"/>
    </row>
    <row r="326" spans="24:24" ht="15.75" customHeight="1" x14ac:dyDescent="0.35">
      <c r="X326" s="1"/>
    </row>
    <row r="327" spans="24:24" ht="15.75" customHeight="1" x14ac:dyDescent="0.35">
      <c r="X327" s="1"/>
    </row>
    <row r="328" spans="24:24" ht="15.75" customHeight="1" x14ac:dyDescent="0.35">
      <c r="X328" s="1"/>
    </row>
    <row r="329" spans="24:24" ht="15.75" customHeight="1" x14ac:dyDescent="0.35">
      <c r="X329" s="1"/>
    </row>
    <row r="330" spans="24:24" ht="15.75" customHeight="1" x14ac:dyDescent="0.35">
      <c r="X330" s="1"/>
    </row>
    <row r="331" spans="24:24" ht="15.75" customHeight="1" x14ac:dyDescent="0.35">
      <c r="X331" s="1"/>
    </row>
    <row r="332" spans="24:24" ht="15.75" customHeight="1" x14ac:dyDescent="0.35">
      <c r="X332" s="1"/>
    </row>
    <row r="333" spans="24:24" ht="15.75" customHeight="1" x14ac:dyDescent="0.35">
      <c r="X333" s="1"/>
    </row>
    <row r="334" spans="24:24" ht="15.75" customHeight="1" x14ac:dyDescent="0.35">
      <c r="X334" s="1"/>
    </row>
    <row r="335" spans="24:24" ht="15.75" customHeight="1" x14ac:dyDescent="0.35">
      <c r="X335" s="1"/>
    </row>
    <row r="336" spans="24:24" ht="15.75" customHeight="1" x14ac:dyDescent="0.35">
      <c r="X336" s="1"/>
    </row>
    <row r="337" spans="24:24" ht="15.75" customHeight="1" x14ac:dyDescent="0.35">
      <c r="X337" s="1"/>
    </row>
    <row r="338" spans="24:24" ht="15.75" customHeight="1" x14ac:dyDescent="0.35">
      <c r="X338" s="1"/>
    </row>
    <row r="339" spans="24:24" ht="15.75" customHeight="1" x14ac:dyDescent="0.35">
      <c r="X339" s="1"/>
    </row>
    <row r="340" spans="24:24" ht="15.75" customHeight="1" x14ac:dyDescent="0.35">
      <c r="X340" s="1"/>
    </row>
    <row r="341" spans="24:24" ht="15.75" customHeight="1" x14ac:dyDescent="0.35">
      <c r="X341" s="1"/>
    </row>
    <row r="342" spans="24:24" ht="15.75" customHeight="1" x14ac:dyDescent="0.35">
      <c r="X342" s="1"/>
    </row>
    <row r="343" spans="24:24" ht="15.75" customHeight="1" x14ac:dyDescent="0.35">
      <c r="X343" s="1"/>
    </row>
    <row r="344" spans="24:24" ht="15.75" customHeight="1" x14ac:dyDescent="0.35">
      <c r="X344" s="1"/>
    </row>
    <row r="345" spans="24:24" ht="15.75" customHeight="1" x14ac:dyDescent="0.35">
      <c r="X345" s="1"/>
    </row>
    <row r="346" spans="24:24" ht="15.75" customHeight="1" x14ac:dyDescent="0.35">
      <c r="X346" s="1"/>
    </row>
    <row r="347" spans="24:24" ht="15.75" customHeight="1" x14ac:dyDescent="0.35">
      <c r="X347" s="1"/>
    </row>
    <row r="348" spans="24:24" ht="15.75" customHeight="1" x14ac:dyDescent="0.35">
      <c r="X348" s="1"/>
    </row>
    <row r="349" spans="24:24" ht="15.75" customHeight="1" x14ac:dyDescent="0.35">
      <c r="X349" s="1"/>
    </row>
    <row r="350" spans="24:24" ht="15.75" customHeight="1" x14ac:dyDescent="0.35">
      <c r="X350" s="1"/>
    </row>
    <row r="351" spans="24:24" ht="15.75" customHeight="1" x14ac:dyDescent="0.35">
      <c r="X351" s="1"/>
    </row>
    <row r="352" spans="24:24" ht="15.75" customHeight="1" x14ac:dyDescent="0.35">
      <c r="X352" s="1"/>
    </row>
    <row r="353" spans="24:24" ht="15.75" customHeight="1" x14ac:dyDescent="0.35">
      <c r="X353" s="1"/>
    </row>
    <row r="354" spans="24:24" ht="15.75" customHeight="1" x14ac:dyDescent="0.35">
      <c r="X354" s="1"/>
    </row>
    <row r="355" spans="24:24" ht="15.75" customHeight="1" x14ac:dyDescent="0.35">
      <c r="X355" s="1"/>
    </row>
    <row r="356" spans="24:24" ht="15.75" customHeight="1" x14ac:dyDescent="0.35">
      <c r="X356" s="1"/>
    </row>
    <row r="357" spans="24:24" ht="15.75" customHeight="1" x14ac:dyDescent="0.35">
      <c r="X357" s="1"/>
    </row>
    <row r="358" spans="24:24" ht="15.75" customHeight="1" x14ac:dyDescent="0.35">
      <c r="X358" s="1"/>
    </row>
    <row r="359" spans="24:24" ht="15.75" customHeight="1" x14ac:dyDescent="0.35">
      <c r="X359" s="1"/>
    </row>
    <row r="360" spans="24:24" ht="15.75" customHeight="1" x14ac:dyDescent="0.35">
      <c r="X360" s="1"/>
    </row>
    <row r="361" spans="24:24" ht="15.75" customHeight="1" x14ac:dyDescent="0.35">
      <c r="X361" s="1"/>
    </row>
    <row r="362" spans="24:24" ht="15.75" customHeight="1" x14ac:dyDescent="0.35">
      <c r="X362" s="1"/>
    </row>
    <row r="363" spans="24:24" ht="15.75" customHeight="1" x14ac:dyDescent="0.35">
      <c r="X363" s="1"/>
    </row>
    <row r="364" spans="24:24" ht="15.75" customHeight="1" x14ac:dyDescent="0.35">
      <c r="X364" s="1"/>
    </row>
    <row r="365" spans="24:24" ht="15.75" customHeight="1" x14ac:dyDescent="0.35">
      <c r="X365" s="1"/>
    </row>
    <row r="366" spans="24:24" ht="15.75" customHeight="1" x14ac:dyDescent="0.35">
      <c r="X366" s="1"/>
    </row>
    <row r="367" spans="24:24" ht="15.75" customHeight="1" x14ac:dyDescent="0.35">
      <c r="X367" s="1"/>
    </row>
    <row r="368" spans="24:24" ht="15.75" customHeight="1" x14ac:dyDescent="0.35">
      <c r="X368" s="1"/>
    </row>
    <row r="369" spans="24:24" ht="15.75" customHeight="1" x14ac:dyDescent="0.35">
      <c r="X369" s="1"/>
    </row>
    <row r="370" spans="24:24" ht="15.75" customHeight="1" x14ac:dyDescent="0.35">
      <c r="X370" s="1"/>
    </row>
    <row r="371" spans="24:24" ht="15.75" customHeight="1" x14ac:dyDescent="0.35">
      <c r="X371" s="1"/>
    </row>
    <row r="372" spans="24:24" ht="15.75" customHeight="1" x14ac:dyDescent="0.35">
      <c r="X372" s="1"/>
    </row>
    <row r="373" spans="24:24" ht="15.75" customHeight="1" x14ac:dyDescent="0.35">
      <c r="X373" s="1"/>
    </row>
    <row r="374" spans="24:24" ht="15.75" customHeight="1" x14ac:dyDescent="0.35">
      <c r="X374" s="1"/>
    </row>
    <row r="375" spans="24:24" ht="15.75" customHeight="1" x14ac:dyDescent="0.35">
      <c r="X375" s="1"/>
    </row>
    <row r="376" spans="24:24" ht="15.75" customHeight="1" x14ac:dyDescent="0.35">
      <c r="X376" s="1"/>
    </row>
    <row r="377" spans="24:24" ht="15.75" customHeight="1" x14ac:dyDescent="0.35">
      <c r="X377" s="1"/>
    </row>
    <row r="378" spans="24:24" ht="15.75" customHeight="1" x14ac:dyDescent="0.35">
      <c r="X378" s="1"/>
    </row>
    <row r="379" spans="24:24" ht="15.75" customHeight="1" x14ac:dyDescent="0.35">
      <c r="X379" s="1"/>
    </row>
    <row r="380" spans="24:24" ht="15.75" customHeight="1" x14ac:dyDescent="0.35">
      <c r="X380" s="1"/>
    </row>
    <row r="381" spans="24:24" ht="15.75" customHeight="1" x14ac:dyDescent="0.35">
      <c r="X381" s="1"/>
    </row>
    <row r="382" spans="24:24" ht="15.75" customHeight="1" x14ac:dyDescent="0.35">
      <c r="X382" s="1"/>
    </row>
    <row r="383" spans="24:24" ht="15.75" customHeight="1" x14ac:dyDescent="0.35">
      <c r="X383" s="1"/>
    </row>
    <row r="384" spans="24:24" ht="15.75" customHeight="1" x14ac:dyDescent="0.35">
      <c r="X384" s="1"/>
    </row>
    <row r="385" spans="24:24" ht="15.75" customHeight="1" x14ac:dyDescent="0.35">
      <c r="X385" s="1"/>
    </row>
    <row r="386" spans="24:24" ht="15.75" customHeight="1" x14ac:dyDescent="0.35">
      <c r="X386" s="1"/>
    </row>
    <row r="387" spans="24:24" ht="15.75" customHeight="1" x14ac:dyDescent="0.35">
      <c r="X387" s="1"/>
    </row>
    <row r="388" spans="24:24" ht="15.75" customHeight="1" x14ac:dyDescent="0.35">
      <c r="X388" s="1"/>
    </row>
    <row r="389" spans="24:24" ht="15.75" customHeight="1" x14ac:dyDescent="0.35">
      <c r="X389" s="1"/>
    </row>
    <row r="390" spans="24:24" ht="15.75" customHeight="1" x14ac:dyDescent="0.35">
      <c r="X390" s="1"/>
    </row>
    <row r="391" spans="24:24" ht="15.75" customHeight="1" x14ac:dyDescent="0.35">
      <c r="X391" s="1"/>
    </row>
    <row r="392" spans="24:24" ht="15.75" customHeight="1" x14ac:dyDescent="0.35">
      <c r="X392" s="1"/>
    </row>
    <row r="393" spans="24:24" ht="15.75" customHeight="1" x14ac:dyDescent="0.35">
      <c r="X393" s="1"/>
    </row>
    <row r="394" spans="24:24" ht="15.75" customHeight="1" x14ac:dyDescent="0.35">
      <c r="X394" s="1"/>
    </row>
    <row r="395" spans="24:24" ht="15.75" customHeight="1" x14ac:dyDescent="0.35">
      <c r="X395" s="1"/>
    </row>
    <row r="396" spans="24:24" ht="15.75" customHeight="1" x14ac:dyDescent="0.35">
      <c r="X396" s="1"/>
    </row>
    <row r="397" spans="24:24" ht="15.75" customHeight="1" x14ac:dyDescent="0.35">
      <c r="X397" s="1"/>
    </row>
    <row r="398" spans="24:24" ht="15.75" customHeight="1" x14ac:dyDescent="0.35">
      <c r="X398" s="1"/>
    </row>
    <row r="399" spans="24:24" ht="15.75" customHeight="1" x14ac:dyDescent="0.35">
      <c r="X399" s="1"/>
    </row>
    <row r="400" spans="24:24" ht="15.75" customHeight="1" x14ac:dyDescent="0.35">
      <c r="X400" s="1"/>
    </row>
    <row r="401" spans="24:24" ht="15.75" customHeight="1" x14ac:dyDescent="0.35">
      <c r="X401" s="1"/>
    </row>
    <row r="402" spans="24:24" ht="15.75" customHeight="1" x14ac:dyDescent="0.35">
      <c r="X402" s="1"/>
    </row>
    <row r="403" spans="24:24" ht="15.75" customHeight="1" x14ac:dyDescent="0.35">
      <c r="X403" s="1"/>
    </row>
    <row r="404" spans="24:24" ht="15.75" customHeight="1" x14ac:dyDescent="0.35">
      <c r="X404" s="1"/>
    </row>
    <row r="405" spans="24:24" ht="15.75" customHeight="1" x14ac:dyDescent="0.35">
      <c r="X405" s="1"/>
    </row>
    <row r="406" spans="24:24" ht="15.75" customHeight="1" x14ac:dyDescent="0.35">
      <c r="X406" s="1"/>
    </row>
    <row r="407" spans="24:24" ht="15.75" customHeight="1" x14ac:dyDescent="0.35">
      <c r="X407" s="1"/>
    </row>
    <row r="408" spans="24:24" ht="15.75" customHeight="1" x14ac:dyDescent="0.35">
      <c r="X408" s="1"/>
    </row>
    <row r="409" spans="24:24" ht="15.75" customHeight="1" x14ac:dyDescent="0.35">
      <c r="X409" s="1"/>
    </row>
    <row r="410" spans="24:24" ht="15.75" customHeight="1" x14ac:dyDescent="0.35">
      <c r="X410" s="1"/>
    </row>
    <row r="411" spans="24:24" ht="15.75" customHeight="1" x14ac:dyDescent="0.35">
      <c r="X411" s="1"/>
    </row>
    <row r="412" spans="24:24" ht="15.75" customHeight="1" x14ac:dyDescent="0.35">
      <c r="X412" s="1"/>
    </row>
    <row r="413" spans="24:24" ht="15.75" customHeight="1" x14ac:dyDescent="0.35">
      <c r="X413" s="1"/>
    </row>
    <row r="414" spans="24:24" ht="15.75" customHeight="1" x14ac:dyDescent="0.35">
      <c r="X414" s="1"/>
    </row>
    <row r="415" spans="24:24" ht="15.75" customHeight="1" x14ac:dyDescent="0.35">
      <c r="X415" s="1"/>
    </row>
    <row r="416" spans="24:24" ht="15.75" customHeight="1" x14ac:dyDescent="0.35">
      <c r="X416" s="1"/>
    </row>
    <row r="417" spans="24:24" ht="15.75" customHeight="1" x14ac:dyDescent="0.35">
      <c r="X417" s="1"/>
    </row>
    <row r="418" spans="24:24" ht="15.75" customHeight="1" x14ac:dyDescent="0.35">
      <c r="X418" s="1"/>
    </row>
    <row r="419" spans="24:24" ht="15.75" customHeight="1" x14ac:dyDescent="0.35">
      <c r="X419" s="1"/>
    </row>
    <row r="420" spans="24:24" ht="15.75" customHeight="1" x14ac:dyDescent="0.35">
      <c r="X420" s="1"/>
    </row>
    <row r="421" spans="24:24" ht="15.75" customHeight="1" x14ac:dyDescent="0.35">
      <c r="X421" s="1"/>
    </row>
    <row r="422" spans="24:24" ht="15.75" customHeight="1" x14ac:dyDescent="0.35">
      <c r="X422" s="1"/>
    </row>
    <row r="423" spans="24:24" ht="15.75" customHeight="1" x14ac:dyDescent="0.35">
      <c r="X423" s="1"/>
    </row>
    <row r="424" spans="24:24" ht="15.75" customHeight="1" x14ac:dyDescent="0.35">
      <c r="X424" s="1"/>
    </row>
    <row r="425" spans="24:24" ht="15.75" customHeight="1" x14ac:dyDescent="0.35">
      <c r="X425" s="1"/>
    </row>
    <row r="426" spans="24:24" ht="15.75" customHeight="1" x14ac:dyDescent="0.35">
      <c r="X426" s="1"/>
    </row>
    <row r="427" spans="24:24" ht="15.75" customHeight="1" x14ac:dyDescent="0.35">
      <c r="X427" s="1"/>
    </row>
    <row r="428" spans="24:24" ht="15.75" customHeight="1" x14ac:dyDescent="0.35">
      <c r="X428" s="1"/>
    </row>
    <row r="429" spans="24:24" ht="15.75" customHeight="1" x14ac:dyDescent="0.35">
      <c r="X429" s="1"/>
    </row>
    <row r="430" spans="24:24" ht="15.75" customHeight="1" x14ac:dyDescent="0.35">
      <c r="X430" s="1"/>
    </row>
    <row r="431" spans="24:24" ht="15.75" customHeight="1" x14ac:dyDescent="0.35">
      <c r="X431" s="1"/>
    </row>
    <row r="432" spans="24:24" ht="15.75" customHeight="1" x14ac:dyDescent="0.35">
      <c r="X432" s="1"/>
    </row>
    <row r="433" spans="24:24" ht="15.75" customHeight="1" x14ac:dyDescent="0.35">
      <c r="X433" s="1"/>
    </row>
    <row r="434" spans="24:24" ht="15.75" customHeight="1" x14ac:dyDescent="0.35">
      <c r="X434" s="1"/>
    </row>
    <row r="435" spans="24:24" ht="15.75" customHeight="1" x14ac:dyDescent="0.35">
      <c r="X435" s="1"/>
    </row>
    <row r="436" spans="24:24" ht="15.75" customHeight="1" x14ac:dyDescent="0.35">
      <c r="X436" s="1"/>
    </row>
    <row r="437" spans="24:24" ht="15.75" customHeight="1" x14ac:dyDescent="0.35">
      <c r="X437" s="1"/>
    </row>
    <row r="438" spans="24:24" ht="15.75" customHeight="1" x14ac:dyDescent="0.35">
      <c r="X438" s="1"/>
    </row>
    <row r="439" spans="24:24" ht="15.75" customHeight="1" x14ac:dyDescent="0.35">
      <c r="X439" s="1"/>
    </row>
    <row r="440" spans="24:24" ht="15.75" customHeight="1" x14ac:dyDescent="0.35">
      <c r="X440" s="1"/>
    </row>
    <row r="441" spans="24:24" ht="15.75" customHeight="1" x14ac:dyDescent="0.35">
      <c r="X441" s="1"/>
    </row>
    <row r="442" spans="24:24" ht="15.75" customHeight="1" x14ac:dyDescent="0.35">
      <c r="X442" s="1"/>
    </row>
    <row r="443" spans="24:24" ht="15.75" customHeight="1" x14ac:dyDescent="0.35">
      <c r="X443" s="1"/>
    </row>
    <row r="444" spans="24:24" ht="15.75" customHeight="1" x14ac:dyDescent="0.35">
      <c r="X444" s="1"/>
    </row>
    <row r="445" spans="24:24" ht="15.75" customHeight="1" x14ac:dyDescent="0.35">
      <c r="X445" s="1"/>
    </row>
    <row r="446" spans="24:24" ht="15.75" customHeight="1" x14ac:dyDescent="0.35">
      <c r="X446" s="1"/>
    </row>
    <row r="447" spans="24:24" ht="15.75" customHeight="1" x14ac:dyDescent="0.35">
      <c r="X447" s="1"/>
    </row>
    <row r="448" spans="24:24" ht="15.75" customHeight="1" x14ac:dyDescent="0.35">
      <c r="X448" s="1"/>
    </row>
    <row r="449" spans="24:24" ht="15.75" customHeight="1" x14ac:dyDescent="0.35">
      <c r="X449" s="1"/>
    </row>
    <row r="450" spans="24:24" ht="15.75" customHeight="1" x14ac:dyDescent="0.35">
      <c r="X450" s="1"/>
    </row>
    <row r="451" spans="24:24" ht="15.75" customHeight="1" x14ac:dyDescent="0.35">
      <c r="X451" s="1"/>
    </row>
    <row r="452" spans="24:24" ht="15.75" customHeight="1" x14ac:dyDescent="0.35">
      <c r="X452" s="1"/>
    </row>
    <row r="453" spans="24:24" ht="15.75" customHeight="1" x14ac:dyDescent="0.35">
      <c r="X453" s="1"/>
    </row>
    <row r="454" spans="24:24" ht="15.75" customHeight="1" x14ac:dyDescent="0.35">
      <c r="X454" s="1"/>
    </row>
    <row r="455" spans="24:24" ht="15.75" customHeight="1" x14ac:dyDescent="0.35">
      <c r="X455" s="1"/>
    </row>
    <row r="456" spans="24:24" ht="15.75" customHeight="1" x14ac:dyDescent="0.35">
      <c r="X456" s="1"/>
    </row>
    <row r="457" spans="24:24" ht="15.75" customHeight="1" x14ac:dyDescent="0.35">
      <c r="X457" s="1"/>
    </row>
    <row r="458" spans="24:24" ht="15.75" customHeight="1" x14ac:dyDescent="0.35">
      <c r="X458" s="1"/>
    </row>
    <row r="459" spans="24:24" ht="15.75" customHeight="1" x14ac:dyDescent="0.35">
      <c r="X459" s="1"/>
    </row>
    <row r="460" spans="24:24" ht="15.75" customHeight="1" x14ac:dyDescent="0.35">
      <c r="X460" s="1"/>
    </row>
    <row r="461" spans="24:24" ht="15.75" customHeight="1" x14ac:dyDescent="0.35">
      <c r="X461" s="1"/>
    </row>
    <row r="462" spans="24:24" ht="15.75" customHeight="1" x14ac:dyDescent="0.35">
      <c r="X462" s="1"/>
    </row>
    <row r="463" spans="24:24" ht="15.75" customHeight="1" x14ac:dyDescent="0.35">
      <c r="X463" s="1"/>
    </row>
    <row r="464" spans="24:24" ht="15.75" customHeight="1" x14ac:dyDescent="0.35">
      <c r="X464" s="1"/>
    </row>
    <row r="465" spans="24:24" ht="15.75" customHeight="1" x14ac:dyDescent="0.35">
      <c r="X465" s="1"/>
    </row>
    <row r="466" spans="24:24" ht="15.75" customHeight="1" x14ac:dyDescent="0.35">
      <c r="X466" s="1"/>
    </row>
    <row r="467" spans="24:24" ht="15.75" customHeight="1" x14ac:dyDescent="0.35">
      <c r="X467" s="1"/>
    </row>
    <row r="468" spans="24:24" ht="15.75" customHeight="1" x14ac:dyDescent="0.35">
      <c r="X468" s="1"/>
    </row>
    <row r="469" spans="24:24" ht="15.75" customHeight="1" x14ac:dyDescent="0.35">
      <c r="X469" s="1"/>
    </row>
    <row r="470" spans="24:24" ht="15.75" customHeight="1" x14ac:dyDescent="0.35">
      <c r="X470" s="1"/>
    </row>
    <row r="471" spans="24:24" ht="15.75" customHeight="1" x14ac:dyDescent="0.35">
      <c r="X471" s="1"/>
    </row>
    <row r="472" spans="24:24" ht="15.75" customHeight="1" x14ac:dyDescent="0.35">
      <c r="X472" s="1"/>
    </row>
    <row r="473" spans="24:24" ht="15.75" customHeight="1" x14ac:dyDescent="0.35">
      <c r="X473" s="1"/>
    </row>
    <row r="474" spans="24:24" ht="15.75" customHeight="1" x14ac:dyDescent="0.35">
      <c r="X474" s="1"/>
    </row>
    <row r="475" spans="24:24" ht="15.75" customHeight="1" x14ac:dyDescent="0.35">
      <c r="X475" s="1"/>
    </row>
    <row r="476" spans="24:24" ht="15.75" customHeight="1" x14ac:dyDescent="0.35">
      <c r="X476" s="1"/>
    </row>
    <row r="477" spans="24:24" ht="15.75" customHeight="1" x14ac:dyDescent="0.35">
      <c r="X477" s="1"/>
    </row>
    <row r="478" spans="24:24" ht="15.75" customHeight="1" x14ac:dyDescent="0.35">
      <c r="X478" s="1"/>
    </row>
    <row r="479" spans="24:24" ht="15.75" customHeight="1" x14ac:dyDescent="0.35">
      <c r="X479" s="1"/>
    </row>
    <row r="480" spans="24:24" ht="15.75" customHeight="1" x14ac:dyDescent="0.35">
      <c r="X480" s="1"/>
    </row>
    <row r="481" spans="24:24" ht="15.75" customHeight="1" x14ac:dyDescent="0.35">
      <c r="X481" s="1"/>
    </row>
    <row r="482" spans="24:24" ht="15.75" customHeight="1" x14ac:dyDescent="0.35">
      <c r="X482" s="1"/>
    </row>
    <row r="483" spans="24:24" ht="15.75" customHeight="1" x14ac:dyDescent="0.35">
      <c r="X483" s="1"/>
    </row>
    <row r="484" spans="24:24" ht="15.75" customHeight="1" x14ac:dyDescent="0.35">
      <c r="X484" s="1"/>
    </row>
    <row r="485" spans="24:24" ht="15.75" customHeight="1" x14ac:dyDescent="0.35">
      <c r="X485" s="1"/>
    </row>
    <row r="486" spans="24:24" ht="15.75" customHeight="1" x14ac:dyDescent="0.35">
      <c r="X486" s="1"/>
    </row>
    <row r="487" spans="24:24" ht="15.75" customHeight="1" x14ac:dyDescent="0.35">
      <c r="X487" s="1"/>
    </row>
    <row r="488" spans="24:24" ht="15.75" customHeight="1" x14ac:dyDescent="0.35">
      <c r="X488" s="1"/>
    </row>
    <row r="489" spans="24:24" ht="15.75" customHeight="1" x14ac:dyDescent="0.35">
      <c r="X489" s="1"/>
    </row>
    <row r="490" spans="24:24" ht="15.75" customHeight="1" x14ac:dyDescent="0.35">
      <c r="X490" s="1"/>
    </row>
    <row r="491" spans="24:24" ht="15.75" customHeight="1" x14ac:dyDescent="0.35">
      <c r="X491" s="1"/>
    </row>
    <row r="492" spans="24:24" ht="15.75" customHeight="1" x14ac:dyDescent="0.35">
      <c r="X492" s="1"/>
    </row>
    <row r="493" spans="24:24" ht="15.75" customHeight="1" x14ac:dyDescent="0.35">
      <c r="X493" s="1"/>
    </row>
    <row r="494" spans="24:24" ht="15.75" customHeight="1" x14ac:dyDescent="0.35">
      <c r="X494" s="1"/>
    </row>
    <row r="495" spans="24:24" ht="15.75" customHeight="1" x14ac:dyDescent="0.35">
      <c r="X495" s="1"/>
    </row>
    <row r="496" spans="24:24" ht="15.75" customHeight="1" x14ac:dyDescent="0.35">
      <c r="X496" s="1"/>
    </row>
    <row r="497" spans="24:24" ht="15.75" customHeight="1" x14ac:dyDescent="0.35">
      <c r="X497" s="1"/>
    </row>
    <row r="498" spans="24:24" ht="15.75" customHeight="1" x14ac:dyDescent="0.35">
      <c r="X498" s="1"/>
    </row>
    <row r="499" spans="24:24" ht="15.75" customHeight="1" x14ac:dyDescent="0.35">
      <c r="X499" s="1"/>
    </row>
    <row r="500" spans="24:24" ht="15.75" customHeight="1" x14ac:dyDescent="0.35">
      <c r="X500" s="1"/>
    </row>
    <row r="501" spans="24:24" ht="15.75" customHeight="1" x14ac:dyDescent="0.35">
      <c r="X501" s="1"/>
    </row>
    <row r="502" spans="24:24" ht="15.75" customHeight="1" x14ac:dyDescent="0.35">
      <c r="X502" s="1"/>
    </row>
    <row r="503" spans="24:24" ht="15.75" customHeight="1" x14ac:dyDescent="0.35">
      <c r="X503" s="1"/>
    </row>
    <row r="504" spans="24:24" ht="15.75" customHeight="1" x14ac:dyDescent="0.35">
      <c r="X504" s="1"/>
    </row>
    <row r="505" spans="24:24" ht="15.75" customHeight="1" x14ac:dyDescent="0.35">
      <c r="X505" s="1"/>
    </row>
    <row r="506" spans="24:24" ht="15.75" customHeight="1" x14ac:dyDescent="0.35">
      <c r="X506" s="1"/>
    </row>
    <row r="507" spans="24:24" ht="15.75" customHeight="1" x14ac:dyDescent="0.35">
      <c r="X507" s="1"/>
    </row>
    <row r="508" spans="24:24" ht="15.75" customHeight="1" x14ac:dyDescent="0.35">
      <c r="X508" s="1"/>
    </row>
    <row r="509" spans="24:24" ht="15.75" customHeight="1" x14ac:dyDescent="0.35">
      <c r="X509" s="1"/>
    </row>
    <row r="510" spans="24:24" ht="15.75" customHeight="1" x14ac:dyDescent="0.35">
      <c r="X510" s="1"/>
    </row>
    <row r="511" spans="24:24" ht="15.75" customHeight="1" x14ac:dyDescent="0.35">
      <c r="X511" s="1"/>
    </row>
    <row r="512" spans="24:24" ht="15.75" customHeight="1" x14ac:dyDescent="0.35">
      <c r="X512" s="1"/>
    </row>
    <row r="513" spans="24:24" ht="15.75" customHeight="1" x14ac:dyDescent="0.35">
      <c r="X513" s="1"/>
    </row>
    <row r="514" spans="24:24" ht="15.75" customHeight="1" x14ac:dyDescent="0.35">
      <c r="X514" s="1"/>
    </row>
    <row r="515" spans="24:24" ht="15.75" customHeight="1" x14ac:dyDescent="0.35">
      <c r="X515" s="1"/>
    </row>
    <row r="516" spans="24:24" ht="15.75" customHeight="1" x14ac:dyDescent="0.35">
      <c r="X516" s="1"/>
    </row>
    <row r="517" spans="24:24" ht="15.75" customHeight="1" x14ac:dyDescent="0.35">
      <c r="X517" s="1"/>
    </row>
    <row r="518" spans="24:24" ht="15.75" customHeight="1" x14ac:dyDescent="0.35">
      <c r="X518" s="1"/>
    </row>
    <row r="519" spans="24:24" ht="15.75" customHeight="1" x14ac:dyDescent="0.35">
      <c r="X519" s="1"/>
    </row>
    <row r="520" spans="24:24" ht="15.75" customHeight="1" x14ac:dyDescent="0.35">
      <c r="X520" s="1"/>
    </row>
    <row r="521" spans="24:24" ht="15.75" customHeight="1" x14ac:dyDescent="0.35">
      <c r="X521" s="1"/>
    </row>
    <row r="522" spans="24:24" ht="15.75" customHeight="1" x14ac:dyDescent="0.35">
      <c r="X522" s="1"/>
    </row>
    <row r="523" spans="24:24" ht="15.75" customHeight="1" x14ac:dyDescent="0.35">
      <c r="X523" s="1"/>
    </row>
    <row r="524" spans="24:24" ht="15.75" customHeight="1" x14ac:dyDescent="0.35">
      <c r="X524" s="1"/>
    </row>
    <row r="525" spans="24:24" ht="15.75" customHeight="1" x14ac:dyDescent="0.35">
      <c r="X525" s="1"/>
    </row>
    <row r="526" spans="24:24" ht="15.75" customHeight="1" x14ac:dyDescent="0.35">
      <c r="X526" s="1"/>
    </row>
    <row r="527" spans="24:24" ht="15.75" customHeight="1" x14ac:dyDescent="0.35">
      <c r="X527" s="1"/>
    </row>
    <row r="528" spans="24:24" ht="15.75" customHeight="1" x14ac:dyDescent="0.35">
      <c r="X528" s="1"/>
    </row>
    <row r="529" spans="24:24" ht="15.75" customHeight="1" x14ac:dyDescent="0.35">
      <c r="X529" s="1"/>
    </row>
    <row r="530" spans="24:24" ht="15.75" customHeight="1" x14ac:dyDescent="0.35">
      <c r="X530" s="1"/>
    </row>
    <row r="531" spans="24:24" ht="15.75" customHeight="1" x14ac:dyDescent="0.35">
      <c r="X531" s="1"/>
    </row>
    <row r="532" spans="24:24" ht="15.75" customHeight="1" x14ac:dyDescent="0.35">
      <c r="X532" s="1"/>
    </row>
    <row r="533" spans="24:24" ht="15.75" customHeight="1" x14ac:dyDescent="0.35">
      <c r="X533" s="1"/>
    </row>
    <row r="534" spans="24:24" ht="15.75" customHeight="1" x14ac:dyDescent="0.35">
      <c r="X534" s="1"/>
    </row>
    <row r="535" spans="24:24" ht="15.75" customHeight="1" x14ac:dyDescent="0.35">
      <c r="X535" s="1"/>
    </row>
    <row r="536" spans="24:24" ht="15.75" customHeight="1" x14ac:dyDescent="0.35">
      <c r="X536" s="1"/>
    </row>
    <row r="537" spans="24:24" ht="15.75" customHeight="1" x14ac:dyDescent="0.35">
      <c r="X537" s="1"/>
    </row>
    <row r="538" spans="24:24" ht="15.75" customHeight="1" x14ac:dyDescent="0.35">
      <c r="X538" s="1"/>
    </row>
    <row r="539" spans="24:24" ht="15.75" customHeight="1" x14ac:dyDescent="0.35">
      <c r="X539" s="1"/>
    </row>
    <row r="540" spans="24:24" ht="15.75" customHeight="1" x14ac:dyDescent="0.35">
      <c r="X540" s="1"/>
    </row>
    <row r="541" spans="24:24" ht="15.75" customHeight="1" x14ac:dyDescent="0.35">
      <c r="X541" s="1"/>
    </row>
    <row r="542" spans="24:24" ht="15.75" customHeight="1" x14ac:dyDescent="0.35">
      <c r="X542" s="1"/>
    </row>
    <row r="543" spans="24:24" ht="15.75" customHeight="1" x14ac:dyDescent="0.35">
      <c r="X543" s="1"/>
    </row>
    <row r="544" spans="24:24" ht="15.75" customHeight="1" x14ac:dyDescent="0.35">
      <c r="X544" s="1"/>
    </row>
    <row r="545" spans="24:24" ht="15.75" customHeight="1" x14ac:dyDescent="0.35">
      <c r="X545" s="1"/>
    </row>
    <row r="546" spans="24:24" ht="15.75" customHeight="1" x14ac:dyDescent="0.35">
      <c r="X546" s="1"/>
    </row>
    <row r="547" spans="24:24" ht="15.75" customHeight="1" x14ac:dyDescent="0.35">
      <c r="X547" s="1"/>
    </row>
    <row r="548" spans="24:24" ht="15.75" customHeight="1" x14ac:dyDescent="0.35">
      <c r="X548" s="1"/>
    </row>
    <row r="549" spans="24:24" ht="15.75" customHeight="1" x14ac:dyDescent="0.35">
      <c r="X549" s="1"/>
    </row>
    <row r="550" spans="24:24" ht="15.75" customHeight="1" x14ac:dyDescent="0.35">
      <c r="X550" s="1"/>
    </row>
    <row r="551" spans="24:24" ht="15.75" customHeight="1" x14ac:dyDescent="0.35">
      <c r="X551" s="1"/>
    </row>
    <row r="552" spans="24:24" ht="15.75" customHeight="1" x14ac:dyDescent="0.35">
      <c r="X552" s="1"/>
    </row>
    <row r="553" spans="24:24" ht="15.75" customHeight="1" x14ac:dyDescent="0.35">
      <c r="X553" s="1"/>
    </row>
    <row r="554" spans="24:24" ht="15.75" customHeight="1" x14ac:dyDescent="0.35">
      <c r="X554" s="1"/>
    </row>
    <row r="555" spans="24:24" ht="15.75" customHeight="1" x14ac:dyDescent="0.35">
      <c r="X555" s="1"/>
    </row>
    <row r="556" spans="24:24" ht="15.75" customHeight="1" x14ac:dyDescent="0.35">
      <c r="X556" s="1"/>
    </row>
    <row r="557" spans="24:24" ht="15.75" customHeight="1" x14ac:dyDescent="0.35">
      <c r="X557" s="1"/>
    </row>
    <row r="558" spans="24:24" ht="15.75" customHeight="1" x14ac:dyDescent="0.35">
      <c r="X558" s="1"/>
    </row>
    <row r="559" spans="24:24" ht="15.75" customHeight="1" x14ac:dyDescent="0.35">
      <c r="X559" s="1"/>
    </row>
    <row r="560" spans="24:24" ht="15.75" customHeight="1" x14ac:dyDescent="0.35">
      <c r="X560" s="1"/>
    </row>
    <row r="561" spans="24:24" ht="15.75" customHeight="1" x14ac:dyDescent="0.35">
      <c r="X561" s="1"/>
    </row>
    <row r="562" spans="24:24" ht="15.75" customHeight="1" x14ac:dyDescent="0.35">
      <c r="X562" s="1"/>
    </row>
    <row r="563" spans="24:24" ht="15.75" customHeight="1" x14ac:dyDescent="0.35">
      <c r="X563" s="1"/>
    </row>
    <row r="564" spans="24:24" ht="15.75" customHeight="1" x14ac:dyDescent="0.35">
      <c r="X564" s="1"/>
    </row>
    <row r="565" spans="24:24" ht="15.75" customHeight="1" x14ac:dyDescent="0.35">
      <c r="X565" s="1"/>
    </row>
    <row r="566" spans="24:24" ht="15.75" customHeight="1" x14ac:dyDescent="0.35">
      <c r="X566" s="1"/>
    </row>
    <row r="567" spans="24:24" ht="15.75" customHeight="1" x14ac:dyDescent="0.35">
      <c r="X567" s="1"/>
    </row>
    <row r="568" spans="24:24" ht="15.75" customHeight="1" x14ac:dyDescent="0.35">
      <c r="X568" s="1"/>
    </row>
    <row r="569" spans="24:24" ht="15.75" customHeight="1" x14ac:dyDescent="0.35">
      <c r="X569" s="1"/>
    </row>
    <row r="570" spans="24:24" ht="15.75" customHeight="1" x14ac:dyDescent="0.35">
      <c r="X570" s="1"/>
    </row>
    <row r="571" spans="24:24" ht="15.75" customHeight="1" x14ac:dyDescent="0.35">
      <c r="X571" s="1"/>
    </row>
    <row r="572" spans="24:24" ht="15.75" customHeight="1" x14ac:dyDescent="0.35">
      <c r="X572" s="1"/>
    </row>
    <row r="573" spans="24:24" ht="15.75" customHeight="1" x14ac:dyDescent="0.35">
      <c r="X573" s="1"/>
    </row>
    <row r="574" spans="24:24" ht="15.75" customHeight="1" x14ac:dyDescent="0.35">
      <c r="X574" s="1"/>
    </row>
    <row r="575" spans="24:24" ht="15.75" customHeight="1" x14ac:dyDescent="0.35">
      <c r="X575" s="1"/>
    </row>
    <row r="576" spans="24:24" ht="15.75" customHeight="1" x14ac:dyDescent="0.35">
      <c r="X576" s="1"/>
    </row>
    <row r="577" spans="24:24" ht="15.75" customHeight="1" x14ac:dyDescent="0.35">
      <c r="X577" s="1"/>
    </row>
    <row r="578" spans="24:24" ht="15.75" customHeight="1" x14ac:dyDescent="0.35">
      <c r="X578" s="1"/>
    </row>
    <row r="579" spans="24:24" ht="15.75" customHeight="1" x14ac:dyDescent="0.35">
      <c r="X579" s="1"/>
    </row>
    <row r="580" spans="24:24" ht="15.75" customHeight="1" x14ac:dyDescent="0.35">
      <c r="X580" s="1"/>
    </row>
    <row r="581" spans="24:24" ht="15.75" customHeight="1" x14ac:dyDescent="0.35">
      <c r="X581" s="1"/>
    </row>
    <row r="582" spans="24:24" ht="15.75" customHeight="1" x14ac:dyDescent="0.35">
      <c r="X582" s="1"/>
    </row>
    <row r="583" spans="24:24" ht="15.75" customHeight="1" x14ac:dyDescent="0.35">
      <c r="X583" s="1"/>
    </row>
    <row r="584" spans="24:24" ht="15.75" customHeight="1" x14ac:dyDescent="0.35">
      <c r="X584" s="1"/>
    </row>
    <row r="585" spans="24:24" ht="15.75" customHeight="1" x14ac:dyDescent="0.35">
      <c r="X585" s="1"/>
    </row>
    <row r="586" spans="24:24" ht="15.75" customHeight="1" x14ac:dyDescent="0.35">
      <c r="X586" s="1"/>
    </row>
    <row r="587" spans="24:24" ht="15.75" customHeight="1" x14ac:dyDescent="0.35">
      <c r="X587" s="1"/>
    </row>
    <row r="588" spans="24:24" ht="15.75" customHeight="1" x14ac:dyDescent="0.35">
      <c r="X588" s="1"/>
    </row>
    <row r="589" spans="24:24" ht="15.75" customHeight="1" x14ac:dyDescent="0.35">
      <c r="X589" s="1"/>
    </row>
    <row r="590" spans="24:24" ht="15.75" customHeight="1" x14ac:dyDescent="0.35">
      <c r="X590" s="1"/>
    </row>
    <row r="591" spans="24:24" ht="15.75" customHeight="1" x14ac:dyDescent="0.35">
      <c r="X591" s="1"/>
    </row>
    <row r="592" spans="24:24" ht="15.75" customHeight="1" x14ac:dyDescent="0.35">
      <c r="X592" s="1"/>
    </row>
    <row r="593" spans="24:24" ht="15.75" customHeight="1" x14ac:dyDescent="0.35">
      <c r="X593" s="1"/>
    </row>
    <row r="594" spans="24:24" ht="15.75" customHeight="1" x14ac:dyDescent="0.35">
      <c r="X594" s="1"/>
    </row>
    <row r="595" spans="24:24" ht="15.75" customHeight="1" x14ac:dyDescent="0.35">
      <c r="X595" s="1"/>
    </row>
    <row r="596" spans="24:24" ht="15.75" customHeight="1" x14ac:dyDescent="0.35">
      <c r="X596" s="1"/>
    </row>
    <row r="597" spans="24:24" ht="15.75" customHeight="1" x14ac:dyDescent="0.35">
      <c r="X597" s="1"/>
    </row>
    <row r="598" spans="24:24" ht="15.75" customHeight="1" x14ac:dyDescent="0.35">
      <c r="X598" s="1"/>
    </row>
    <row r="599" spans="24:24" ht="15.75" customHeight="1" x14ac:dyDescent="0.35">
      <c r="X599" s="1"/>
    </row>
    <row r="600" spans="24:24" ht="15.75" customHeight="1" x14ac:dyDescent="0.35">
      <c r="X600" s="1"/>
    </row>
    <row r="601" spans="24:24" ht="15.75" customHeight="1" x14ac:dyDescent="0.35">
      <c r="X601" s="1"/>
    </row>
    <row r="602" spans="24:24" ht="15.75" customHeight="1" x14ac:dyDescent="0.35">
      <c r="X602" s="1"/>
    </row>
    <row r="603" spans="24:24" ht="15.75" customHeight="1" x14ac:dyDescent="0.35">
      <c r="X603" s="1"/>
    </row>
    <row r="604" spans="24:24" ht="15.75" customHeight="1" x14ac:dyDescent="0.35">
      <c r="X604" s="1"/>
    </row>
    <row r="605" spans="24:24" ht="15.75" customHeight="1" x14ac:dyDescent="0.35">
      <c r="X605" s="1"/>
    </row>
    <row r="606" spans="24:24" ht="15.75" customHeight="1" x14ac:dyDescent="0.35">
      <c r="X606" s="1"/>
    </row>
    <row r="607" spans="24:24" ht="15.75" customHeight="1" x14ac:dyDescent="0.35">
      <c r="X607" s="1"/>
    </row>
    <row r="608" spans="24:24" ht="15.75" customHeight="1" x14ac:dyDescent="0.35">
      <c r="X608" s="1"/>
    </row>
    <row r="609" spans="24:24" ht="15.75" customHeight="1" x14ac:dyDescent="0.35">
      <c r="X609" s="1"/>
    </row>
    <row r="610" spans="24:24" ht="15.75" customHeight="1" x14ac:dyDescent="0.35">
      <c r="X610" s="1"/>
    </row>
    <row r="611" spans="24:24" ht="15.75" customHeight="1" x14ac:dyDescent="0.35">
      <c r="X611" s="1"/>
    </row>
    <row r="612" spans="24:24" ht="15.75" customHeight="1" x14ac:dyDescent="0.35">
      <c r="X612" s="1"/>
    </row>
    <row r="613" spans="24:24" ht="15.75" customHeight="1" x14ac:dyDescent="0.35">
      <c r="X613" s="1"/>
    </row>
    <row r="614" spans="24:24" ht="15.75" customHeight="1" x14ac:dyDescent="0.35">
      <c r="X614" s="1"/>
    </row>
    <row r="615" spans="24:24" ht="15.75" customHeight="1" x14ac:dyDescent="0.35">
      <c r="X615" s="1"/>
    </row>
    <row r="616" spans="24:24" ht="15.75" customHeight="1" x14ac:dyDescent="0.35">
      <c r="X616" s="1"/>
    </row>
    <row r="617" spans="24:24" ht="15.75" customHeight="1" x14ac:dyDescent="0.35">
      <c r="X617" s="1"/>
    </row>
    <row r="618" spans="24:24" ht="15.75" customHeight="1" x14ac:dyDescent="0.35">
      <c r="X618" s="1"/>
    </row>
    <row r="619" spans="24:24" ht="15.75" customHeight="1" x14ac:dyDescent="0.35">
      <c r="X619" s="1"/>
    </row>
    <row r="620" spans="24:24" ht="15.75" customHeight="1" x14ac:dyDescent="0.35">
      <c r="X620" s="1"/>
    </row>
    <row r="621" spans="24:24" ht="15.75" customHeight="1" x14ac:dyDescent="0.35">
      <c r="X621" s="1"/>
    </row>
    <row r="622" spans="24:24" ht="15.75" customHeight="1" x14ac:dyDescent="0.35">
      <c r="X622" s="1"/>
    </row>
    <row r="623" spans="24:24" ht="15.75" customHeight="1" x14ac:dyDescent="0.35">
      <c r="X623" s="1"/>
    </row>
    <row r="624" spans="24:24" ht="15.75" customHeight="1" x14ac:dyDescent="0.35">
      <c r="X624" s="1"/>
    </row>
    <row r="625" spans="24:24" ht="15.75" customHeight="1" x14ac:dyDescent="0.35">
      <c r="X625" s="1"/>
    </row>
    <row r="626" spans="24:24" ht="15.75" customHeight="1" x14ac:dyDescent="0.35">
      <c r="X626" s="1"/>
    </row>
    <row r="627" spans="24:24" ht="15.75" customHeight="1" x14ac:dyDescent="0.35">
      <c r="X627" s="1"/>
    </row>
    <row r="628" spans="24:24" ht="15.75" customHeight="1" x14ac:dyDescent="0.35">
      <c r="X628" s="1"/>
    </row>
    <row r="629" spans="24:24" ht="15.75" customHeight="1" x14ac:dyDescent="0.35">
      <c r="X629" s="1"/>
    </row>
    <row r="630" spans="24:24" ht="15.75" customHeight="1" x14ac:dyDescent="0.35">
      <c r="X630" s="1"/>
    </row>
    <row r="631" spans="24:24" ht="15.75" customHeight="1" x14ac:dyDescent="0.35">
      <c r="X631" s="1"/>
    </row>
    <row r="632" spans="24:24" ht="15.75" customHeight="1" x14ac:dyDescent="0.35">
      <c r="X632" s="1"/>
    </row>
    <row r="633" spans="24:24" ht="15.75" customHeight="1" x14ac:dyDescent="0.35">
      <c r="X633" s="1"/>
    </row>
    <row r="634" spans="24:24" ht="15.75" customHeight="1" x14ac:dyDescent="0.35">
      <c r="X634" s="1"/>
    </row>
    <row r="635" spans="24:24" ht="15.75" customHeight="1" x14ac:dyDescent="0.35">
      <c r="X635" s="1"/>
    </row>
    <row r="636" spans="24:24" ht="15.75" customHeight="1" x14ac:dyDescent="0.35">
      <c r="X636" s="1"/>
    </row>
    <row r="637" spans="24:24" ht="15.75" customHeight="1" x14ac:dyDescent="0.35">
      <c r="X637" s="1"/>
    </row>
    <row r="638" spans="24:24" ht="15.75" customHeight="1" x14ac:dyDescent="0.35">
      <c r="X638" s="1"/>
    </row>
    <row r="639" spans="24:24" ht="15.75" customHeight="1" x14ac:dyDescent="0.35">
      <c r="X639" s="1"/>
    </row>
    <row r="640" spans="24:24" ht="15.75" customHeight="1" x14ac:dyDescent="0.35">
      <c r="X640" s="1"/>
    </row>
    <row r="641" spans="24:24" ht="15.75" customHeight="1" x14ac:dyDescent="0.35">
      <c r="X641" s="1"/>
    </row>
    <row r="642" spans="24:24" ht="15.75" customHeight="1" x14ac:dyDescent="0.35">
      <c r="X642" s="1"/>
    </row>
    <row r="643" spans="24:24" ht="15.75" customHeight="1" x14ac:dyDescent="0.35">
      <c r="X643" s="1"/>
    </row>
    <row r="644" spans="24:24" ht="15.75" customHeight="1" x14ac:dyDescent="0.35">
      <c r="X644" s="1"/>
    </row>
    <row r="645" spans="24:24" ht="15.75" customHeight="1" x14ac:dyDescent="0.35">
      <c r="X645" s="1"/>
    </row>
    <row r="646" spans="24:24" ht="15.75" customHeight="1" x14ac:dyDescent="0.35">
      <c r="X646" s="1"/>
    </row>
    <row r="647" spans="24:24" ht="15.75" customHeight="1" x14ac:dyDescent="0.35">
      <c r="X647" s="1"/>
    </row>
    <row r="648" spans="24:24" ht="15.75" customHeight="1" x14ac:dyDescent="0.35">
      <c r="X648" s="1"/>
    </row>
    <row r="649" spans="24:24" ht="15.75" customHeight="1" x14ac:dyDescent="0.35">
      <c r="X649" s="1"/>
    </row>
    <row r="650" spans="24:24" ht="15.75" customHeight="1" x14ac:dyDescent="0.35">
      <c r="X650" s="1"/>
    </row>
    <row r="651" spans="24:24" ht="15.75" customHeight="1" x14ac:dyDescent="0.35">
      <c r="X651" s="1"/>
    </row>
    <row r="652" spans="24:24" ht="15.75" customHeight="1" x14ac:dyDescent="0.35">
      <c r="X652" s="1"/>
    </row>
    <row r="653" spans="24:24" ht="15.75" customHeight="1" x14ac:dyDescent="0.35">
      <c r="X653" s="1"/>
    </row>
    <row r="654" spans="24:24" ht="15.75" customHeight="1" x14ac:dyDescent="0.35">
      <c r="X654" s="1"/>
    </row>
    <row r="655" spans="24:24" ht="15.75" customHeight="1" x14ac:dyDescent="0.35">
      <c r="X655" s="1"/>
    </row>
    <row r="656" spans="24:24" ht="15.75" customHeight="1" x14ac:dyDescent="0.35">
      <c r="X656" s="1"/>
    </row>
    <row r="657" spans="24:24" ht="15.75" customHeight="1" x14ac:dyDescent="0.35">
      <c r="X657" s="1"/>
    </row>
    <row r="658" spans="24:24" ht="15.75" customHeight="1" x14ac:dyDescent="0.35">
      <c r="X658" s="1"/>
    </row>
    <row r="659" spans="24:24" ht="15.75" customHeight="1" x14ac:dyDescent="0.35">
      <c r="X659" s="1"/>
    </row>
    <row r="660" spans="24:24" ht="15.75" customHeight="1" x14ac:dyDescent="0.35">
      <c r="X660" s="1"/>
    </row>
    <row r="661" spans="24:24" ht="15.75" customHeight="1" x14ac:dyDescent="0.35">
      <c r="X661" s="1"/>
    </row>
    <row r="662" spans="24:24" ht="15.75" customHeight="1" x14ac:dyDescent="0.35">
      <c r="X662" s="1"/>
    </row>
    <row r="663" spans="24:24" ht="15.75" customHeight="1" x14ac:dyDescent="0.35">
      <c r="X663" s="1"/>
    </row>
    <row r="664" spans="24:24" ht="15.75" customHeight="1" x14ac:dyDescent="0.35">
      <c r="X664" s="1"/>
    </row>
    <row r="665" spans="24:24" ht="15.75" customHeight="1" x14ac:dyDescent="0.35">
      <c r="X665" s="1"/>
    </row>
    <row r="666" spans="24:24" ht="15.75" customHeight="1" x14ac:dyDescent="0.35">
      <c r="X666" s="1"/>
    </row>
    <row r="667" spans="24:24" ht="15.75" customHeight="1" x14ac:dyDescent="0.35">
      <c r="X667" s="1"/>
    </row>
    <row r="668" spans="24:24" ht="15.75" customHeight="1" x14ac:dyDescent="0.35">
      <c r="X668" s="1"/>
    </row>
    <row r="669" spans="24:24" ht="15.75" customHeight="1" x14ac:dyDescent="0.35">
      <c r="X669" s="1"/>
    </row>
    <row r="670" spans="24:24" ht="15.75" customHeight="1" x14ac:dyDescent="0.35">
      <c r="X670" s="1"/>
    </row>
    <row r="671" spans="24:24" ht="15.75" customHeight="1" x14ac:dyDescent="0.35">
      <c r="X671" s="1"/>
    </row>
    <row r="672" spans="24:24" ht="15.75" customHeight="1" x14ac:dyDescent="0.35">
      <c r="X672" s="1"/>
    </row>
    <row r="673" spans="24:24" ht="15.75" customHeight="1" x14ac:dyDescent="0.35">
      <c r="X673" s="1"/>
    </row>
    <row r="674" spans="24:24" ht="15.75" customHeight="1" x14ac:dyDescent="0.35">
      <c r="X674" s="1"/>
    </row>
    <row r="675" spans="24:24" ht="15.75" customHeight="1" x14ac:dyDescent="0.35">
      <c r="X675" s="1"/>
    </row>
    <row r="676" spans="24:24" ht="15.75" customHeight="1" x14ac:dyDescent="0.35">
      <c r="X676" s="1"/>
    </row>
    <row r="677" spans="24:24" ht="15.75" customHeight="1" x14ac:dyDescent="0.35">
      <c r="X677" s="1"/>
    </row>
    <row r="678" spans="24:24" ht="15.75" customHeight="1" x14ac:dyDescent="0.35">
      <c r="X678" s="1"/>
    </row>
    <row r="679" spans="24:24" ht="15.75" customHeight="1" x14ac:dyDescent="0.35">
      <c r="X679" s="1"/>
    </row>
    <row r="680" spans="24:24" ht="15.75" customHeight="1" x14ac:dyDescent="0.35">
      <c r="X680" s="1"/>
    </row>
    <row r="681" spans="24:24" ht="15.75" customHeight="1" x14ac:dyDescent="0.35">
      <c r="X681" s="1"/>
    </row>
    <row r="682" spans="24:24" ht="15.75" customHeight="1" x14ac:dyDescent="0.35">
      <c r="X682" s="1"/>
    </row>
    <row r="683" spans="24:24" ht="15.75" customHeight="1" x14ac:dyDescent="0.35">
      <c r="X683" s="1"/>
    </row>
    <row r="684" spans="24:24" ht="15.75" customHeight="1" x14ac:dyDescent="0.35">
      <c r="X684" s="1"/>
    </row>
    <row r="685" spans="24:24" ht="15.75" customHeight="1" x14ac:dyDescent="0.35">
      <c r="X685" s="1"/>
    </row>
    <row r="686" spans="24:24" ht="15.75" customHeight="1" x14ac:dyDescent="0.35">
      <c r="X686" s="1"/>
    </row>
    <row r="687" spans="24:24" ht="15.75" customHeight="1" x14ac:dyDescent="0.35">
      <c r="X687" s="1"/>
    </row>
    <row r="688" spans="24:24" ht="15.75" customHeight="1" x14ac:dyDescent="0.35">
      <c r="X688" s="1"/>
    </row>
    <row r="689" spans="24:24" ht="15.75" customHeight="1" x14ac:dyDescent="0.35">
      <c r="X689" s="1"/>
    </row>
    <row r="690" spans="24:24" ht="15.75" customHeight="1" x14ac:dyDescent="0.35">
      <c r="X690" s="1"/>
    </row>
    <row r="691" spans="24:24" ht="15.75" customHeight="1" x14ac:dyDescent="0.35">
      <c r="X691" s="1"/>
    </row>
    <row r="692" spans="24:24" ht="15.75" customHeight="1" x14ac:dyDescent="0.35">
      <c r="X692" s="1"/>
    </row>
    <row r="693" spans="24:24" ht="15.75" customHeight="1" x14ac:dyDescent="0.35">
      <c r="X693" s="1"/>
    </row>
    <row r="694" spans="24:24" ht="15.75" customHeight="1" x14ac:dyDescent="0.35">
      <c r="X694" s="1"/>
    </row>
    <row r="695" spans="24:24" ht="15.75" customHeight="1" x14ac:dyDescent="0.35">
      <c r="X695" s="1"/>
    </row>
    <row r="696" spans="24:24" ht="15.75" customHeight="1" x14ac:dyDescent="0.35">
      <c r="X696" s="1"/>
    </row>
    <row r="697" spans="24:24" ht="15.75" customHeight="1" x14ac:dyDescent="0.35">
      <c r="X697" s="1"/>
    </row>
    <row r="698" spans="24:24" ht="15.75" customHeight="1" x14ac:dyDescent="0.35">
      <c r="X698" s="1"/>
    </row>
    <row r="699" spans="24:24" ht="15.75" customHeight="1" x14ac:dyDescent="0.35">
      <c r="X699" s="1"/>
    </row>
    <row r="700" spans="24:24" ht="15.75" customHeight="1" x14ac:dyDescent="0.35">
      <c r="X700" s="1"/>
    </row>
    <row r="701" spans="24:24" ht="15.75" customHeight="1" x14ac:dyDescent="0.35">
      <c r="X701" s="1"/>
    </row>
    <row r="702" spans="24:24" ht="15.75" customHeight="1" x14ac:dyDescent="0.35">
      <c r="X702" s="1"/>
    </row>
    <row r="703" spans="24:24" ht="15.75" customHeight="1" x14ac:dyDescent="0.35">
      <c r="X703" s="1"/>
    </row>
    <row r="704" spans="24:24" ht="15.75" customHeight="1" x14ac:dyDescent="0.35">
      <c r="X704" s="1"/>
    </row>
    <row r="705" spans="24:24" ht="15.75" customHeight="1" x14ac:dyDescent="0.35">
      <c r="X705" s="1"/>
    </row>
    <row r="706" spans="24:24" ht="15.75" customHeight="1" x14ac:dyDescent="0.35">
      <c r="X706" s="1"/>
    </row>
    <row r="707" spans="24:24" ht="15.75" customHeight="1" x14ac:dyDescent="0.35">
      <c r="X707" s="1"/>
    </row>
    <row r="708" spans="24:24" ht="15.75" customHeight="1" x14ac:dyDescent="0.35">
      <c r="X708" s="1"/>
    </row>
    <row r="709" spans="24:24" ht="15.75" customHeight="1" x14ac:dyDescent="0.35">
      <c r="X709" s="1"/>
    </row>
    <row r="710" spans="24:24" ht="15.75" customHeight="1" x14ac:dyDescent="0.35">
      <c r="X710" s="1"/>
    </row>
    <row r="711" spans="24:24" ht="15.75" customHeight="1" x14ac:dyDescent="0.35">
      <c r="X711" s="1"/>
    </row>
    <row r="712" spans="24:24" ht="15.75" customHeight="1" x14ac:dyDescent="0.35">
      <c r="X712" s="1"/>
    </row>
    <row r="713" spans="24:24" ht="15.75" customHeight="1" x14ac:dyDescent="0.35">
      <c r="X713" s="1"/>
    </row>
    <row r="714" spans="24:24" ht="15.75" customHeight="1" x14ac:dyDescent="0.35">
      <c r="X714" s="1"/>
    </row>
    <row r="715" spans="24:24" ht="15.75" customHeight="1" x14ac:dyDescent="0.35">
      <c r="X715" s="1"/>
    </row>
    <row r="716" spans="24:24" ht="15.75" customHeight="1" x14ac:dyDescent="0.35">
      <c r="X716" s="1"/>
    </row>
    <row r="717" spans="24:24" ht="15.75" customHeight="1" x14ac:dyDescent="0.35">
      <c r="X717" s="1"/>
    </row>
    <row r="718" spans="24:24" ht="15.75" customHeight="1" x14ac:dyDescent="0.35">
      <c r="X718" s="1"/>
    </row>
    <row r="719" spans="24:24" ht="15.75" customHeight="1" x14ac:dyDescent="0.35">
      <c r="X719" s="1"/>
    </row>
    <row r="720" spans="24:24" ht="15.75" customHeight="1" x14ac:dyDescent="0.35">
      <c r="X720" s="1"/>
    </row>
    <row r="721" spans="24:24" ht="15.75" customHeight="1" x14ac:dyDescent="0.35">
      <c r="X721" s="1"/>
    </row>
    <row r="722" spans="24:24" ht="15.75" customHeight="1" x14ac:dyDescent="0.35">
      <c r="X722" s="1"/>
    </row>
    <row r="723" spans="24:24" ht="15.75" customHeight="1" x14ac:dyDescent="0.35">
      <c r="X723" s="1"/>
    </row>
    <row r="724" spans="24:24" ht="15.75" customHeight="1" x14ac:dyDescent="0.35">
      <c r="X724" s="1"/>
    </row>
    <row r="725" spans="24:24" ht="15.75" customHeight="1" x14ac:dyDescent="0.35">
      <c r="X725" s="1"/>
    </row>
    <row r="726" spans="24:24" ht="15.75" customHeight="1" x14ac:dyDescent="0.35">
      <c r="X726" s="1"/>
    </row>
    <row r="727" spans="24:24" ht="15.75" customHeight="1" x14ac:dyDescent="0.35">
      <c r="X727" s="1"/>
    </row>
    <row r="728" spans="24:24" ht="15.75" customHeight="1" x14ac:dyDescent="0.35">
      <c r="X728" s="1"/>
    </row>
    <row r="729" spans="24:24" ht="15.75" customHeight="1" x14ac:dyDescent="0.35">
      <c r="X729" s="1"/>
    </row>
    <row r="730" spans="24:24" ht="15.75" customHeight="1" x14ac:dyDescent="0.35">
      <c r="X730" s="1"/>
    </row>
    <row r="731" spans="24:24" ht="15.75" customHeight="1" x14ac:dyDescent="0.35">
      <c r="X731" s="1"/>
    </row>
    <row r="732" spans="24:24" ht="15.75" customHeight="1" x14ac:dyDescent="0.35">
      <c r="X732" s="1"/>
    </row>
    <row r="733" spans="24:24" ht="15.75" customHeight="1" x14ac:dyDescent="0.35">
      <c r="X733" s="1"/>
    </row>
    <row r="734" spans="24:24" ht="15.75" customHeight="1" x14ac:dyDescent="0.35">
      <c r="X734" s="1"/>
    </row>
    <row r="735" spans="24:24" ht="15.75" customHeight="1" x14ac:dyDescent="0.35">
      <c r="X735" s="1"/>
    </row>
    <row r="736" spans="24:24" ht="15.75" customHeight="1" x14ac:dyDescent="0.35">
      <c r="X736" s="1"/>
    </row>
    <row r="737" spans="24:24" ht="15.75" customHeight="1" x14ac:dyDescent="0.35">
      <c r="X737" s="1"/>
    </row>
    <row r="738" spans="24:24" ht="15.75" customHeight="1" x14ac:dyDescent="0.35">
      <c r="X738" s="1"/>
    </row>
    <row r="739" spans="24:24" ht="15.75" customHeight="1" x14ac:dyDescent="0.35">
      <c r="X739" s="1"/>
    </row>
    <row r="740" spans="24:24" ht="15.75" customHeight="1" x14ac:dyDescent="0.35">
      <c r="X740" s="1"/>
    </row>
    <row r="741" spans="24:24" ht="15.75" customHeight="1" x14ac:dyDescent="0.35">
      <c r="X741" s="1"/>
    </row>
    <row r="742" spans="24:24" ht="15.75" customHeight="1" x14ac:dyDescent="0.35">
      <c r="X742" s="1"/>
    </row>
    <row r="743" spans="24:24" ht="15.75" customHeight="1" x14ac:dyDescent="0.35">
      <c r="X743" s="1"/>
    </row>
    <row r="744" spans="24:24" ht="15.75" customHeight="1" x14ac:dyDescent="0.35">
      <c r="X744" s="1"/>
    </row>
    <row r="745" spans="24:24" ht="15.75" customHeight="1" x14ac:dyDescent="0.35">
      <c r="X745" s="1"/>
    </row>
    <row r="746" spans="24:24" ht="15.75" customHeight="1" x14ac:dyDescent="0.35">
      <c r="X746" s="1"/>
    </row>
    <row r="747" spans="24:24" ht="15.75" customHeight="1" x14ac:dyDescent="0.35">
      <c r="X747" s="1"/>
    </row>
    <row r="748" spans="24:24" ht="15.75" customHeight="1" x14ac:dyDescent="0.35">
      <c r="X748" s="1"/>
    </row>
    <row r="749" spans="24:24" ht="15.75" customHeight="1" x14ac:dyDescent="0.35">
      <c r="X749" s="1"/>
    </row>
    <row r="750" spans="24:24" ht="15.75" customHeight="1" x14ac:dyDescent="0.35">
      <c r="X750" s="1"/>
    </row>
    <row r="751" spans="24:24" ht="15.75" customHeight="1" x14ac:dyDescent="0.35">
      <c r="X751" s="1"/>
    </row>
    <row r="752" spans="24:24" ht="15.75" customHeight="1" x14ac:dyDescent="0.35">
      <c r="X752" s="1"/>
    </row>
    <row r="753" spans="24:24" ht="15.75" customHeight="1" x14ac:dyDescent="0.35">
      <c r="X753" s="1"/>
    </row>
    <row r="754" spans="24:24" ht="15.75" customHeight="1" x14ac:dyDescent="0.35">
      <c r="X754" s="1"/>
    </row>
    <row r="755" spans="24:24" ht="15.75" customHeight="1" x14ac:dyDescent="0.35">
      <c r="X755" s="1"/>
    </row>
    <row r="756" spans="24:24" ht="15.75" customHeight="1" x14ac:dyDescent="0.35">
      <c r="X756" s="1"/>
    </row>
    <row r="757" spans="24:24" ht="15.75" customHeight="1" x14ac:dyDescent="0.35">
      <c r="X757" s="1"/>
    </row>
    <row r="758" spans="24:24" ht="15.75" customHeight="1" x14ac:dyDescent="0.35">
      <c r="X758" s="1"/>
    </row>
    <row r="759" spans="24:24" ht="15.75" customHeight="1" x14ac:dyDescent="0.35">
      <c r="X759" s="1"/>
    </row>
    <row r="760" spans="24:24" ht="15.75" customHeight="1" x14ac:dyDescent="0.35">
      <c r="X760" s="1"/>
    </row>
    <row r="761" spans="24:24" ht="15.75" customHeight="1" x14ac:dyDescent="0.35">
      <c r="X761" s="1"/>
    </row>
    <row r="762" spans="24:24" ht="15.75" customHeight="1" x14ac:dyDescent="0.35">
      <c r="X762" s="1"/>
    </row>
    <row r="763" spans="24:24" ht="15.75" customHeight="1" x14ac:dyDescent="0.35">
      <c r="X763" s="1"/>
    </row>
    <row r="764" spans="24:24" ht="15.75" customHeight="1" x14ac:dyDescent="0.35">
      <c r="X764" s="1"/>
    </row>
    <row r="765" spans="24:24" ht="15.75" customHeight="1" x14ac:dyDescent="0.35">
      <c r="X765" s="1"/>
    </row>
    <row r="766" spans="24:24" ht="15.75" customHeight="1" x14ac:dyDescent="0.35">
      <c r="X766" s="1"/>
    </row>
    <row r="767" spans="24:24" ht="15.75" customHeight="1" x14ac:dyDescent="0.35">
      <c r="X767" s="1"/>
    </row>
    <row r="768" spans="24:24" ht="15.75" customHeight="1" x14ac:dyDescent="0.35">
      <c r="X768" s="1"/>
    </row>
    <row r="769" spans="24:24" ht="15.75" customHeight="1" x14ac:dyDescent="0.35">
      <c r="X769" s="1"/>
    </row>
    <row r="770" spans="24:24" ht="15.75" customHeight="1" x14ac:dyDescent="0.35">
      <c r="X770" s="1"/>
    </row>
    <row r="771" spans="24:24" ht="15.75" customHeight="1" x14ac:dyDescent="0.35">
      <c r="X771" s="1"/>
    </row>
    <row r="772" spans="24:24" ht="15.75" customHeight="1" x14ac:dyDescent="0.35">
      <c r="X772" s="1"/>
    </row>
    <row r="773" spans="24:24" ht="15.75" customHeight="1" x14ac:dyDescent="0.35">
      <c r="X773" s="1"/>
    </row>
    <row r="774" spans="24:24" ht="15.75" customHeight="1" x14ac:dyDescent="0.35">
      <c r="X774" s="1"/>
    </row>
    <row r="775" spans="24:24" ht="15.75" customHeight="1" x14ac:dyDescent="0.35">
      <c r="X775" s="1"/>
    </row>
    <row r="776" spans="24:24" ht="15.75" customHeight="1" x14ac:dyDescent="0.35">
      <c r="X776" s="1"/>
    </row>
    <row r="777" spans="24:24" ht="15.75" customHeight="1" x14ac:dyDescent="0.35">
      <c r="X777" s="1"/>
    </row>
    <row r="778" spans="24:24" ht="15.75" customHeight="1" x14ac:dyDescent="0.35">
      <c r="X778" s="1"/>
    </row>
    <row r="779" spans="24:24" ht="15.75" customHeight="1" x14ac:dyDescent="0.35">
      <c r="X779" s="1"/>
    </row>
    <row r="780" spans="24:24" ht="15.75" customHeight="1" x14ac:dyDescent="0.35">
      <c r="X780" s="1"/>
    </row>
    <row r="781" spans="24:24" ht="15.75" customHeight="1" x14ac:dyDescent="0.35">
      <c r="X781" s="1"/>
    </row>
    <row r="782" spans="24:24" ht="15.75" customHeight="1" x14ac:dyDescent="0.35">
      <c r="X782" s="1"/>
    </row>
    <row r="783" spans="24:24" ht="15.75" customHeight="1" x14ac:dyDescent="0.35">
      <c r="X783" s="1"/>
    </row>
    <row r="784" spans="24:24" ht="15.75" customHeight="1" x14ac:dyDescent="0.35">
      <c r="X784" s="1"/>
    </row>
    <row r="785" spans="24:24" ht="15.75" customHeight="1" x14ac:dyDescent="0.35">
      <c r="X785" s="1"/>
    </row>
    <row r="786" spans="24:24" ht="15.75" customHeight="1" x14ac:dyDescent="0.35">
      <c r="X786" s="1"/>
    </row>
    <row r="787" spans="24:24" ht="15.75" customHeight="1" x14ac:dyDescent="0.35">
      <c r="X787" s="1"/>
    </row>
    <row r="788" spans="24:24" ht="15.75" customHeight="1" x14ac:dyDescent="0.35">
      <c r="X788" s="1"/>
    </row>
    <row r="789" spans="24:24" ht="15.75" customHeight="1" x14ac:dyDescent="0.35">
      <c r="X789" s="1"/>
    </row>
    <row r="790" spans="24:24" ht="15.75" customHeight="1" x14ac:dyDescent="0.35">
      <c r="X790" s="1"/>
    </row>
    <row r="791" spans="24:24" ht="15.75" customHeight="1" x14ac:dyDescent="0.35">
      <c r="X791" s="1"/>
    </row>
    <row r="792" spans="24:24" ht="15.75" customHeight="1" x14ac:dyDescent="0.35">
      <c r="X792" s="1"/>
    </row>
    <row r="793" spans="24:24" ht="15.75" customHeight="1" x14ac:dyDescent="0.35">
      <c r="X793" s="1"/>
    </row>
    <row r="794" spans="24:24" ht="15.75" customHeight="1" x14ac:dyDescent="0.35">
      <c r="X794" s="1"/>
    </row>
    <row r="795" spans="24:24" ht="15.75" customHeight="1" x14ac:dyDescent="0.35">
      <c r="X795" s="1"/>
    </row>
    <row r="796" spans="24:24" ht="15.75" customHeight="1" x14ac:dyDescent="0.35">
      <c r="X796" s="1"/>
    </row>
    <row r="797" spans="24:24" ht="15.75" customHeight="1" x14ac:dyDescent="0.35">
      <c r="X797" s="1"/>
    </row>
    <row r="798" spans="24:24" ht="15.75" customHeight="1" x14ac:dyDescent="0.35">
      <c r="X798" s="1"/>
    </row>
    <row r="799" spans="24:24" ht="15.75" customHeight="1" x14ac:dyDescent="0.35">
      <c r="X799" s="1"/>
    </row>
    <row r="800" spans="24:24" ht="15.75" customHeight="1" x14ac:dyDescent="0.35">
      <c r="X800" s="1"/>
    </row>
    <row r="801" spans="24:24" ht="15.75" customHeight="1" x14ac:dyDescent="0.35">
      <c r="X801" s="1"/>
    </row>
    <row r="802" spans="24:24" ht="15.75" customHeight="1" x14ac:dyDescent="0.35">
      <c r="X802" s="1"/>
    </row>
    <row r="803" spans="24:24" ht="15.75" customHeight="1" x14ac:dyDescent="0.35">
      <c r="X803" s="1"/>
    </row>
    <row r="804" spans="24:24" ht="15.75" customHeight="1" x14ac:dyDescent="0.35">
      <c r="X804" s="1"/>
    </row>
    <row r="805" spans="24:24" ht="15.75" customHeight="1" x14ac:dyDescent="0.35">
      <c r="X805" s="1"/>
    </row>
    <row r="806" spans="24:24" ht="15.75" customHeight="1" x14ac:dyDescent="0.35">
      <c r="X806" s="1"/>
    </row>
    <row r="807" spans="24:24" ht="15.75" customHeight="1" x14ac:dyDescent="0.35">
      <c r="X807" s="1"/>
    </row>
    <row r="808" spans="24:24" ht="15.75" customHeight="1" x14ac:dyDescent="0.35">
      <c r="X808" s="1"/>
    </row>
    <row r="809" spans="24:24" ht="15.75" customHeight="1" x14ac:dyDescent="0.35">
      <c r="X809" s="1"/>
    </row>
    <row r="810" spans="24:24" ht="15.75" customHeight="1" x14ac:dyDescent="0.35">
      <c r="X810" s="1"/>
    </row>
    <row r="811" spans="24:24" ht="15.75" customHeight="1" x14ac:dyDescent="0.35">
      <c r="X811" s="1"/>
    </row>
    <row r="812" spans="24:24" ht="15.75" customHeight="1" x14ac:dyDescent="0.35">
      <c r="X812" s="1"/>
    </row>
    <row r="813" spans="24:24" ht="15.75" customHeight="1" x14ac:dyDescent="0.35">
      <c r="X813" s="1"/>
    </row>
    <row r="814" spans="24:24" ht="15.75" customHeight="1" x14ac:dyDescent="0.35">
      <c r="X814" s="1"/>
    </row>
    <row r="815" spans="24:24" ht="15.75" customHeight="1" x14ac:dyDescent="0.35">
      <c r="X815" s="1"/>
    </row>
    <row r="816" spans="24:24" ht="15.75" customHeight="1" x14ac:dyDescent="0.35">
      <c r="X816" s="1"/>
    </row>
    <row r="817" spans="24:24" ht="15.75" customHeight="1" x14ac:dyDescent="0.35">
      <c r="X817" s="1"/>
    </row>
    <row r="818" spans="24:24" ht="15.75" customHeight="1" x14ac:dyDescent="0.35">
      <c r="X818" s="1"/>
    </row>
    <row r="819" spans="24:24" ht="15.75" customHeight="1" x14ac:dyDescent="0.35">
      <c r="X819" s="1"/>
    </row>
    <row r="820" spans="24:24" ht="15.75" customHeight="1" x14ac:dyDescent="0.35">
      <c r="X820" s="1"/>
    </row>
    <row r="821" spans="24:24" ht="15.75" customHeight="1" x14ac:dyDescent="0.35">
      <c r="X821" s="1"/>
    </row>
    <row r="822" spans="24:24" ht="15.75" customHeight="1" x14ac:dyDescent="0.35">
      <c r="X822" s="1"/>
    </row>
    <row r="823" spans="24:24" ht="15.75" customHeight="1" x14ac:dyDescent="0.35">
      <c r="X823" s="1"/>
    </row>
    <row r="824" spans="24:24" ht="15.75" customHeight="1" x14ac:dyDescent="0.35">
      <c r="X824" s="1"/>
    </row>
    <row r="825" spans="24:24" ht="15.75" customHeight="1" x14ac:dyDescent="0.35">
      <c r="X825" s="1"/>
    </row>
    <row r="826" spans="24:24" ht="15.75" customHeight="1" x14ac:dyDescent="0.35">
      <c r="X826" s="1"/>
    </row>
    <row r="827" spans="24:24" ht="15.75" customHeight="1" x14ac:dyDescent="0.35">
      <c r="X827" s="1"/>
    </row>
    <row r="828" spans="24:24" ht="15.75" customHeight="1" x14ac:dyDescent="0.35">
      <c r="X828" s="1"/>
    </row>
    <row r="829" spans="24:24" ht="15.75" customHeight="1" x14ac:dyDescent="0.35">
      <c r="X829" s="1"/>
    </row>
    <row r="830" spans="24:24" ht="15.75" customHeight="1" x14ac:dyDescent="0.35">
      <c r="X830" s="1"/>
    </row>
    <row r="831" spans="24:24" ht="15.75" customHeight="1" x14ac:dyDescent="0.35">
      <c r="X831" s="1"/>
    </row>
    <row r="832" spans="24:24" ht="15.75" customHeight="1" x14ac:dyDescent="0.35">
      <c r="X832" s="1"/>
    </row>
    <row r="833" spans="24:24" ht="15.75" customHeight="1" x14ac:dyDescent="0.35">
      <c r="X833" s="1"/>
    </row>
    <row r="834" spans="24:24" ht="15.75" customHeight="1" x14ac:dyDescent="0.35">
      <c r="X834" s="1"/>
    </row>
    <row r="835" spans="24:24" ht="15.75" customHeight="1" x14ac:dyDescent="0.35">
      <c r="X835" s="1"/>
    </row>
    <row r="836" spans="24:24" ht="15.75" customHeight="1" x14ac:dyDescent="0.35">
      <c r="X836" s="1"/>
    </row>
    <row r="837" spans="24:24" ht="15.75" customHeight="1" x14ac:dyDescent="0.35">
      <c r="X837" s="1"/>
    </row>
    <row r="838" spans="24:24" ht="15.75" customHeight="1" x14ac:dyDescent="0.35">
      <c r="X838" s="1"/>
    </row>
    <row r="839" spans="24:24" ht="15.75" customHeight="1" x14ac:dyDescent="0.35">
      <c r="X839" s="1"/>
    </row>
    <row r="840" spans="24:24" ht="15.75" customHeight="1" x14ac:dyDescent="0.35">
      <c r="X840" s="1"/>
    </row>
    <row r="841" spans="24:24" ht="15.75" customHeight="1" x14ac:dyDescent="0.35">
      <c r="X841" s="1"/>
    </row>
    <row r="842" spans="24:24" ht="15.75" customHeight="1" x14ac:dyDescent="0.35">
      <c r="X842" s="1"/>
    </row>
    <row r="843" spans="24:24" ht="15.75" customHeight="1" x14ac:dyDescent="0.35">
      <c r="X843" s="1"/>
    </row>
    <row r="844" spans="24:24" ht="15.75" customHeight="1" x14ac:dyDescent="0.35">
      <c r="X844" s="1"/>
    </row>
    <row r="845" spans="24:24" ht="15.75" customHeight="1" x14ac:dyDescent="0.35">
      <c r="X845" s="1"/>
    </row>
    <row r="846" spans="24:24" ht="15.75" customHeight="1" x14ac:dyDescent="0.35">
      <c r="X846" s="1"/>
    </row>
    <row r="847" spans="24:24" ht="15.75" customHeight="1" x14ac:dyDescent="0.35">
      <c r="X847" s="1"/>
    </row>
    <row r="848" spans="24:24" ht="15.75" customHeight="1" x14ac:dyDescent="0.35">
      <c r="X848" s="1"/>
    </row>
    <row r="849" spans="24:24" ht="15.75" customHeight="1" x14ac:dyDescent="0.35">
      <c r="X849" s="1"/>
    </row>
    <row r="850" spans="24:24" ht="15.75" customHeight="1" x14ac:dyDescent="0.35">
      <c r="X850" s="1"/>
    </row>
    <row r="851" spans="24:24" ht="15.75" customHeight="1" x14ac:dyDescent="0.35">
      <c r="X851" s="1"/>
    </row>
    <row r="852" spans="24:24" ht="15.75" customHeight="1" x14ac:dyDescent="0.35">
      <c r="X852" s="1"/>
    </row>
    <row r="853" spans="24:24" ht="15.75" customHeight="1" x14ac:dyDescent="0.35">
      <c r="X853" s="1"/>
    </row>
    <row r="854" spans="24:24" ht="15.75" customHeight="1" x14ac:dyDescent="0.35">
      <c r="X854" s="1"/>
    </row>
    <row r="855" spans="24:24" ht="15.75" customHeight="1" x14ac:dyDescent="0.35">
      <c r="X855" s="1"/>
    </row>
    <row r="856" spans="24:24" ht="15.75" customHeight="1" x14ac:dyDescent="0.35">
      <c r="X856" s="1"/>
    </row>
    <row r="857" spans="24:24" ht="15.75" customHeight="1" x14ac:dyDescent="0.35">
      <c r="X857" s="1"/>
    </row>
    <row r="858" spans="24:24" ht="15.75" customHeight="1" x14ac:dyDescent="0.35">
      <c r="X858" s="1"/>
    </row>
    <row r="859" spans="24:24" ht="15.75" customHeight="1" x14ac:dyDescent="0.35">
      <c r="X859" s="1"/>
    </row>
    <row r="860" spans="24:24" ht="15.75" customHeight="1" x14ac:dyDescent="0.35">
      <c r="X860" s="1"/>
    </row>
    <row r="861" spans="24:24" ht="15.75" customHeight="1" x14ac:dyDescent="0.35">
      <c r="X861" s="1"/>
    </row>
    <row r="862" spans="24:24" ht="15.75" customHeight="1" x14ac:dyDescent="0.35">
      <c r="X862" s="1"/>
    </row>
    <row r="863" spans="24:24" ht="15.75" customHeight="1" x14ac:dyDescent="0.35">
      <c r="X863" s="1"/>
    </row>
    <row r="864" spans="24:24" ht="15.75" customHeight="1" x14ac:dyDescent="0.35">
      <c r="X864" s="1"/>
    </row>
    <row r="865" spans="24:24" ht="15.75" customHeight="1" x14ac:dyDescent="0.35">
      <c r="X865" s="1"/>
    </row>
    <row r="866" spans="24:24" ht="15.75" customHeight="1" x14ac:dyDescent="0.35">
      <c r="X866" s="1"/>
    </row>
    <row r="867" spans="24:24" ht="15.75" customHeight="1" x14ac:dyDescent="0.35">
      <c r="X867" s="1"/>
    </row>
    <row r="868" spans="24:24" ht="15.75" customHeight="1" x14ac:dyDescent="0.35">
      <c r="X868" s="1"/>
    </row>
    <row r="869" spans="24:24" ht="15.75" customHeight="1" x14ac:dyDescent="0.35">
      <c r="X869" s="1"/>
    </row>
    <row r="870" spans="24:24" ht="15.75" customHeight="1" x14ac:dyDescent="0.35">
      <c r="X870" s="1"/>
    </row>
    <row r="871" spans="24:24" ht="15.75" customHeight="1" x14ac:dyDescent="0.35">
      <c r="X871" s="1"/>
    </row>
    <row r="872" spans="24:24" ht="15.75" customHeight="1" x14ac:dyDescent="0.35">
      <c r="X872" s="1"/>
    </row>
    <row r="873" spans="24:24" ht="15.75" customHeight="1" x14ac:dyDescent="0.35">
      <c r="X873" s="1"/>
    </row>
    <row r="874" spans="24:24" ht="15.75" customHeight="1" x14ac:dyDescent="0.35">
      <c r="X874" s="1"/>
    </row>
    <row r="875" spans="24:24" ht="15.75" customHeight="1" x14ac:dyDescent="0.35">
      <c r="X875" s="1"/>
    </row>
    <row r="876" spans="24:24" ht="15.75" customHeight="1" x14ac:dyDescent="0.35">
      <c r="X876" s="1"/>
    </row>
    <row r="877" spans="24:24" ht="15.75" customHeight="1" x14ac:dyDescent="0.35">
      <c r="X877" s="1"/>
    </row>
    <row r="878" spans="24:24" ht="15.75" customHeight="1" x14ac:dyDescent="0.35">
      <c r="X878" s="1"/>
    </row>
    <row r="879" spans="24:24" ht="15.75" customHeight="1" x14ac:dyDescent="0.35">
      <c r="X879" s="1"/>
    </row>
    <row r="880" spans="24:24" ht="15.75" customHeight="1" x14ac:dyDescent="0.35">
      <c r="X880" s="1"/>
    </row>
    <row r="881" spans="24:24" ht="15.75" customHeight="1" x14ac:dyDescent="0.35">
      <c r="X881" s="1"/>
    </row>
    <row r="882" spans="24:24" ht="15.75" customHeight="1" x14ac:dyDescent="0.35">
      <c r="X882" s="1"/>
    </row>
    <row r="883" spans="24:24" ht="15.75" customHeight="1" x14ac:dyDescent="0.35">
      <c r="X883" s="1"/>
    </row>
    <row r="884" spans="24:24" ht="15.75" customHeight="1" x14ac:dyDescent="0.35">
      <c r="X884" s="1"/>
    </row>
    <row r="885" spans="24:24" ht="15.75" customHeight="1" x14ac:dyDescent="0.35">
      <c r="X885" s="1"/>
    </row>
    <row r="886" spans="24:24" ht="15.75" customHeight="1" x14ac:dyDescent="0.35">
      <c r="X886" s="1"/>
    </row>
    <row r="887" spans="24:24" ht="15.75" customHeight="1" x14ac:dyDescent="0.35">
      <c r="X887" s="1"/>
    </row>
    <row r="888" spans="24:24" ht="15.75" customHeight="1" x14ac:dyDescent="0.35">
      <c r="X888" s="1"/>
    </row>
    <row r="889" spans="24:24" ht="15.75" customHeight="1" x14ac:dyDescent="0.35">
      <c r="X889" s="1"/>
    </row>
    <row r="890" spans="24:24" ht="15.75" customHeight="1" x14ac:dyDescent="0.35">
      <c r="X890" s="1"/>
    </row>
    <row r="891" spans="24:24" ht="15.75" customHeight="1" x14ac:dyDescent="0.35">
      <c r="X891" s="1"/>
    </row>
    <row r="892" spans="24:24" ht="15.75" customHeight="1" x14ac:dyDescent="0.35">
      <c r="X892" s="1"/>
    </row>
    <row r="893" spans="24:24" ht="15.75" customHeight="1" x14ac:dyDescent="0.35">
      <c r="X893" s="1"/>
    </row>
    <row r="894" spans="24:24" ht="15.75" customHeight="1" x14ac:dyDescent="0.35">
      <c r="X894" s="1"/>
    </row>
    <row r="895" spans="24:24" ht="15.75" customHeight="1" x14ac:dyDescent="0.35">
      <c r="X895" s="1"/>
    </row>
    <row r="896" spans="24:24" ht="15.75" customHeight="1" x14ac:dyDescent="0.35">
      <c r="X896" s="1"/>
    </row>
    <row r="897" spans="24:24" ht="15.75" customHeight="1" x14ac:dyDescent="0.35">
      <c r="X897" s="1"/>
    </row>
    <row r="898" spans="24:24" ht="15.75" customHeight="1" x14ac:dyDescent="0.35">
      <c r="X898" s="1"/>
    </row>
    <row r="899" spans="24:24" ht="15.75" customHeight="1" x14ac:dyDescent="0.35">
      <c r="X899" s="1"/>
    </row>
    <row r="900" spans="24:24" ht="15.75" customHeight="1" x14ac:dyDescent="0.35">
      <c r="X900" s="1"/>
    </row>
    <row r="901" spans="24:24" ht="15.75" customHeight="1" x14ac:dyDescent="0.35">
      <c r="X901" s="1"/>
    </row>
    <row r="902" spans="24:24" ht="15.75" customHeight="1" x14ac:dyDescent="0.35">
      <c r="X902" s="1"/>
    </row>
    <row r="903" spans="24:24" ht="15.75" customHeight="1" x14ac:dyDescent="0.35">
      <c r="X903" s="1"/>
    </row>
    <row r="904" spans="24:24" ht="15.75" customHeight="1" x14ac:dyDescent="0.35">
      <c r="X904" s="1"/>
    </row>
    <row r="905" spans="24:24" ht="15.75" customHeight="1" x14ac:dyDescent="0.35">
      <c r="X905" s="1"/>
    </row>
    <row r="906" spans="24:24" ht="15.75" customHeight="1" x14ac:dyDescent="0.35">
      <c r="X906" s="1"/>
    </row>
    <row r="907" spans="24:24" ht="15.75" customHeight="1" x14ac:dyDescent="0.35">
      <c r="X907" s="1"/>
    </row>
    <row r="908" spans="24:24" ht="15.75" customHeight="1" x14ac:dyDescent="0.35">
      <c r="X908" s="1"/>
    </row>
    <row r="909" spans="24:24" ht="15.75" customHeight="1" x14ac:dyDescent="0.35">
      <c r="X909" s="1"/>
    </row>
    <row r="910" spans="24:24" ht="15.75" customHeight="1" x14ac:dyDescent="0.35">
      <c r="X910" s="1"/>
    </row>
    <row r="911" spans="24:24" ht="15.75" customHeight="1" x14ac:dyDescent="0.35">
      <c r="X911" s="1"/>
    </row>
    <row r="912" spans="24:24" ht="15.75" customHeight="1" x14ac:dyDescent="0.35">
      <c r="X912" s="1"/>
    </row>
    <row r="913" spans="24:24" ht="15.75" customHeight="1" x14ac:dyDescent="0.35">
      <c r="X913" s="1"/>
    </row>
    <row r="914" spans="24:24" ht="15.75" customHeight="1" x14ac:dyDescent="0.35">
      <c r="X914" s="1"/>
    </row>
    <row r="915" spans="24:24" ht="15.75" customHeight="1" x14ac:dyDescent="0.35">
      <c r="X915" s="1"/>
    </row>
    <row r="916" spans="24:24" ht="15.75" customHeight="1" x14ac:dyDescent="0.35">
      <c r="X916" s="1"/>
    </row>
    <row r="917" spans="24:24" ht="15.75" customHeight="1" x14ac:dyDescent="0.35">
      <c r="X917" s="1"/>
    </row>
    <row r="918" spans="24:24" ht="15.75" customHeight="1" x14ac:dyDescent="0.35">
      <c r="X918" s="1"/>
    </row>
    <row r="919" spans="24:24" ht="15.75" customHeight="1" x14ac:dyDescent="0.35">
      <c r="X919" s="1"/>
    </row>
    <row r="920" spans="24:24" ht="15.75" customHeight="1" x14ac:dyDescent="0.35">
      <c r="X920" s="1"/>
    </row>
    <row r="921" spans="24:24" ht="15.75" customHeight="1" x14ac:dyDescent="0.35">
      <c r="X921" s="1"/>
    </row>
    <row r="922" spans="24:24" ht="15.75" customHeight="1" x14ac:dyDescent="0.35">
      <c r="X922" s="1"/>
    </row>
    <row r="923" spans="24:24" ht="15.75" customHeight="1" x14ac:dyDescent="0.35">
      <c r="X923" s="1"/>
    </row>
    <row r="924" spans="24:24" ht="15.75" customHeight="1" x14ac:dyDescent="0.35">
      <c r="X924" s="1"/>
    </row>
    <row r="925" spans="24:24" ht="15.75" customHeight="1" x14ac:dyDescent="0.35">
      <c r="X925" s="1"/>
    </row>
    <row r="926" spans="24:24" ht="15.75" customHeight="1" x14ac:dyDescent="0.35">
      <c r="X926" s="1"/>
    </row>
    <row r="927" spans="24:24" ht="15.75" customHeight="1" x14ac:dyDescent="0.35">
      <c r="X927" s="1"/>
    </row>
    <row r="928" spans="24:24" ht="15.75" customHeight="1" x14ac:dyDescent="0.35">
      <c r="X928" s="1"/>
    </row>
    <row r="929" spans="24:24" ht="15.75" customHeight="1" x14ac:dyDescent="0.35">
      <c r="X929" s="1"/>
    </row>
    <row r="930" spans="24:24" ht="15.75" customHeight="1" x14ac:dyDescent="0.35">
      <c r="X930" s="1"/>
    </row>
    <row r="931" spans="24:24" ht="15.75" customHeight="1" x14ac:dyDescent="0.35">
      <c r="X931" s="1"/>
    </row>
    <row r="932" spans="24:24" ht="15.75" customHeight="1" x14ac:dyDescent="0.35">
      <c r="X932" s="1"/>
    </row>
    <row r="933" spans="24:24" ht="15.75" customHeight="1" x14ac:dyDescent="0.35">
      <c r="X933" s="1"/>
    </row>
    <row r="934" spans="24:24" ht="15.75" customHeight="1" x14ac:dyDescent="0.35">
      <c r="X934" s="1"/>
    </row>
    <row r="935" spans="24:24" ht="15.75" customHeight="1" x14ac:dyDescent="0.35">
      <c r="X935" s="1"/>
    </row>
    <row r="936" spans="24:24" ht="15.75" customHeight="1" x14ac:dyDescent="0.35">
      <c r="X936" s="1"/>
    </row>
    <row r="937" spans="24:24" ht="15.75" customHeight="1" x14ac:dyDescent="0.35">
      <c r="X937" s="1"/>
    </row>
    <row r="938" spans="24:24" ht="15.75" customHeight="1" x14ac:dyDescent="0.35">
      <c r="X938" s="1"/>
    </row>
    <row r="939" spans="24:24" ht="15.75" customHeight="1" x14ac:dyDescent="0.35">
      <c r="X939" s="1"/>
    </row>
    <row r="940" spans="24:24" ht="15.75" customHeight="1" x14ac:dyDescent="0.35">
      <c r="X940" s="1"/>
    </row>
    <row r="941" spans="24:24" ht="15.75" customHeight="1" x14ac:dyDescent="0.35">
      <c r="X941" s="1"/>
    </row>
    <row r="942" spans="24:24" ht="15.75" customHeight="1" x14ac:dyDescent="0.35">
      <c r="X942" s="1"/>
    </row>
    <row r="943" spans="24:24" ht="15.75" customHeight="1" x14ac:dyDescent="0.35">
      <c r="X943" s="1"/>
    </row>
    <row r="944" spans="24:24" ht="15.75" customHeight="1" x14ac:dyDescent="0.35">
      <c r="X944" s="1"/>
    </row>
    <row r="945" spans="24:24" ht="15.75" customHeight="1" x14ac:dyDescent="0.35">
      <c r="X945" s="1"/>
    </row>
    <row r="946" spans="24:24" ht="15.75" customHeight="1" x14ac:dyDescent="0.35">
      <c r="X946" s="1"/>
    </row>
    <row r="947" spans="24:24" ht="15.75" customHeight="1" x14ac:dyDescent="0.35">
      <c r="X947" s="1"/>
    </row>
    <row r="948" spans="24:24" ht="15.75" customHeight="1" x14ac:dyDescent="0.35">
      <c r="X948" s="1"/>
    </row>
    <row r="949" spans="24:24" ht="15.75" customHeight="1" x14ac:dyDescent="0.35">
      <c r="X949" s="1"/>
    </row>
    <row r="950" spans="24:24" ht="15.75" customHeight="1" x14ac:dyDescent="0.35">
      <c r="X950" s="1"/>
    </row>
    <row r="951" spans="24:24" ht="15.75" customHeight="1" x14ac:dyDescent="0.35">
      <c r="X951" s="1"/>
    </row>
    <row r="952" spans="24:24" ht="15.75" customHeight="1" x14ac:dyDescent="0.35">
      <c r="X952" s="1"/>
    </row>
    <row r="953" spans="24:24" ht="15.75" customHeight="1" x14ac:dyDescent="0.35">
      <c r="X953" s="1"/>
    </row>
    <row r="954" spans="24:24" ht="15.75" customHeight="1" x14ac:dyDescent="0.35">
      <c r="X954" s="1"/>
    </row>
    <row r="955" spans="24:24" ht="15.75" customHeight="1" x14ac:dyDescent="0.35">
      <c r="X955" s="1"/>
    </row>
    <row r="956" spans="24:24" ht="15.75" customHeight="1" x14ac:dyDescent="0.35">
      <c r="X956" s="1"/>
    </row>
    <row r="957" spans="24:24" ht="15.75" customHeight="1" x14ac:dyDescent="0.35">
      <c r="X957" s="1"/>
    </row>
    <row r="958" spans="24:24" ht="15.75" customHeight="1" x14ac:dyDescent="0.35">
      <c r="X958" s="1"/>
    </row>
    <row r="959" spans="24:24" ht="15.75" customHeight="1" x14ac:dyDescent="0.35">
      <c r="X959" s="1"/>
    </row>
    <row r="960" spans="24:24" ht="15.75" customHeight="1" x14ac:dyDescent="0.35">
      <c r="X960" s="1"/>
    </row>
    <row r="961" spans="24:24" ht="15.75" customHeight="1" x14ac:dyDescent="0.35">
      <c r="X961" s="1"/>
    </row>
    <row r="962" spans="24:24" ht="15.75" customHeight="1" x14ac:dyDescent="0.35">
      <c r="X962" s="1"/>
    </row>
    <row r="963" spans="24:24" ht="15.75" customHeight="1" x14ac:dyDescent="0.35">
      <c r="X963" s="1"/>
    </row>
    <row r="964" spans="24:24" ht="15.75" customHeight="1" x14ac:dyDescent="0.35">
      <c r="X964" s="1"/>
    </row>
    <row r="965" spans="24:24" ht="15.75" customHeight="1" x14ac:dyDescent="0.35">
      <c r="X965" s="1"/>
    </row>
    <row r="966" spans="24:24" ht="15.75" customHeight="1" x14ac:dyDescent="0.35">
      <c r="X966" s="1"/>
    </row>
    <row r="967" spans="24:24" ht="15.75" customHeight="1" x14ac:dyDescent="0.35">
      <c r="X967" s="1"/>
    </row>
    <row r="968" spans="24:24" ht="15.75" customHeight="1" x14ac:dyDescent="0.35">
      <c r="X968" s="1"/>
    </row>
    <row r="969" spans="24:24" ht="15.75" customHeight="1" x14ac:dyDescent="0.35">
      <c r="X969" s="1"/>
    </row>
    <row r="970" spans="24:24" ht="15.75" customHeight="1" x14ac:dyDescent="0.35">
      <c r="X970" s="1"/>
    </row>
    <row r="971" spans="24:24" ht="15.75" customHeight="1" x14ac:dyDescent="0.35">
      <c r="X971" s="1"/>
    </row>
    <row r="972" spans="24:24" ht="15.75" customHeight="1" x14ac:dyDescent="0.35">
      <c r="X972" s="1"/>
    </row>
    <row r="973" spans="24:24" ht="15.75" customHeight="1" x14ac:dyDescent="0.35">
      <c r="X973" s="1"/>
    </row>
    <row r="974" spans="24:24" ht="15.75" customHeight="1" x14ac:dyDescent="0.35">
      <c r="X974" s="1"/>
    </row>
    <row r="975" spans="24:24" ht="15.75" customHeight="1" x14ac:dyDescent="0.35">
      <c r="X975" s="1"/>
    </row>
    <row r="976" spans="24:24" ht="15.75" customHeight="1" x14ac:dyDescent="0.35">
      <c r="X976" s="1"/>
    </row>
    <row r="977" spans="24:24" ht="15.75" customHeight="1" x14ac:dyDescent="0.35">
      <c r="X977" s="1"/>
    </row>
    <row r="978" spans="24:24" ht="15.75" customHeight="1" x14ac:dyDescent="0.35">
      <c r="X978" s="1"/>
    </row>
    <row r="979" spans="24:24" ht="15.75" customHeight="1" x14ac:dyDescent="0.35">
      <c r="X979" s="1"/>
    </row>
    <row r="980" spans="24:24" ht="15.75" customHeight="1" x14ac:dyDescent="0.35">
      <c r="X980" s="1"/>
    </row>
    <row r="981" spans="24:24" ht="15.75" customHeight="1" x14ac:dyDescent="0.35">
      <c r="X981" s="1"/>
    </row>
    <row r="982" spans="24:24" ht="15.75" customHeight="1" x14ac:dyDescent="0.35">
      <c r="X982" s="1"/>
    </row>
    <row r="983" spans="24:24" ht="15.75" customHeight="1" x14ac:dyDescent="0.35">
      <c r="X983" s="1"/>
    </row>
    <row r="984" spans="24:24" ht="15.75" customHeight="1" x14ac:dyDescent="0.35">
      <c r="X984" s="1"/>
    </row>
    <row r="985" spans="24:24" ht="15.75" customHeight="1" x14ac:dyDescent="0.35">
      <c r="X985" s="1"/>
    </row>
    <row r="986" spans="24:24" ht="15.75" customHeight="1" x14ac:dyDescent="0.35">
      <c r="X986" s="1"/>
    </row>
    <row r="987" spans="24:24" ht="15.75" customHeight="1" x14ac:dyDescent="0.35">
      <c r="X987" s="1"/>
    </row>
    <row r="988" spans="24:24" ht="15.75" customHeight="1" x14ac:dyDescent="0.35">
      <c r="X988" s="1"/>
    </row>
    <row r="989" spans="24:24" ht="15.75" customHeight="1" x14ac:dyDescent="0.35">
      <c r="X989" s="1"/>
    </row>
    <row r="990" spans="24:24" ht="15.75" customHeight="1" x14ac:dyDescent="0.35">
      <c r="X990" s="1"/>
    </row>
    <row r="991" spans="24:24" ht="15.75" customHeight="1" x14ac:dyDescent="0.35">
      <c r="X991" s="1"/>
    </row>
    <row r="992" spans="24:24" ht="15.75" customHeight="1" x14ac:dyDescent="0.35">
      <c r="X992" s="1"/>
    </row>
    <row r="993" spans="24:24" ht="15.75" customHeight="1" x14ac:dyDescent="0.35">
      <c r="X993" s="1"/>
    </row>
    <row r="994" spans="24:24" ht="15.75" customHeight="1" x14ac:dyDescent="0.35">
      <c r="X994" s="1"/>
    </row>
    <row r="995" spans="24:24" ht="15.75" customHeight="1" x14ac:dyDescent="0.35">
      <c r="X995" s="1"/>
    </row>
    <row r="996" spans="24:24" ht="15.75" customHeight="1" x14ac:dyDescent="0.35">
      <c r="X996" s="1"/>
    </row>
    <row r="997" spans="24:24" ht="15.75" customHeight="1" x14ac:dyDescent="0.35">
      <c r="X997" s="1"/>
    </row>
    <row r="998" spans="24:24" ht="15.75" customHeight="1" x14ac:dyDescent="0.35">
      <c r="X998" s="1"/>
    </row>
    <row r="999" spans="24:24" ht="15.75" customHeight="1" x14ac:dyDescent="0.35">
      <c r="X999" s="1"/>
    </row>
    <row r="1000" spans="24:24" ht="15.75" customHeight="1" x14ac:dyDescent="0.35">
      <c r="X1000" s="1"/>
    </row>
  </sheetData>
  <mergeCells count="11">
    <mergeCell ref="N9:N10"/>
    <mergeCell ref="O9:O10"/>
    <mergeCell ref="P9:P10"/>
    <mergeCell ref="Q9:Q10"/>
    <mergeCell ref="A9:A10"/>
    <mergeCell ref="B9:B10"/>
    <mergeCell ref="C9:C10"/>
    <mergeCell ref="D9:D10"/>
    <mergeCell ref="E9:E10"/>
    <mergeCell ref="F9:F10"/>
    <mergeCell ref="G9:G10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M1000"/>
  <sheetViews>
    <sheetView zoomScale="80" zoomScaleNormal="80" workbookViewId="0">
      <pane ySplit="3" topLeftCell="A4" activePane="bottomLeft" state="frozen"/>
      <selection pane="bottomLeft" activeCell="F19" sqref="F19"/>
    </sheetView>
  </sheetViews>
  <sheetFormatPr defaultColWidth="14.453125" defaultRowHeight="15" customHeight="1" x14ac:dyDescent="0.35"/>
  <cols>
    <col min="1" max="1" width="8.81640625" customWidth="1"/>
    <col min="2" max="2" width="11.453125" customWidth="1"/>
    <col min="3" max="3" width="15.453125" customWidth="1"/>
    <col min="4" max="4" width="8.81640625" customWidth="1"/>
    <col min="5" max="5" width="10.08984375" customWidth="1"/>
    <col min="6" max="6" width="18" customWidth="1"/>
    <col min="7" max="7" width="20.26953125" customWidth="1"/>
    <col min="8" max="8" width="19.08984375" customWidth="1"/>
    <col min="9" max="9" width="8.81640625" customWidth="1"/>
    <col min="10" max="10" width="8.453125" customWidth="1"/>
    <col min="11" max="11" width="16.81640625" customWidth="1"/>
    <col min="12" max="13" width="16.08984375" customWidth="1"/>
    <col min="14" max="26" width="8.81640625" customWidth="1"/>
  </cols>
  <sheetData>
    <row r="2" spans="1:13" ht="14.5" x14ac:dyDescent="0.35">
      <c r="A2" s="60" t="s">
        <v>0</v>
      </c>
      <c r="B2" s="61"/>
      <c r="C2" s="59"/>
      <c r="E2" s="60" t="s">
        <v>3</v>
      </c>
      <c r="F2" s="61"/>
      <c r="G2" s="61"/>
      <c r="H2" s="59"/>
      <c r="J2" s="62" t="s">
        <v>4</v>
      </c>
      <c r="K2" s="63"/>
      <c r="L2" s="63"/>
      <c r="M2" s="64"/>
    </row>
    <row r="3" spans="1:13" ht="14.5" x14ac:dyDescent="0.35">
      <c r="A3" s="6" t="s">
        <v>7</v>
      </c>
      <c r="B3" s="6" t="s">
        <v>11</v>
      </c>
      <c r="C3" s="6" t="s">
        <v>12</v>
      </c>
      <c r="E3" s="6" t="s">
        <v>12</v>
      </c>
      <c r="F3" s="7" t="s">
        <v>14</v>
      </c>
      <c r="G3" s="7" t="s">
        <v>16</v>
      </c>
      <c r="H3" s="8" t="s">
        <v>18</v>
      </c>
      <c r="J3" s="9" t="s">
        <v>20</v>
      </c>
      <c r="K3" s="9" t="s">
        <v>22</v>
      </c>
      <c r="L3" s="9" t="s">
        <v>24</v>
      </c>
      <c r="M3" s="9" t="s">
        <v>25</v>
      </c>
    </row>
    <row r="4" spans="1:13" ht="14.5" x14ac:dyDescent="0.35">
      <c r="A4" s="11" t="s">
        <v>8</v>
      </c>
      <c r="B4" s="13">
        <v>54000000</v>
      </c>
      <c r="C4" s="15" t="s">
        <v>31</v>
      </c>
      <c r="E4" s="76" t="s">
        <v>31</v>
      </c>
      <c r="F4" s="77">
        <v>0</v>
      </c>
      <c r="G4" s="77">
        <v>5400000</v>
      </c>
      <c r="H4" s="78">
        <v>0</v>
      </c>
      <c r="J4" s="17">
        <v>0.05</v>
      </c>
      <c r="K4" s="18">
        <v>0</v>
      </c>
      <c r="L4" s="18">
        <v>60000000</v>
      </c>
      <c r="M4" s="18">
        <f t="shared" ref="M4:M8" si="0">L4-K4</f>
        <v>60000000</v>
      </c>
    </row>
    <row r="5" spans="1:13" ht="14.5" x14ac:dyDescent="0.35">
      <c r="A5" s="11" t="s">
        <v>38</v>
      </c>
      <c r="B5" s="13">
        <v>58500000</v>
      </c>
      <c r="C5" s="15" t="s">
        <v>31</v>
      </c>
      <c r="E5" s="76" t="s">
        <v>31</v>
      </c>
      <c r="F5" s="77">
        <f t="shared" ref="F5:F47" si="1">+G4</f>
        <v>5400000</v>
      </c>
      <c r="G5" s="77">
        <v>5650000</v>
      </c>
      <c r="H5" s="78">
        <v>2.5000000000000001E-3</v>
      </c>
      <c r="J5" s="17">
        <v>0.15</v>
      </c>
      <c r="K5" s="18">
        <v>60000000</v>
      </c>
      <c r="L5" s="18">
        <v>250000000</v>
      </c>
      <c r="M5" s="18">
        <f t="shared" si="0"/>
        <v>190000000</v>
      </c>
    </row>
    <row r="6" spans="1:13" ht="14.5" x14ac:dyDescent="0.35">
      <c r="A6" s="11" t="s">
        <v>40</v>
      </c>
      <c r="B6" s="13">
        <v>58500000</v>
      </c>
      <c r="C6" s="15" t="s">
        <v>31</v>
      </c>
      <c r="E6" s="76" t="s">
        <v>31</v>
      </c>
      <c r="F6" s="77">
        <f t="shared" si="1"/>
        <v>5650000</v>
      </c>
      <c r="G6" s="77">
        <v>5950000</v>
      </c>
      <c r="H6" s="78">
        <v>5.0000000000000001E-3</v>
      </c>
      <c r="J6" s="17">
        <v>0.25</v>
      </c>
      <c r="K6" s="18">
        <v>250000000</v>
      </c>
      <c r="L6" s="18">
        <v>500000000</v>
      </c>
      <c r="M6" s="18">
        <f t="shared" si="0"/>
        <v>250000000</v>
      </c>
    </row>
    <row r="7" spans="1:13" ht="14.5" x14ac:dyDescent="0.35">
      <c r="A7" s="24" t="s">
        <v>41</v>
      </c>
      <c r="B7" s="25">
        <v>63000000</v>
      </c>
      <c r="C7" s="26" t="s">
        <v>42</v>
      </c>
      <c r="E7" s="76" t="s">
        <v>31</v>
      </c>
      <c r="F7" s="77">
        <f t="shared" si="1"/>
        <v>5950000</v>
      </c>
      <c r="G7" s="77">
        <v>6300000</v>
      </c>
      <c r="H7" s="78">
        <v>7.4999999999999997E-3</v>
      </c>
      <c r="J7" s="17">
        <v>0.3</v>
      </c>
      <c r="K7" s="18">
        <v>500000000</v>
      </c>
      <c r="L7" s="18">
        <v>5000000000</v>
      </c>
      <c r="M7" s="18">
        <f t="shared" si="0"/>
        <v>4500000000</v>
      </c>
    </row>
    <row r="8" spans="1:13" ht="14.5" x14ac:dyDescent="0.35">
      <c r="A8" s="24" t="s">
        <v>43</v>
      </c>
      <c r="B8" s="25">
        <v>67500000</v>
      </c>
      <c r="C8" s="26" t="s">
        <v>42</v>
      </c>
      <c r="E8" s="76" t="s">
        <v>31</v>
      </c>
      <c r="F8" s="77">
        <f t="shared" si="1"/>
        <v>6300000</v>
      </c>
      <c r="G8" s="77">
        <v>6750000</v>
      </c>
      <c r="H8" s="78">
        <v>0.01</v>
      </c>
      <c r="J8" s="17">
        <v>0.35</v>
      </c>
      <c r="K8" s="18">
        <v>5000000000</v>
      </c>
      <c r="L8" s="18">
        <v>99999999999</v>
      </c>
      <c r="M8" s="18">
        <f t="shared" si="0"/>
        <v>94999999999</v>
      </c>
    </row>
    <row r="9" spans="1:13" ht="14.5" x14ac:dyDescent="0.35">
      <c r="A9" s="24" t="s">
        <v>44</v>
      </c>
      <c r="B9" s="25">
        <v>63000000</v>
      </c>
      <c r="C9" s="26" t="s">
        <v>42</v>
      </c>
      <c r="E9" s="76" t="s">
        <v>31</v>
      </c>
      <c r="F9" s="77">
        <f t="shared" si="1"/>
        <v>6750000</v>
      </c>
      <c r="G9" s="77">
        <v>7500000</v>
      </c>
      <c r="H9" s="78">
        <v>1.2500000000000001E-2</v>
      </c>
    </row>
    <row r="10" spans="1:13" ht="14.5" x14ac:dyDescent="0.35">
      <c r="A10" s="24" t="s">
        <v>45</v>
      </c>
      <c r="B10" s="25">
        <v>67500000</v>
      </c>
      <c r="C10" s="26" t="s">
        <v>42</v>
      </c>
      <c r="E10" s="76" t="s">
        <v>31</v>
      </c>
      <c r="F10" s="77">
        <f t="shared" si="1"/>
        <v>7500000</v>
      </c>
      <c r="G10" s="77">
        <v>8550000</v>
      </c>
      <c r="H10" s="78">
        <v>1.4999999999999999E-2</v>
      </c>
    </row>
    <row r="11" spans="1:13" ht="14.5" x14ac:dyDescent="0.35">
      <c r="A11" s="27" t="s">
        <v>46</v>
      </c>
      <c r="B11" s="28">
        <v>72000000</v>
      </c>
      <c r="C11" s="29" t="s">
        <v>47</v>
      </c>
      <c r="E11" s="76" t="s">
        <v>31</v>
      </c>
      <c r="F11" s="77">
        <f t="shared" si="1"/>
        <v>8550000</v>
      </c>
      <c r="G11" s="77">
        <v>9650000</v>
      </c>
      <c r="H11" s="78">
        <v>1.7500000000000002E-2</v>
      </c>
    </row>
    <row r="12" spans="1:13" ht="14.5" x14ac:dyDescent="0.35">
      <c r="E12" s="76" t="s">
        <v>31</v>
      </c>
      <c r="F12" s="77">
        <f t="shared" si="1"/>
        <v>9650000</v>
      </c>
      <c r="G12" s="77">
        <v>10050000</v>
      </c>
      <c r="H12" s="78">
        <v>0.02</v>
      </c>
    </row>
    <row r="13" spans="1:13" ht="14.5" x14ac:dyDescent="0.35">
      <c r="E13" s="76" t="s">
        <v>31</v>
      </c>
      <c r="F13" s="77">
        <f t="shared" si="1"/>
        <v>10050000</v>
      </c>
      <c r="G13" s="77">
        <v>10350000</v>
      </c>
      <c r="H13" s="78">
        <v>2.2499999999999999E-2</v>
      </c>
    </row>
    <row r="14" spans="1:13" ht="14.5" x14ac:dyDescent="0.35">
      <c r="E14" s="76" t="s">
        <v>31</v>
      </c>
      <c r="F14" s="77">
        <f t="shared" si="1"/>
        <v>10350000</v>
      </c>
      <c r="G14" s="77">
        <v>10700000</v>
      </c>
      <c r="H14" s="78">
        <v>2.5000000000000001E-2</v>
      </c>
    </row>
    <row r="15" spans="1:13" ht="14.5" x14ac:dyDescent="0.35">
      <c r="E15" s="76" t="s">
        <v>31</v>
      </c>
      <c r="F15" s="77">
        <f t="shared" si="1"/>
        <v>10700000</v>
      </c>
      <c r="G15" s="77">
        <v>11050000</v>
      </c>
      <c r="H15" s="78">
        <v>0.03</v>
      </c>
    </row>
    <row r="16" spans="1:13" ht="14.5" x14ac:dyDescent="0.35">
      <c r="E16" s="76" t="s">
        <v>31</v>
      </c>
      <c r="F16" s="77">
        <f t="shared" si="1"/>
        <v>11050000</v>
      </c>
      <c r="G16" s="77">
        <v>11600000</v>
      </c>
      <c r="H16" s="78">
        <v>3.5000000000000003E-2</v>
      </c>
    </row>
    <row r="17" spans="5:8" ht="14.5" x14ac:dyDescent="0.35">
      <c r="E17" s="76" t="s">
        <v>31</v>
      </c>
      <c r="F17" s="77">
        <f t="shared" si="1"/>
        <v>11600000</v>
      </c>
      <c r="G17" s="77">
        <v>12500000</v>
      </c>
      <c r="H17" s="78">
        <v>0.04</v>
      </c>
    </row>
    <row r="18" spans="5:8" ht="14.5" x14ac:dyDescent="0.35">
      <c r="E18" s="76" t="s">
        <v>31</v>
      </c>
      <c r="F18" s="77">
        <f t="shared" si="1"/>
        <v>12500000</v>
      </c>
      <c r="G18" s="77">
        <v>13750000</v>
      </c>
      <c r="H18" s="78">
        <v>0.05</v>
      </c>
    </row>
    <row r="19" spans="5:8" ht="14.5" x14ac:dyDescent="0.35">
      <c r="E19" s="76" t="s">
        <v>31</v>
      </c>
      <c r="F19" s="77">
        <f t="shared" si="1"/>
        <v>13750000</v>
      </c>
      <c r="G19" s="77">
        <v>15100000</v>
      </c>
      <c r="H19" s="78">
        <v>0.06</v>
      </c>
    </row>
    <row r="20" spans="5:8" ht="14.5" x14ac:dyDescent="0.35">
      <c r="E20" s="76" t="s">
        <v>31</v>
      </c>
      <c r="F20" s="77">
        <f t="shared" si="1"/>
        <v>15100000</v>
      </c>
      <c r="G20" s="77">
        <v>16950000</v>
      </c>
      <c r="H20" s="78">
        <v>7.0000000000000007E-2</v>
      </c>
    </row>
    <row r="21" spans="5:8" ht="15.75" customHeight="1" x14ac:dyDescent="0.35">
      <c r="E21" s="76" t="s">
        <v>31</v>
      </c>
      <c r="F21" s="77">
        <f t="shared" si="1"/>
        <v>16950000</v>
      </c>
      <c r="G21" s="77">
        <v>19750000</v>
      </c>
      <c r="H21" s="78">
        <v>0.08</v>
      </c>
    </row>
    <row r="22" spans="5:8" ht="15.75" customHeight="1" x14ac:dyDescent="0.35">
      <c r="E22" s="76" t="s">
        <v>31</v>
      </c>
      <c r="F22" s="77">
        <f t="shared" si="1"/>
        <v>19750000</v>
      </c>
      <c r="G22" s="77">
        <v>24150000</v>
      </c>
      <c r="H22" s="78">
        <v>0.09</v>
      </c>
    </row>
    <row r="23" spans="5:8" ht="15.75" customHeight="1" x14ac:dyDescent="0.35">
      <c r="E23" s="76" t="s">
        <v>31</v>
      </c>
      <c r="F23" s="77">
        <f t="shared" si="1"/>
        <v>24150000</v>
      </c>
      <c r="G23" s="77">
        <v>26450000</v>
      </c>
      <c r="H23" s="78">
        <v>0.1</v>
      </c>
    </row>
    <row r="24" spans="5:8" ht="15.75" customHeight="1" x14ac:dyDescent="0.35">
      <c r="E24" s="76" t="s">
        <v>31</v>
      </c>
      <c r="F24" s="77">
        <f t="shared" si="1"/>
        <v>26450000</v>
      </c>
      <c r="G24" s="77">
        <v>28000000</v>
      </c>
      <c r="H24" s="78">
        <v>0.11</v>
      </c>
    </row>
    <row r="25" spans="5:8" ht="15.75" customHeight="1" x14ac:dyDescent="0.35">
      <c r="E25" s="76" t="s">
        <v>31</v>
      </c>
      <c r="F25" s="77">
        <f t="shared" si="1"/>
        <v>28000000</v>
      </c>
      <c r="G25" s="77">
        <v>30050000</v>
      </c>
      <c r="H25" s="78">
        <v>0.12</v>
      </c>
    </row>
    <row r="26" spans="5:8" ht="15.75" customHeight="1" x14ac:dyDescent="0.35">
      <c r="E26" s="76" t="s">
        <v>31</v>
      </c>
      <c r="F26" s="77">
        <f t="shared" si="1"/>
        <v>30050000</v>
      </c>
      <c r="G26" s="77">
        <v>32400000</v>
      </c>
      <c r="H26" s="78">
        <v>0.13</v>
      </c>
    </row>
    <row r="27" spans="5:8" ht="15.75" customHeight="1" x14ac:dyDescent="0.35">
      <c r="E27" s="76" t="s">
        <v>31</v>
      </c>
      <c r="F27" s="77">
        <f t="shared" si="1"/>
        <v>32400000</v>
      </c>
      <c r="G27" s="77">
        <v>35400000</v>
      </c>
      <c r="H27" s="78">
        <v>0.14000000000000001</v>
      </c>
    </row>
    <row r="28" spans="5:8" ht="15.75" customHeight="1" x14ac:dyDescent="0.35">
      <c r="E28" s="76" t="s">
        <v>31</v>
      </c>
      <c r="F28" s="77">
        <f t="shared" si="1"/>
        <v>35400000</v>
      </c>
      <c r="G28" s="77">
        <v>39100000</v>
      </c>
      <c r="H28" s="78">
        <v>0.15</v>
      </c>
    </row>
    <row r="29" spans="5:8" ht="15.75" customHeight="1" x14ac:dyDescent="0.35">
      <c r="E29" s="76" t="s">
        <v>31</v>
      </c>
      <c r="F29" s="77">
        <f t="shared" si="1"/>
        <v>39100000</v>
      </c>
      <c r="G29" s="77">
        <v>43850000</v>
      </c>
      <c r="H29" s="78">
        <v>0.16</v>
      </c>
    </row>
    <row r="30" spans="5:8" ht="15.75" customHeight="1" x14ac:dyDescent="0.35">
      <c r="E30" s="76" t="s">
        <v>31</v>
      </c>
      <c r="F30" s="77">
        <f t="shared" si="1"/>
        <v>43850000</v>
      </c>
      <c r="G30" s="77">
        <v>47800000</v>
      </c>
      <c r="H30" s="78">
        <v>0.17</v>
      </c>
    </row>
    <row r="31" spans="5:8" ht="15.75" customHeight="1" x14ac:dyDescent="0.35">
      <c r="E31" s="76" t="s">
        <v>31</v>
      </c>
      <c r="F31" s="77">
        <f t="shared" si="1"/>
        <v>47800000</v>
      </c>
      <c r="G31" s="77">
        <v>51400000</v>
      </c>
      <c r="H31" s="78">
        <v>0.18</v>
      </c>
    </row>
    <row r="32" spans="5:8" ht="15.75" customHeight="1" x14ac:dyDescent="0.35">
      <c r="E32" s="76" t="s">
        <v>31</v>
      </c>
      <c r="F32" s="77">
        <f t="shared" si="1"/>
        <v>51400000</v>
      </c>
      <c r="G32" s="77">
        <v>56300000</v>
      </c>
      <c r="H32" s="78">
        <v>0.19</v>
      </c>
    </row>
    <row r="33" spans="5:8" ht="15.75" customHeight="1" x14ac:dyDescent="0.35">
      <c r="E33" s="76" t="s">
        <v>31</v>
      </c>
      <c r="F33" s="77">
        <f t="shared" si="1"/>
        <v>56300000</v>
      </c>
      <c r="G33" s="77">
        <v>62200000</v>
      </c>
      <c r="H33" s="78">
        <v>0.2</v>
      </c>
    </row>
    <row r="34" spans="5:8" ht="15.75" customHeight="1" x14ac:dyDescent="0.35">
      <c r="E34" s="76" t="s">
        <v>31</v>
      </c>
      <c r="F34" s="77">
        <f t="shared" si="1"/>
        <v>62200000</v>
      </c>
      <c r="G34" s="77">
        <v>68600000</v>
      </c>
      <c r="H34" s="78">
        <v>0.21</v>
      </c>
    </row>
    <row r="35" spans="5:8" ht="15.75" customHeight="1" x14ac:dyDescent="0.35">
      <c r="E35" s="76" t="s">
        <v>31</v>
      </c>
      <c r="F35" s="77">
        <f t="shared" si="1"/>
        <v>68600000</v>
      </c>
      <c r="G35" s="77">
        <v>77500000</v>
      </c>
      <c r="H35" s="78">
        <v>0.22</v>
      </c>
    </row>
    <row r="36" spans="5:8" ht="15.75" customHeight="1" x14ac:dyDescent="0.35">
      <c r="E36" s="76" t="s">
        <v>31</v>
      </c>
      <c r="F36" s="77">
        <f t="shared" si="1"/>
        <v>77500000</v>
      </c>
      <c r="G36" s="77">
        <v>89000000</v>
      </c>
      <c r="H36" s="78">
        <v>0.23</v>
      </c>
    </row>
    <row r="37" spans="5:8" ht="15.75" customHeight="1" x14ac:dyDescent="0.35">
      <c r="E37" s="76" t="s">
        <v>31</v>
      </c>
      <c r="F37" s="77">
        <f t="shared" si="1"/>
        <v>89000000</v>
      </c>
      <c r="G37" s="77">
        <v>103000000</v>
      </c>
      <c r="H37" s="78">
        <v>0.24</v>
      </c>
    </row>
    <row r="38" spans="5:8" ht="15.75" customHeight="1" x14ac:dyDescent="0.35">
      <c r="E38" s="76" t="s">
        <v>31</v>
      </c>
      <c r="F38" s="77">
        <f t="shared" si="1"/>
        <v>103000000</v>
      </c>
      <c r="G38" s="77">
        <v>125000000</v>
      </c>
      <c r="H38" s="78">
        <v>0.25</v>
      </c>
    </row>
    <row r="39" spans="5:8" ht="15.75" customHeight="1" x14ac:dyDescent="0.35">
      <c r="E39" s="76" t="s">
        <v>31</v>
      </c>
      <c r="F39" s="77">
        <f t="shared" si="1"/>
        <v>125000000</v>
      </c>
      <c r="G39" s="77">
        <v>157000000</v>
      </c>
      <c r="H39" s="78">
        <v>0.26</v>
      </c>
    </row>
    <row r="40" spans="5:8" ht="15.75" customHeight="1" x14ac:dyDescent="0.35">
      <c r="E40" s="76" t="s">
        <v>31</v>
      </c>
      <c r="F40" s="77">
        <f t="shared" si="1"/>
        <v>157000000</v>
      </c>
      <c r="G40" s="77">
        <v>206000000</v>
      </c>
      <c r="H40" s="78">
        <v>0.27</v>
      </c>
    </row>
    <row r="41" spans="5:8" ht="15.75" customHeight="1" x14ac:dyDescent="0.35">
      <c r="E41" s="76" t="s">
        <v>31</v>
      </c>
      <c r="F41" s="77">
        <f t="shared" si="1"/>
        <v>206000000</v>
      </c>
      <c r="G41" s="77">
        <v>337000000</v>
      </c>
      <c r="H41" s="78">
        <v>0.28000000000000003</v>
      </c>
    </row>
    <row r="42" spans="5:8" ht="15.75" customHeight="1" x14ac:dyDescent="0.35">
      <c r="E42" s="76" t="s">
        <v>31</v>
      </c>
      <c r="F42" s="77">
        <f t="shared" si="1"/>
        <v>337000000</v>
      </c>
      <c r="G42" s="77">
        <v>454000000</v>
      </c>
      <c r="H42" s="78">
        <v>0.28999999999999998</v>
      </c>
    </row>
    <row r="43" spans="5:8" ht="15.75" customHeight="1" x14ac:dyDescent="0.35">
      <c r="E43" s="76" t="s">
        <v>31</v>
      </c>
      <c r="F43" s="77">
        <f t="shared" si="1"/>
        <v>454000000</v>
      </c>
      <c r="G43" s="77">
        <v>550000000</v>
      </c>
      <c r="H43" s="78">
        <v>0.3</v>
      </c>
    </row>
    <row r="44" spans="5:8" ht="15.75" customHeight="1" x14ac:dyDescent="0.35">
      <c r="E44" s="76" t="s">
        <v>31</v>
      </c>
      <c r="F44" s="77">
        <f t="shared" si="1"/>
        <v>550000000</v>
      </c>
      <c r="G44" s="77">
        <v>695000000</v>
      </c>
      <c r="H44" s="78">
        <v>0.31</v>
      </c>
    </row>
    <row r="45" spans="5:8" ht="15.75" customHeight="1" x14ac:dyDescent="0.35">
      <c r="E45" s="76" t="s">
        <v>31</v>
      </c>
      <c r="F45" s="77">
        <f t="shared" si="1"/>
        <v>695000000</v>
      </c>
      <c r="G45" s="77">
        <v>910000000</v>
      </c>
      <c r="H45" s="78">
        <v>0.32</v>
      </c>
    </row>
    <row r="46" spans="5:8" ht="15.75" customHeight="1" x14ac:dyDescent="0.35">
      <c r="E46" s="76" t="s">
        <v>31</v>
      </c>
      <c r="F46" s="77">
        <f t="shared" si="1"/>
        <v>910000000</v>
      </c>
      <c r="G46" s="77">
        <v>1400000000</v>
      </c>
      <c r="H46" s="78">
        <v>0.33</v>
      </c>
    </row>
    <row r="47" spans="5:8" ht="15.75" customHeight="1" x14ac:dyDescent="0.35">
      <c r="E47" s="76" t="s">
        <v>31</v>
      </c>
      <c r="F47" s="77">
        <f t="shared" si="1"/>
        <v>1400000000</v>
      </c>
      <c r="G47" s="77">
        <v>99999999999</v>
      </c>
      <c r="H47" s="78">
        <v>0.34</v>
      </c>
    </row>
    <row r="48" spans="5:8" ht="15.75" customHeight="1" x14ac:dyDescent="0.35">
      <c r="E48" s="76" t="s">
        <v>42</v>
      </c>
      <c r="F48" s="77">
        <v>0</v>
      </c>
      <c r="G48" s="77">
        <v>6200000</v>
      </c>
      <c r="H48" s="78">
        <v>0</v>
      </c>
    </row>
    <row r="49" spans="5:8" ht="15.75" customHeight="1" x14ac:dyDescent="0.35">
      <c r="E49" s="76" t="s">
        <v>42</v>
      </c>
      <c r="F49" s="77">
        <f t="shared" ref="F49:F87" si="2">+G48</f>
        <v>6200000</v>
      </c>
      <c r="G49" s="77">
        <v>6500000</v>
      </c>
      <c r="H49" s="78">
        <v>2.5000000000000001E-3</v>
      </c>
    </row>
    <row r="50" spans="5:8" ht="15.75" customHeight="1" x14ac:dyDescent="0.35">
      <c r="E50" s="76" t="s">
        <v>42</v>
      </c>
      <c r="F50" s="77">
        <f t="shared" si="2"/>
        <v>6500000</v>
      </c>
      <c r="G50" s="77">
        <v>6850000</v>
      </c>
      <c r="H50" s="78">
        <v>5.0000000000000001E-3</v>
      </c>
    </row>
    <row r="51" spans="5:8" ht="15.75" customHeight="1" x14ac:dyDescent="0.35">
      <c r="E51" s="76" t="s">
        <v>42</v>
      </c>
      <c r="F51" s="77">
        <f t="shared" si="2"/>
        <v>6850000</v>
      </c>
      <c r="G51" s="77">
        <v>7300000</v>
      </c>
      <c r="H51" s="78">
        <v>7.4999999999999997E-3</v>
      </c>
    </row>
    <row r="52" spans="5:8" ht="15.75" customHeight="1" x14ac:dyDescent="0.35">
      <c r="E52" s="76" t="s">
        <v>42</v>
      </c>
      <c r="F52" s="77">
        <f t="shared" si="2"/>
        <v>7300000</v>
      </c>
      <c r="G52" s="77">
        <v>9200000</v>
      </c>
      <c r="H52" s="78">
        <v>0.01</v>
      </c>
    </row>
    <row r="53" spans="5:8" ht="15.75" customHeight="1" x14ac:dyDescent="0.35">
      <c r="E53" s="76" t="s">
        <v>42</v>
      </c>
      <c r="F53" s="77">
        <f t="shared" si="2"/>
        <v>9200000</v>
      </c>
      <c r="G53" s="77">
        <v>10750000</v>
      </c>
      <c r="H53" s="78">
        <v>1.4999999999999999E-2</v>
      </c>
    </row>
    <row r="54" spans="5:8" ht="15.75" customHeight="1" x14ac:dyDescent="0.35">
      <c r="E54" s="76" t="s">
        <v>42</v>
      </c>
      <c r="F54" s="77">
        <f t="shared" si="2"/>
        <v>10750000</v>
      </c>
      <c r="G54" s="77">
        <v>11250000</v>
      </c>
      <c r="H54" s="78">
        <v>0.02</v>
      </c>
    </row>
    <row r="55" spans="5:8" ht="15.75" customHeight="1" x14ac:dyDescent="0.35">
      <c r="E55" s="76" t="s">
        <v>42</v>
      </c>
      <c r="F55" s="77">
        <f t="shared" si="2"/>
        <v>11250000</v>
      </c>
      <c r="G55" s="77">
        <v>11600000</v>
      </c>
      <c r="H55" s="78">
        <v>2.5000000000000001E-2</v>
      </c>
    </row>
    <row r="56" spans="5:8" ht="15.75" customHeight="1" x14ac:dyDescent="0.35">
      <c r="E56" s="76" t="s">
        <v>42</v>
      </c>
      <c r="F56" s="77">
        <f t="shared" si="2"/>
        <v>11600000</v>
      </c>
      <c r="G56" s="77">
        <v>12600000</v>
      </c>
      <c r="H56" s="78">
        <v>0.03</v>
      </c>
    </row>
    <row r="57" spans="5:8" ht="15.75" customHeight="1" x14ac:dyDescent="0.35">
      <c r="E57" s="76" t="s">
        <v>42</v>
      </c>
      <c r="F57" s="77">
        <f t="shared" si="2"/>
        <v>12600000</v>
      </c>
      <c r="G57" s="77">
        <v>13600000</v>
      </c>
      <c r="H57" s="78">
        <v>0.04</v>
      </c>
    </row>
    <row r="58" spans="5:8" ht="15.75" customHeight="1" x14ac:dyDescent="0.35">
      <c r="E58" s="76" t="s">
        <v>42</v>
      </c>
      <c r="F58" s="77">
        <f t="shared" si="2"/>
        <v>13600000</v>
      </c>
      <c r="G58" s="77">
        <v>14950000</v>
      </c>
      <c r="H58" s="78">
        <v>0.05</v>
      </c>
    </row>
    <row r="59" spans="5:8" ht="15.75" customHeight="1" x14ac:dyDescent="0.35">
      <c r="E59" s="76" t="s">
        <v>42</v>
      </c>
      <c r="F59" s="77">
        <f t="shared" si="2"/>
        <v>14950000</v>
      </c>
      <c r="G59" s="77">
        <v>16400000</v>
      </c>
      <c r="H59" s="78">
        <v>0.06</v>
      </c>
    </row>
    <row r="60" spans="5:8" ht="15.75" customHeight="1" x14ac:dyDescent="0.35">
      <c r="E60" s="76" t="s">
        <v>42</v>
      </c>
      <c r="F60" s="77">
        <f t="shared" si="2"/>
        <v>16400000</v>
      </c>
      <c r="G60" s="77">
        <v>18450000</v>
      </c>
      <c r="H60" s="78">
        <v>7.0000000000000007E-2</v>
      </c>
    </row>
    <row r="61" spans="5:8" ht="15.75" customHeight="1" x14ac:dyDescent="0.35">
      <c r="E61" s="76" t="s">
        <v>42</v>
      </c>
      <c r="F61" s="77">
        <f t="shared" si="2"/>
        <v>18450000</v>
      </c>
      <c r="G61" s="77">
        <v>21850000</v>
      </c>
      <c r="H61" s="78">
        <v>0.08</v>
      </c>
    </row>
    <row r="62" spans="5:8" ht="15.75" customHeight="1" x14ac:dyDescent="0.35">
      <c r="E62" s="76" t="s">
        <v>42</v>
      </c>
      <c r="F62" s="77">
        <f t="shared" si="2"/>
        <v>21850000</v>
      </c>
      <c r="G62" s="77">
        <v>26000000</v>
      </c>
      <c r="H62" s="78">
        <v>0.09</v>
      </c>
    </row>
    <row r="63" spans="5:8" ht="15.75" customHeight="1" x14ac:dyDescent="0.35">
      <c r="E63" s="76" t="s">
        <v>42</v>
      </c>
      <c r="F63" s="77">
        <f t="shared" si="2"/>
        <v>26000000</v>
      </c>
      <c r="G63" s="77">
        <v>27700000</v>
      </c>
      <c r="H63" s="78">
        <v>0.1</v>
      </c>
    </row>
    <row r="64" spans="5:8" ht="15.75" customHeight="1" x14ac:dyDescent="0.35">
      <c r="E64" s="76" t="s">
        <v>42</v>
      </c>
      <c r="F64" s="77">
        <f t="shared" si="2"/>
        <v>27700000</v>
      </c>
      <c r="G64" s="77">
        <v>29350000</v>
      </c>
      <c r="H64" s="78">
        <v>0.11</v>
      </c>
    </row>
    <row r="65" spans="5:8" ht="15.75" customHeight="1" x14ac:dyDescent="0.35">
      <c r="E65" s="76" t="s">
        <v>42</v>
      </c>
      <c r="F65" s="77">
        <f t="shared" si="2"/>
        <v>29350000</v>
      </c>
      <c r="G65" s="77">
        <v>31450000</v>
      </c>
      <c r="H65" s="78">
        <v>0.12</v>
      </c>
    </row>
    <row r="66" spans="5:8" ht="15.75" customHeight="1" x14ac:dyDescent="0.35">
      <c r="E66" s="76" t="s">
        <v>42</v>
      </c>
      <c r="F66" s="77">
        <f t="shared" si="2"/>
        <v>31450000</v>
      </c>
      <c r="G66" s="77">
        <v>33950000</v>
      </c>
      <c r="H66" s="78">
        <v>0.13</v>
      </c>
    </row>
    <row r="67" spans="5:8" ht="15.75" customHeight="1" x14ac:dyDescent="0.35">
      <c r="E67" s="76" t="s">
        <v>42</v>
      </c>
      <c r="F67" s="77">
        <f t="shared" si="2"/>
        <v>33950000</v>
      </c>
      <c r="G67" s="77">
        <v>37100000</v>
      </c>
      <c r="H67" s="78">
        <v>0.14000000000000001</v>
      </c>
    </row>
    <row r="68" spans="5:8" ht="15.75" customHeight="1" x14ac:dyDescent="0.35">
      <c r="E68" s="76" t="s">
        <v>42</v>
      </c>
      <c r="F68" s="77">
        <f t="shared" si="2"/>
        <v>37100000</v>
      </c>
      <c r="G68" s="77">
        <v>41100000</v>
      </c>
      <c r="H68" s="78">
        <v>0.15</v>
      </c>
    </row>
    <row r="69" spans="5:8" ht="15.75" customHeight="1" x14ac:dyDescent="0.35">
      <c r="E69" s="76" t="s">
        <v>42</v>
      </c>
      <c r="F69" s="77">
        <f t="shared" si="2"/>
        <v>41100000</v>
      </c>
      <c r="G69" s="77">
        <v>45800000</v>
      </c>
      <c r="H69" s="78">
        <v>0.16</v>
      </c>
    </row>
    <row r="70" spans="5:8" ht="15.75" customHeight="1" x14ac:dyDescent="0.35">
      <c r="E70" s="76" t="s">
        <v>42</v>
      </c>
      <c r="F70" s="77">
        <f t="shared" si="2"/>
        <v>45800000</v>
      </c>
      <c r="G70" s="77">
        <v>49500000</v>
      </c>
      <c r="H70" s="78">
        <v>0.17</v>
      </c>
    </row>
    <row r="71" spans="5:8" ht="15.75" customHeight="1" x14ac:dyDescent="0.35">
      <c r="E71" s="76" t="s">
        <v>42</v>
      </c>
      <c r="F71" s="77">
        <f t="shared" si="2"/>
        <v>49500000</v>
      </c>
      <c r="G71" s="77">
        <v>53800000</v>
      </c>
      <c r="H71" s="78">
        <v>0.18</v>
      </c>
    </row>
    <row r="72" spans="5:8" ht="15.75" customHeight="1" x14ac:dyDescent="0.35">
      <c r="E72" s="76" t="s">
        <v>42</v>
      </c>
      <c r="F72" s="77">
        <f t="shared" si="2"/>
        <v>53800000</v>
      </c>
      <c r="G72" s="77">
        <v>58500000</v>
      </c>
      <c r="H72" s="78">
        <v>0.19</v>
      </c>
    </row>
    <row r="73" spans="5:8" ht="15.75" customHeight="1" x14ac:dyDescent="0.35">
      <c r="E73" s="76" t="s">
        <v>42</v>
      </c>
      <c r="F73" s="77">
        <f t="shared" si="2"/>
        <v>58500000</v>
      </c>
      <c r="G73" s="77">
        <v>64000000</v>
      </c>
      <c r="H73" s="78">
        <v>0.2</v>
      </c>
    </row>
    <row r="74" spans="5:8" ht="15.75" customHeight="1" x14ac:dyDescent="0.35">
      <c r="E74" s="76" t="s">
        <v>42</v>
      </c>
      <c r="F74" s="77">
        <f t="shared" si="2"/>
        <v>64000000</v>
      </c>
      <c r="G74" s="77">
        <v>71000000</v>
      </c>
      <c r="H74" s="78">
        <v>0.21</v>
      </c>
    </row>
    <row r="75" spans="5:8" ht="15.75" customHeight="1" x14ac:dyDescent="0.35">
      <c r="E75" s="76" t="s">
        <v>42</v>
      </c>
      <c r="F75" s="77">
        <f t="shared" si="2"/>
        <v>71000000</v>
      </c>
      <c r="G75" s="77">
        <v>80000000</v>
      </c>
      <c r="H75" s="78">
        <v>0.22</v>
      </c>
    </row>
    <row r="76" spans="5:8" ht="15.75" customHeight="1" x14ac:dyDescent="0.35">
      <c r="E76" s="76" t="s">
        <v>42</v>
      </c>
      <c r="F76" s="77">
        <f t="shared" si="2"/>
        <v>80000000</v>
      </c>
      <c r="G76" s="77">
        <v>93000000</v>
      </c>
      <c r="H76" s="78">
        <v>0.23</v>
      </c>
    </row>
    <row r="77" spans="5:8" ht="15.75" customHeight="1" x14ac:dyDescent="0.35">
      <c r="E77" s="76" t="s">
        <v>42</v>
      </c>
      <c r="F77" s="77">
        <f t="shared" si="2"/>
        <v>93000000</v>
      </c>
      <c r="G77" s="77">
        <v>109000000</v>
      </c>
      <c r="H77" s="78">
        <v>0.24</v>
      </c>
    </row>
    <row r="78" spans="5:8" ht="15.75" customHeight="1" x14ac:dyDescent="0.35">
      <c r="E78" s="76" t="s">
        <v>42</v>
      </c>
      <c r="F78" s="77">
        <f t="shared" si="2"/>
        <v>109000000</v>
      </c>
      <c r="G78" s="77">
        <v>129000000</v>
      </c>
      <c r="H78" s="78">
        <v>0.25</v>
      </c>
    </row>
    <row r="79" spans="5:8" ht="15.75" customHeight="1" x14ac:dyDescent="0.35">
      <c r="E79" s="76" t="s">
        <v>42</v>
      </c>
      <c r="F79" s="77">
        <f t="shared" si="2"/>
        <v>129000000</v>
      </c>
      <c r="G79" s="77">
        <v>163000000</v>
      </c>
      <c r="H79" s="78">
        <v>0.26</v>
      </c>
    </row>
    <row r="80" spans="5:8" ht="15.75" customHeight="1" x14ac:dyDescent="0.35">
      <c r="E80" s="76" t="s">
        <v>42</v>
      </c>
      <c r="F80" s="77">
        <f t="shared" si="2"/>
        <v>163000000</v>
      </c>
      <c r="G80" s="77">
        <v>211000000</v>
      </c>
      <c r="H80" s="78">
        <v>0.27</v>
      </c>
    </row>
    <row r="81" spans="5:8" ht="15.75" customHeight="1" x14ac:dyDescent="0.35">
      <c r="E81" s="76" t="s">
        <v>42</v>
      </c>
      <c r="F81" s="77">
        <f t="shared" si="2"/>
        <v>211000000</v>
      </c>
      <c r="G81" s="77">
        <v>374000000</v>
      </c>
      <c r="H81" s="78">
        <v>0.28000000000000003</v>
      </c>
    </row>
    <row r="82" spans="5:8" ht="15.75" customHeight="1" x14ac:dyDescent="0.35">
      <c r="E82" s="76" t="s">
        <v>42</v>
      </c>
      <c r="F82" s="77">
        <f t="shared" si="2"/>
        <v>374000000</v>
      </c>
      <c r="G82" s="77">
        <v>459000000</v>
      </c>
      <c r="H82" s="78">
        <v>0.28999999999999998</v>
      </c>
    </row>
    <row r="83" spans="5:8" ht="15.75" customHeight="1" x14ac:dyDescent="0.35">
      <c r="E83" s="76" t="s">
        <v>42</v>
      </c>
      <c r="F83" s="77">
        <f t="shared" si="2"/>
        <v>459000000</v>
      </c>
      <c r="G83" s="77">
        <v>555000000</v>
      </c>
      <c r="H83" s="78">
        <v>0.3</v>
      </c>
    </row>
    <row r="84" spans="5:8" ht="15.75" customHeight="1" x14ac:dyDescent="0.35">
      <c r="E84" s="76" t="s">
        <v>42</v>
      </c>
      <c r="F84" s="77">
        <f t="shared" si="2"/>
        <v>555000000</v>
      </c>
      <c r="G84" s="77">
        <v>704000000</v>
      </c>
      <c r="H84" s="78">
        <v>0.31</v>
      </c>
    </row>
    <row r="85" spans="5:8" ht="15.75" customHeight="1" x14ac:dyDescent="0.35">
      <c r="E85" s="76" t="s">
        <v>42</v>
      </c>
      <c r="F85" s="77">
        <f t="shared" si="2"/>
        <v>704000000</v>
      </c>
      <c r="G85" s="77">
        <v>957000000</v>
      </c>
      <c r="H85" s="78">
        <v>0.32</v>
      </c>
    </row>
    <row r="86" spans="5:8" ht="15.75" customHeight="1" x14ac:dyDescent="0.35">
      <c r="E86" s="76" t="s">
        <v>42</v>
      </c>
      <c r="F86" s="77">
        <f t="shared" si="2"/>
        <v>957000000</v>
      </c>
      <c r="G86" s="77">
        <v>1405000000</v>
      </c>
      <c r="H86" s="78">
        <v>0.33</v>
      </c>
    </row>
    <row r="87" spans="5:8" ht="15.75" customHeight="1" x14ac:dyDescent="0.35">
      <c r="E87" s="76" t="s">
        <v>42</v>
      </c>
      <c r="F87" s="77">
        <f t="shared" si="2"/>
        <v>1405000000</v>
      </c>
      <c r="G87" s="77">
        <v>99999999999</v>
      </c>
      <c r="H87" s="78">
        <v>0.34</v>
      </c>
    </row>
    <row r="88" spans="5:8" ht="15.75" customHeight="1" x14ac:dyDescent="0.35">
      <c r="E88" s="76" t="s">
        <v>47</v>
      </c>
      <c r="F88" s="77">
        <v>0</v>
      </c>
      <c r="G88" s="77">
        <v>6600000</v>
      </c>
      <c r="H88" s="78">
        <v>0</v>
      </c>
    </row>
    <row r="89" spans="5:8" ht="15.75" customHeight="1" x14ac:dyDescent="0.35">
      <c r="E89" s="76" t="s">
        <v>47</v>
      </c>
      <c r="F89" s="77">
        <f t="shared" ref="F89:F128" si="3">+G88</f>
        <v>6600000</v>
      </c>
      <c r="G89" s="77">
        <v>6950000</v>
      </c>
      <c r="H89" s="78">
        <v>2.5000000000000001E-3</v>
      </c>
    </row>
    <row r="90" spans="5:8" ht="15.75" customHeight="1" x14ac:dyDescent="0.35">
      <c r="E90" s="76" t="s">
        <v>47</v>
      </c>
      <c r="F90" s="77">
        <f t="shared" si="3"/>
        <v>6950000</v>
      </c>
      <c r="G90" s="77">
        <v>7350000</v>
      </c>
      <c r="H90" s="78">
        <v>5.0000000000000001E-3</v>
      </c>
    </row>
    <row r="91" spans="5:8" ht="15.75" customHeight="1" x14ac:dyDescent="0.35">
      <c r="E91" s="76" t="s">
        <v>47</v>
      </c>
      <c r="F91" s="77">
        <f t="shared" si="3"/>
        <v>7350000</v>
      </c>
      <c r="G91" s="77">
        <v>7800000</v>
      </c>
      <c r="H91" s="78">
        <v>7.4999999999999997E-3</v>
      </c>
    </row>
    <row r="92" spans="5:8" ht="15.75" customHeight="1" x14ac:dyDescent="0.35">
      <c r="E92" s="76" t="s">
        <v>47</v>
      </c>
      <c r="F92" s="77">
        <f t="shared" si="3"/>
        <v>7800000</v>
      </c>
      <c r="G92" s="77">
        <v>8850000</v>
      </c>
      <c r="H92" s="78">
        <v>0.01</v>
      </c>
    </row>
    <row r="93" spans="5:8" ht="15.75" customHeight="1" x14ac:dyDescent="0.35">
      <c r="E93" s="76" t="s">
        <v>47</v>
      </c>
      <c r="F93" s="77">
        <f t="shared" si="3"/>
        <v>8850000</v>
      </c>
      <c r="G93" s="77">
        <v>9800000</v>
      </c>
      <c r="H93" s="78">
        <v>1.2500000000000001E-2</v>
      </c>
    </row>
    <row r="94" spans="5:8" ht="15.75" customHeight="1" x14ac:dyDescent="0.35">
      <c r="E94" s="76" t="s">
        <v>47</v>
      </c>
      <c r="F94" s="77">
        <f t="shared" si="3"/>
        <v>9800000</v>
      </c>
      <c r="G94" s="77">
        <v>10950000</v>
      </c>
      <c r="H94" s="78">
        <v>1.4999999999999999E-2</v>
      </c>
    </row>
    <row r="95" spans="5:8" ht="15.75" customHeight="1" x14ac:dyDescent="0.35">
      <c r="E95" s="76" t="s">
        <v>47</v>
      </c>
      <c r="F95" s="77">
        <f t="shared" si="3"/>
        <v>10950000</v>
      </c>
      <c r="G95" s="77">
        <v>11200000</v>
      </c>
      <c r="H95" s="78">
        <v>1.7500000000000002E-2</v>
      </c>
    </row>
    <row r="96" spans="5:8" ht="15.75" customHeight="1" x14ac:dyDescent="0.35">
      <c r="E96" s="76" t="s">
        <v>47</v>
      </c>
      <c r="F96" s="77">
        <f t="shared" si="3"/>
        <v>11200000</v>
      </c>
      <c r="G96" s="77">
        <v>12050000</v>
      </c>
      <c r="H96" s="78">
        <v>0.02</v>
      </c>
    </row>
    <row r="97" spans="5:8" ht="15.75" customHeight="1" x14ac:dyDescent="0.35">
      <c r="E97" s="76" t="s">
        <v>47</v>
      </c>
      <c r="F97" s="77">
        <f t="shared" si="3"/>
        <v>12050000</v>
      </c>
      <c r="G97" s="77">
        <v>12950000</v>
      </c>
      <c r="H97" s="78">
        <v>0.03</v>
      </c>
    </row>
    <row r="98" spans="5:8" ht="15.75" customHeight="1" x14ac:dyDescent="0.35">
      <c r="E98" s="76" t="s">
        <v>47</v>
      </c>
      <c r="F98" s="77">
        <f t="shared" si="3"/>
        <v>12950000</v>
      </c>
      <c r="G98" s="77">
        <v>14150000</v>
      </c>
      <c r="H98" s="78">
        <v>0.04</v>
      </c>
    </row>
    <row r="99" spans="5:8" ht="15.75" customHeight="1" x14ac:dyDescent="0.35">
      <c r="E99" s="76" t="s">
        <v>47</v>
      </c>
      <c r="F99" s="77">
        <f t="shared" si="3"/>
        <v>14150000</v>
      </c>
      <c r="G99" s="77">
        <v>15550000</v>
      </c>
      <c r="H99" s="78">
        <v>0.05</v>
      </c>
    </row>
    <row r="100" spans="5:8" ht="15.75" customHeight="1" x14ac:dyDescent="0.35">
      <c r="E100" s="76" t="s">
        <v>47</v>
      </c>
      <c r="F100" s="77">
        <f t="shared" si="3"/>
        <v>15550000</v>
      </c>
      <c r="G100" s="77">
        <v>17050000</v>
      </c>
      <c r="H100" s="78">
        <v>0.06</v>
      </c>
    </row>
    <row r="101" spans="5:8" ht="15.75" customHeight="1" x14ac:dyDescent="0.35">
      <c r="E101" s="76" t="s">
        <v>47</v>
      </c>
      <c r="F101" s="77">
        <f t="shared" si="3"/>
        <v>17050000</v>
      </c>
      <c r="G101" s="77">
        <v>19500000</v>
      </c>
      <c r="H101" s="78">
        <v>7.0000000000000007E-2</v>
      </c>
    </row>
    <row r="102" spans="5:8" ht="15.75" customHeight="1" x14ac:dyDescent="0.35">
      <c r="E102" s="76" t="s">
        <v>47</v>
      </c>
      <c r="F102" s="77">
        <f t="shared" si="3"/>
        <v>19500000</v>
      </c>
      <c r="G102" s="77">
        <v>22700000</v>
      </c>
      <c r="H102" s="78">
        <v>0.08</v>
      </c>
    </row>
    <row r="103" spans="5:8" ht="15.75" customHeight="1" x14ac:dyDescent="0.35">
      <c r="E103" s="76" t="s">
        <v>47</v>
      </c>
      <c r="F103" s="77">
        <f t="shared" si="3"/>
        <v>22700000</v>
      </c>
      <c r="G103" s="77">
        <v>26600000</v>
      </c>
      <c r="H103" s="78">
        <v>0.09</v>
      </c>
    </row>
    <row r="104" spans="5:8" ht="15.75" customHeight="1" x14ac:dyDescent="0.35">
      <c r="E104" s="76" t="s">
        <v>47</v>
      </c>
      <c r="F104" s="77">
        <f t="shared" si="3"/>
        <v>26600000</v>
      </c>
      <c r="G104" s="77">
        <v>28100000</v>
      </c>
      <c r="H104" s="78">
        <v>0.1</v>
      </c>
    </row>
    <row r="105" spans="5:8" ht="15.75" customHeight="1" x14ac:dyDescent="0.35">
      <c r="E105" s="76" t="s">
        <v>47</v>
      </c>
      <c r="F105" s="77">
        <f t="shared" si="3"/>
        <v>28100000</v>
      </c>
      <c r="G105" s="77">
        <v>30100000</v>
      </c>
      <c r="H105" s="78">
        <v>0.11</v>
      </c>
    </row>
    <row r="106" spans="5:8" ht="15.75" customHeight="1" x14ac:dyDescent="0.35">
      <c r="E106" s="76" t="s">
        <v>47</v>
      </c>
      <c r="F106" s="77">
        <f t="shared" si="3"/>
        <v>30100000</v>
      </c>
      <c r="G106" s="77">
        <v>32600000</v>
      </c>
      <c r="H106" s="78">
        <v>0.12</v>
      </c>
    </row>
    <row r="107" spans="5:8" ht="15.75" customHeight="1" x14ac:dyDescent="0.35">
      <c r="E107" s="76" t="s">
        <v>47</v>
      </c>
      <c r="F107" s="77">
        <f t="shared" si="3"/>
        <v>32600000</v>
      </c>
      <c r="G107" s="77">
        <v>35400000</v>
      </c>
      <c r="H107" s="78">
        <v>0.13</v>
      </c>
    </row>
    <row r="108" spans="5:8" ht="15.75" customHeight="1" x14ac:dyDescent="0.35">
      <c r="E108" s="76" t="s">
        <v>47</v>
      </c>
      <c r="F108" s="77">
        <f t="shared" si="3"/>
        <v>35400000</v>
      </c>
      <c r="G108" s="77">
        <v>38900000</v>
      </c>
      <c r="H108" s="78">
        <v>0.14000000000000001</v>
      </c>
    </row>
    <row r="109" spans="5:8" ht="15.75" customHeight="1" x14ac:dyDescent="0.35">
      <c r="E109" s="76" t="s">
        <v>47</v>
      </c>
      <c r="F109" s="77">
        <f t="shared" si="3"/>
        <v>38900000</v>
      </c>
      <c r="G109" s="77">
        <v>43000000</v>
      </c>
      <c r="H109" s="78">
        <v>0.15</v>
      </c>
    </row>
    <row r="110" spans="5:8" ht="15.75" customHeight="1" x14ac:dyDescent="0.35">
      <c r="E110" s="76" t="s">
        <v>47</v>
      </c>
      <c r="F110" s="77">
        <f t="shared" si="3"/>
        <v>43000000</v>
      </c>
      <c r="G110" s="77">
        <v>47400000</v>
      </c>
      <c r="H110" s="78">
        <v>0.16</v>
      </c>
    </row>
    <row r="111" spans="5:8" ht="15.75" customHeight="1" x14ac:dyDescent="0.35">
      <c r="E111" s="76" t="s">
        <v>47</v>
      </c>
      <c r="F111" s="77">
        <f t="shared" si="3"/>
        <v>47400000</v>
      </c>
      <c r="G111" s="77">
        <v>51200000</v>
      </c>
      <c r="H111" s="78">
        <v>0.17</v>
      </c>
    </row>
    <row r="112" spans="5:8" ht="15.75" customHeight="1" x14ac:dyDescent="0.35">
      <c r="E112" s="76" t="s">
        <v>47</v>
      </c>
      <c r="F112" s="77">
        <f t="shared" si="3"/>
        <v>51200000</v>
      </c>
      <c r="G112" s="77">
        <v>55800000</v>
      </c>
      <c r="H112" s="78">
        <v>0.18</v>
      </c>
    </row>
    <row r="113" spans="5:8" ht="15.75" customHeight="1" x14ac:dyDescent="0.35">
      <c r="E113" s="76" t="s">
        <v>47</v>
      </c>
      <c r="F113" s="77">
        <f t="shared" si="3"/>
        <v>55800000</v>
      </c>
      <c r="G113" s="77">
        <v>60400000</v>
      </c>
      <c r="H113" s="78">
        <v>0.19</v>
      </c>
    </row>
    <row r="114" spans="5:8" ht="15.75" customHeight="1" x14ac:dyDescent="0.35">
      <c r="E114" s="76" t="s">
        <v>47</v>
      </c>
      <c r="F114" s="77">
        <f t="shared" si="3"/>
        <v>60400000</v>
      </c>
      <c r="G114" s="77">
        <v>66700000</v>
      </c>
      <c r="H114" s="78">
        <v>0.2</v>
      </c>
    </row>
    <row r="115" spans="5:8" ht="15.75" customHeight="1" x14ac:dyDescent="0.35">
      <c r="E115" s="76" t="s">
        <v>47</v>
      </c>
      <c r="F115" s="77">
        <f t="shared" si="3"/>
        <v>66700000</v>
      </c>
      <c r="G115" s="77">
        <v>74500000</v>
      </c>
      <c r="H115" s="78">
        <v>0.21</v>
      </c>
    </row>
    <row r="116" spans="5:8" ht="15.75" customHeight="1" x14ac:dyDescent="0.35">
      <c r="E116" s="76" t="s">
        <v>47</v>
      </c>
      <c r="F116" s="77">
        <f t="shared" si="3"/>
        <v>74500000</v>
      </c>
      <c r="G116" s="77">
        <v>83200000</v>
      </c>
      <c r="H116" s="78">
        <v>0.22</v>
      </c>
    </row>
    <row r="117" spans="5:8" ht="15.75" customHeight="1" x14ac:dyDescent="0.35">
      <c r="E117" s="76" t="s">
        <v>47</v>
      </c>
      <c r="F117" s="77">
        <f t="shared" si="3"/>
        <v>83200000</v>
      </c>
      <c r="G117" s="77">
        <v>95600000</v>
      </c>
      <c r="H117" s="78">
        <v>0.23</v>
      </c>
    </row>
    <row r="118" spans="5:8" ht="15.75" customHeight="1" x14ac:dyDescent="0.35">
      <c r="E118" s="76" t="s">
        <v>47</v>
      </c>
      <c r="F118" s="77">
        <f t="shared" si="3"/>
        <v>95600000</v>
      </c>
      <c r="G118" s="77">
        <v>110000000</v>
      </c>
      <c r="H118" s="78">
        <v>0.24</v>
      </c>
    </row>
    <row r="119" spans="5:8" ht="15.75" customHeight="1" x14ac:dyDescent="0.35">
      <c r="E119" s="76" t="s">
        <v>47</v>
      </c>
      <c r="F119" s="77">
        <f t="shared" si="3"/>
        <v>110000000</v>
      </c>
      <c r="G119" s="77">
        <v>134000000</v>
      </c>
      <c r="H119" s="78">
        <v>0.25</v>
      </c>
    </row>
    <row r="120" spans="5:8" ht="15.75" customHeight="1" x14ac:dyDescent="0.35">
      <c r="E120" s="76" t="s">
        <v>47</v>
      </c>
      <c r="F120" s="77">
        <f t="shared" si="3"/>
        <v>134000000</v>
      </c>
      <c r="G120" s="77">
        <v>169000000</v>
      </c>
      <c r="H120" s="78">
        <v>0.26</v>
      </c>
    </row>
    <row r="121" spans="5:8" ht="15.75" customHeight="1" x14ac:dyDescent="0.35">
      <c r="E121" s="76" t="s">
        <v>47</v>
      </c>
      <c r="F121" s="77">
        <f t="shared" si="3"/>
        <v>169000000</v>
      </c>
      <c r="G121" s="77">
        <v>221000000</v>
      </c>
      <c r="H121" s="78">
        <v>0.27</v>
      </c>
    </row>
    <row r="122" spans="5:8" ht="15.75" customHeight="1" x14ac:dyDescent="0.35">
      <c r="E122" s="76" t="s">
        <v>47</v>
      </c>
      <c r="F122" s="77">
        <f t="shared" si="3"/>
        <v>221000000</v>
      </c>
      <c r="G122" s="77">
        <v>390000000</v>
      </c>
      <c r="H122" s="78">
        <v>0.28000000000000003</v>
      </c>
    </row>
    <row r="123" spans="5:8" ht="15.75" customHeight="1" x14ac:dyDescent="0.35">
      <c r="E123" s="76" t="s">
        <v>47</v>
      </c>
      <c r="F123" s="77">
        <f t="shared" si="3"/>
        <v>390000000</v>
      </c>
      <c r="G123" s="77">
        <v>463000000</v>
      </c>
      <c r="H123" s="78">
        <v>0.28999999999999998</v>
      </c>
    </row>
    <row r="124" spans="5:8" ht="15.75" customHeight="1" x14ac:dyDescent="0.35">
      <c r="E124" s="76" t="s">
        <v>47</v>
      </c>
      <c r="F124" s="77">
        <f t="shared" si="3"/>
        <v>463000000</v>
      </c>
      <c r="G124" s="77">
        <v>561000000</v>
      </c>
      <c r="H124" s="78">
        <v>0.3</v>
      </c>
    </row>
    <row r="125" spans="5:8" ht="15.75" customHeight="1" x14ac:dyDescent="0.35">
      <c r="E125" s="76" t="s">
        <v>47</v>
      </c>
      <c r="F125" s="77">
        <f t="shared" si="3"/>
        <v>561000000</v>
      </c>
      <c r="G125" s="77">
        <v>709000000</v>
      </c>
      <c r="H125" s="78">
        <v>0.31</v>
      </c>
    </row>
    <row r="126" spans="5:8" ht="15.75" customHeight="1" x14ac:dyDescent="0.35">
      <c r="E126" s="76" t="s">
        <v>47</v>
      </c>
      <c r="F126" s="77">
        <f t="shared" si="3"/>
        <v>709000000</v>
      </c>
      <c r="G126" s="77">
        <v>965000000</v>
      </c>
      <c r="H126" s="78">
        <v>0.32</v>
      </c>
    </row>
    <row r="127" spans="5:8" ht="15.75" customHeight="1" x14ac:dyDescent="0.35">
      <c r="E127" s="76" t="s">
        <v>47</v>
      </c>
      <c r="F127" s="77">
        <f t="shared" si="3"/>
        <v>965000000</v>
      </c>
      <c r="G127" s="77">
        <v>1419000000</v>
      </c>
      <c r="H127" s="78">
        <v>0.33</v>
      </c>
    </row>
    <row r="128" spans="5:8" ht="15.75" customHeight="1" x14ac:dyDescent="0.35">
      <c r="E128" s="76" t="s">
        <v>47</v>
      </c>
      <c r="F128" s="77">
        <f t="shared" si="3"/>
        <v>1419000000</v>
      </c>
      <c r="G128" s="77">
        <v>99999999999</v>
      </c>
      <c r="H128" s="78">
        <v>0.34</v>
      </c>
    </row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3">
    <mergeCell ref="A2:C2"/>
    <mergeCell ref="E2:H2"/>
    <mergeCell ref="J2:M2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HeadingPairs>
  <TitlesOfParts>
    <vt:vector size="9" baseType="lpstr">
      <vt:lpstr>PPh21 GROSS</vt:lpstr>
      <vt:lpstr>PPh21 GROSS-UP</vt:lpstr>
      <vt:lpstr>Referensi</vt:lpstr>
      <vt:lpstr>'PPh21 GROSS'!Print_Area</vt:lpstr>
      <vt:lpstr>rgKategori</vt:lpstr>
      <vt:lpstr>rgPenghasilanMulai</vt:lpstr>
      <vt:lpstr>rgPenghasilanSampai</vt:lpstr>
      <vt:lpstr>rgTarifPajak</vt:lpstr>
      <vt:lpstr>tabPTKP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Henri Kistono</dc:creator>
  <cp:lastModifiedBy>Wahyu Diansyah</cp:lastModifiedBy>
  <cp:lastPrinted>2026-08-08T06:30:02Z</cp:lastPrinted>
  <dcterms:created xsi:type="dcterms:W3CDTF">2024-01-05T01:57:23Z</dcterms:created>
  <dcterms:modified xsi:type="dcterms:W3CDTF">2026-08-08T06:33:27Z</dcterms:modified>
</cp:coreProperties>
</file>