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03346e95a27af5f/Documents/myportofolio/Portofolio/"/>
    </mc:Choice>
  </mc:AlternateContent>
  <xr:revisionPtr revIDLastSave="9" documentId="8_{95E7E419-BBC8-491C-A26D-8098DCBD9DD7}" xr6:coauthVersionLast="47" xr6:coauthVersionMax="47" xr10:uidLastSave="{92D03C5D-0A40-4C7D-B052-65CA4D39323D}"/>
  <workbookProtection workbookAlgorithmName="SHA-512" workbookHashValue="pvwB6ZYvCGHjXYXJuX5PekDNMceDhzRn5HRwHi0oOJN/gtADWsku5dnljKb+HAm5LXmDXqZzkL7i4LA8s3ZyaA==" workbookSaltValue="xPpKvBVBYRzuk+L0MISoIw==" workbookSpinCount="100000" lockStructure="1"/>
  <bookViews>
    <workbookView xWindow="-110" yWindow="-110" windowWidth="19420" windowHeight="10300" tabRatio="716" activeTab="2" xr2:uid="{93ED4C3E-5EC6-4C2F-A477-AF593FC141BA}"/>
  </bookViews>
  <sheets>
    <sheet name="Dashboard" sheetId="35" r:id="rId1"/>
    <sheet name="Monitoring Contract" sheetId="24" r:id="rId2"/>
    <sheet name="Data Employee" sheetId="3" r:id="rId3"/>
    <sheet name="Data Karyawan (2)" sheetId="18" state="hidden" r:id="rId4"/>
    <sheet name="Data Family" sheetId="26" r:id="rId5"/>
    <sheet name="Reference" sheetId="29" r:id="rId6"/>
    <sheet name="PIVOT" sheetId="33" r:id="rId7"/>
  </sheets>
  <definedNames>
    <definedName name="_xlnm._FilterDatabase" localSheetId="2" hidden="1">'Data Employee'!$A$2:$AG$402</definedName>
    <definedName name="_xlnm._FilterDatabase" localSheetId="3" hidden="1">'Data Karyawan (2)'!$A$2:$AF$312</definedName>
    <definedName name="Active">Reference!$R$2:$R$6</definedName>
    <definedName name="BachS1">Reference!$K$25:$K$39</definedName>
    <definedName name="DATA">'Data Employee'!$A$2:$AG$247</definedName>
    <definedName name="Degree3">Reference!$K$10:$K$24</definedName>
    <definedName name="Dept_CM">Reference!$S$20:$S$21</definedName>
    <definedName name="Dept_Corporate">Reference!$S$31:$S$34</definedName>
    <definedName name="Dept_HRD">Reference!$S$19</definedName>
    <definedName name="Dept_IT">Reference!$S$28</definedName>
    <definedName name="Dept_Legal">Reference!$S$30</definedName>
    <definedName name="Dept_Management">Reference!$S$16:$S$18</definedName>
    <definedName name="Dept_MFG">Reference!$S$25:$S$27</definedName>
    <definedName name="Dept_RND">Reference!$S$29</definedName>
    <definedName name="Dept_SCM">Reference!$S$22:$S$24</definedName>
    <definedName name="Dept_TopMan">Reference!$S$35</definedName>
    <definedName name="DeptList">INDIRECT(_xlfn.XLOOKUP(INDEX('Data Employee'!$T:$T,ROW()),Reference!$AA$2:$AA$11,Reference!$AB$2:$AB$11))</definedName>
    <definedName name="DocS3">Reference!$K$55:$K$69</definedName>
    <definedName name="HighSchool">Reference!$K$2:$K$3</definedName>
    <definedName name="HR">Reference!$S$19</definedName>
    <definedName name="Pemotong_Divison">#N/A</definedName>
    <definedName name="Pemotong_Job_Level">#N/A</definedName>
    <definedName name="Range_Admin_ACC">Reference!$H$40</definedName>
    <definedName name="Range_Admin_FIN">Reference!$H$41</definedName>
    <definedName name="Range_Admin_HR">Reference!$H$19</definedName>
    <definedName name="Range_Admin_PPIC">Reference!$H$80:$H$81</definedName>
    <definedName name="Range_Admin_Prod">Reference!$H$54</definedName>
    <definedName name="Range_Admin_PURC">Reference!$H$82</definedName>
    <definedName name="Range_Admin_RND">Reference!$H$71</definedName>
    <definedName name="Range_Admin_Sales">Reference!$H$2</definedName>
    <definedName name="Range_Admin_TAX">Reference!$H$42</definedName>
    <definedName name="Range_Admin_WRHS">Reference!$H$83</definedName>
    <definedName name="Range_Analytst_IT">Reference!$H$31:$H$33</definedName>
    <definedName name="Range_Chairman">Reference!$H$12</definedName>
    <definedName name="Range_Commissioner">Reference!$H$13</definedName>
    <definedName name="Range_GM">Reference!$H$43</definedName>
    <definedName name="Range_Intern_HR">Reference!$H$20</definedName>
    <definedName name="Range_Intern_MAR">Reference!$H$3</definedName>
    <definedName name="Range_Intern_Prod">Reference!$H$55</definedName>
    <definedName name="Range_Intern_PURC">Reference!$H$84</definedName>
    <definedName name="Range_Intern_Sales">Reference!$H$4</definedName>
    <definedName name="Range_Intern_WRHS">Reference!$H$85</definedName>
    <definedName name="Range_Lead_Prod">Reference!$H$56:$H$57</definedName>
    <definedName name="Range_Lead_WRHS">Reference!$H$86</definedName>
    <definedName name="Range_MNGR_Audit">Reference!$H$14</definedName>
    <definedName name="Range_MNGR_FIN">Reference!$H$44</definedName>
    <definedName name="Range_MNGR_HR">Reference!$H$21</definedName>
    <definedName name="Range_MNGR_IT">Reference!$H$29</definedName>
    <definedName name="Range_MNGR_Legal">Reference!$H$39</definedName>
    <definedName name="Range_MNGR_MAR">Reference!$H$5</definedName>
    <definedName name="Range_MNGR_Nomi">Reference!$H$15</definedName>
    <definedName name="Range_MNGR_PPIC">Reference!$H$87</definedName>
    <definedName name="Range_MNGR_Prod">Reference!$H$58</definedName>
    <definedName name="Range_MNGR_PURC">Reference!$H$88</definedName>
    <definedName name="Range_MNGR_QA">Reference!$H$59</definedName>
    <definedName name="Range_MNGR_QE">Reference!$H$60</definedName>
    <definedName name="Range_MNGR_RND">Reference!$H$72</definedName>
    <definedName name="Range_MNGR_Sales">Reference!$H$6</definedName>
    <definedName name="Range_MNGR_WRHS">Reference!$H$89</definedName>
    <definedName name="Range_Officer_ACC">Reference!$H$45</definedName>
    <definedName name="Range_Officer_Corporate">Reference!$H$16</definedName>
    <definedName name="Range_Officer_FIN">Reference!$H$46</definedName>
    <definedName name="Range_Officer_HR">Reference!$H$22:$H$24</definedName>
    <definedName name="Range_Officer_Legal">Reference!$H$36</definedName>
    <definedName name="Range_Officer_MAR">Reference!$H$7</definedName>
    <definedName name="Range_Officer_PPIC">Reference!$H$90:$H$91</definedName>
    <definedName name="Range_Officer_PURC">Reference!$H$92</definedName>
    <definedName name="Range_Officer_RND">Reference!$H$73</definedName>
    <definedName name="Range_Officer_Sales">Reference!$H$8</definedName>
    <definedName name="Range_Officer_TAX">Reference!$H$47</definedName>
    <definedName name="Range_Ofiicer_IT">Reference!$H$30</definedName>
    <definedName name="Range_OP_Prod">Reference!$H$61</definedName>
    <definedName name="Range_OP_QA">Reference!$H$62:$H$63</definedName>
    <definedName name="Range_OP_QE">Reference!$H$64</definedName>
    <definedName name="Range_OP_WRHS">Reference!$H$93:$H$94</definedName>
    <definedName name="Range_Senior_PPIC">Reference!$H$95</definedName>
    <definedName name="Range_Senior_QE">Reference!$H$65:$H$67</definedName>
    <definedName name="Range_Senior_RND">Reference!$H$74:$H$75</definedName>
    <definedName name="Range_SPV_ACC">Reference!$H$51</definedName>
    <definedName name="Range_SPV_FIN">Reference!$H$52</definedName>
    <definedName name="Range_SPV_HR">Reference!$H$28</definedName>
    <definedName name="Range_SPV_IT">Reference!$H$35</definedName>
    <definedName name="Range_SPV_Legal">Reference!$H$38</definedName>
    <definedName name="Range_SPV_MAR">Reference!$H$10</definedName>
    <definedName name="Range_SPV_PPIC">Reference!$H$98:$H$100</definedName>
    <definedName name="Range_SPV_Prod">Reference!$H$68</definedName>
    <definedName name="Range_SPV_PURC">Reference!$H$101</definedName>
    <definedName name="Range_SPV_QA">Reference!$H$69</definedName>
    <definedName name="Range_SPV_QE">Reference!$H$70</definedName>
    <definedName name="Range_SPV_RND">Reference!$H$78:$H$79</definedName>
    <definedName name="Range_SPV_Sales">Reference!$H$11</definedName>
    <definedName name="Range_SPV_TAX">Reference!$H$53</definedName>
    <definedName name="Range_SPV_WRHS">Reference!$H$102</definedName>
    <definedName name="Range_Staff_ACC">Reference!$H$48</definedName>
    <definedName name="Range_Staff_CorporateAudit">Reference!$H$17</definedName>
    <definedName name="Range_Staff_CorporateNomi">Reference!$H$18</definedName>
    <definedName name="Range_Staff_FIN">Reference!$H$49</definedName>
    <definedName name="Range_Staff_HR">Reference!$H$25:$H$27</definedName>
    <definedName name="Range_Staff_IT">Reference!$H$34</definedName>
    <definedName name="Range_Staff_Legal">Reference!$H$37</definedName>
    <definedName name="Range_Staff_MAR">Reference!$H$9</definedName>
    <definedName name="Range_Staff_PURC">Reference!$H$96</definedName>
    <definedName name="Range_Staff_RND">Reference!$H$76:$H$77</definedName>
    <definedName name="Range_Staff_TAX">Reference!$H$50</definedName>
    <definedName name="Range_Staff_WRHS">Reference!$H$97</definedName>
    <definedName name="Range_TopMan">Reference!$H$103</definedName>
    <definedName name="Stat_Active">Reference!$S$2:$S$6</definedName>
    <definedName name="Stat_Suspend">Reference!$S$7:$S$9</definedName>
    <definedName name="Stat_Terminated">Reference!$S$10:$S$13</definedName>
    <definedName name="Suspend">Reference!$R$7:$R$9</definedName>
    <definedName name="Terminated">Reference!$R$10:$R$13</definedName>
    <definedName name="Vocational">Reference!$K$4:$K$9</definedName>
  </definedNames>
  <calcPr calcId="191029"/>
  <pivotCaches>
    <pivotCache cacheId="3" r:id="rId8"/>
    <pivotCache cacheId="4" r:id="rId9"/>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P2" i="3"/>
  <c r="Q2" i="3"/>
  <c r="X2" i="3"/>
  <c r="O3" i="3"/>
  <c r="P3" i="3"/>
  <c r="Q3" i="3"/>
  <c r="X3" i="3"/>
  <c r="O4" i="3"/>
  <c r="P4" i="3"/>
  <c r="Q4" i="3"/>
  <c r="X4" i="3"/>
  <c r="O5" i="3"/>
  <c r="P5" i="3"/>
  <c r="Q5" i="3"/>
  <c r="X5" i="3"/>
  <c r="O6" i="3"/>
  <c r="P6" i="3"/>
  <c r="Q6" i="3"/>
  <c r="X6" i="3"/>
  <c r="O7" i="3"/>
  <c r="P7" i="3"/>
  <c r="Q7" i="3"/>
  <c r="X7" i="3"/>
  <c r="O8" i="3"/>
  <c r="P8" i="3"/>
  <c r="Q8" i="3"/>
  <c r="X8" i="3"/>
  <c r="O9" i="3"/>
  <c r="P9" i="3"/>
  <c r="Q9" i="3"/>
  <c r="X9" i="3"/>
  <c r="O10" i="3"/>
  <c r="P10" i="3"/>
  <c r="Q10" i="3"/>
  <c r="X10" i="3"/>
  <c r="O11" i="3"/>
  <c r="P11" i="3"/>
  <c r="Q11" i="3"/>
  <c r="X11" i="3"/>
  <c r="O12" i="3"/>
  <c r="P12" i="3"/>
  <c r="Q12" i="3"/>
  <c r="X12" i="3"/>
  <c r="O13" i="3"/>
  <c r="P13" i="3"/>
  <c r="Q13" i="3"/>
  <c r="X13" i="3"/>
  <c r="O14" i="3"/>
  <c r="P14" i="3"/>
  <c r="Q14" i="3"/>
  <c r="X14" i="3"/>
  <c r="O15" i="3"/>
  <c r="P15" i="3"/>
  <c r="Q15" i="3"/>
  <c r="X15" i="3"/>
  <c r="O16" i="3"/>
  <c r="P16" i="3"/>
  <c r="Q16" i="3"/>
  <c r="X16" i="3"/>
  <c r="O17" i="3"/>
  <c r="P17" i="3"/>
  <c r="Q17" i="3"/>
  <c r="X17" i="3"/>
  <c r="O18" i="3"/>
  <c r="P18" i="3"/>
  <c r="Q18" i="3"/>
  <c r="X18" i="3"/>
  <c r="O19" i="3"/>
  <c r="P19" i="3"/>
  <c r="Q19" i="3"/>
  <c r="X19" i="3"/>
  <c r="O20" i="3"/>
  <c r="P20" i="3"/>
  <c r="Q20" i="3"/>
  <c r="X20" i="3"/>
  <c r="O21" i="3"/>
  <c r="P21" i="3"/>
  <c r="Q21" i="3"/>
  <c r="X21" i="3"/>
  <c r="O22" i="3"/>
  <c r="P22" i="3"/>
  <c r="Q22" i="3"/>
  <c r="X22" i="3"/>
  <c r="O23" i="3"/>
  <c r="P23" i="3"/>
  <c r="Q23" i="3"/>
  <c r="X23" i="3"/>
  <c r="O24" i="3"/>
  <c r="P24" i="3"/>
  <c r="Q24" i="3"/>
  <c r="X24" i="3"/>
  <c r="O25" i="3"/>
  <c r="P25" i="3"/>
  <c r="Q25" i="3"/>
  <c r="X25" i="3"/>
  <c r="O26" i="3"/>
  <c r="P26" i="3"/>
  <c r="Q26" i="3"/>
  <c r="X26" i="3"/>
  <c r="O27" i="3"/>
  <c r="P27" i="3"/>
  <c r="Q27" i="3"/>
  <c r="X27" i="3"/>
  <c r="O28" i="3"/>
  <c r="P28" i="3"/>
  <c r="Q28" i="3"/>
  <c r="X28" i="3"/>
  <c r="O29" i="3"/>
  <c r="P29" i="3"/>
  <c r="Q29" i="3"/>
  <c r="X29" i="3"/>
  <c r="O30" i="3"/>
  <c r="P30" i="3"/>
  <c r="Q30" i="3"/>
  <c r="X30" i="3"/>
  <c r="O31" i="3"/>
  <c r="P31" i="3"/>
  <c r="Q31" i="3"/>
  <c r="X31" i="3"/>
  <c r="O32" i="3"/>
  <c r="P32" i="3"/>
  <c r="Q32" i="3"/>
  <c r="X32" i="3"/>
  <c r="O33" i="3"/>
  <c r="P33" i="3"/>
  <c r="Q33" i="3"/>
  <c r="X33" i="3"/>
  <c r="O34" i="3"/>
  <c r="P34" i="3"/>
  <c r="Q34" i="3"/>
  <c r="X34" i="3"/>
  <c r="O35" i="3"/>
  <c r="P35" i="3"/>
  <c r="Q35" i="3"/>
  <c r="X35" i="3"/>
  <c r="O36" i="3"/>
  <c r="P36" i="3"/>
  <c r="Q36" i="3"/>
  <c r="X36" i="3"/>
  <c r="O37" i="3"/>
  <c r="P37" i="3"/>
  <c r="Q37" i="3"/>
  <c r="X37" i="3"/>
  <c r="O38" i="3"/>
  <c r="P38" i="3"/>
  <c r="Q38" i="3"/>
  <c r="X38" i="3"/>
  <c r="O39" i="3"/>
  <c r="P39" i="3"/>
  <c r="Q39" i="3"/>
  <c r="X39" i="3"/>
  <c r="O40" i="3"/>
  <c r="P40" i="3"/>
  <c r="Q40" i="3"/>
  <c r="X40" i="3"/>
  <c r="O41" i="3"/>
  <c r="P41" i="3"/>
  <c r="Q41" i="3"/>
  <c r="X41" i="3"/>
  <c r="O42" i="3"/>
  <c r="P42" i="3"/>
  <c r="Q42" i="3"/>
  <c r="X42" i="3"/>
  <c r="O43" i="3"/>
  <c r="P43" i="3"/>
  <c r="Q43" i="3"/>
  <c r="X43" i="3"/>
  <c r="O44" i="3"/>
  <c r="P44" i="3"/>
  <c r="Q44" i="3"/>
  <c r="X44" i="3"/>
  <c r="O45" i="3"/>
  <c r="P45" i="3"/>
  <c r="Q45" i="3"/>
  <c r="X45" i="3"/>
  <c r="O46" i="3"/>
  <c r="P46" i="3"/>
  <c r="Q46" i="3"/>
  <c r="X46" i="3"/>
  <c r="O47" i="3"/>
  <c r="P47" i="3"/>
  <c r="Q47" i="3"/>
  <c r="X47" i="3"/>
  <c r="O48" i="3"/>
  <c r="P48" i="3"/>
  <c r="Q48" i="3"/>
  <c r="X48" i="3"/>
  <c r="O49" i="3"/>
  <c r="P49" i="3"/>
  <c r="Q49" i="3"/>
  <c r="X49" i="3"/>
  <c r="O50" i="3"/>
  <c r="P50" i="3"/>
  <c r="Q50" i="3"/>
  <c r="X50" i="3"/>
  <c r="O51" i="3"/>
  <c r="P51" i="3"/>
  <c r="Q51" i="3"/>
  <c r="X51" i="3"/>
  <c r="O52" i="3"/>
  <c r="P52" i="3"/>
  <c r="Q52" i="3"/>
  <c r="X52" i="3"/>
  <c r="O53" i="3"/>
  <c r="P53" i="3"/>
  <c r="Q53" i="3"/>
  <c r="X53" i="3"/>
  <c r="O54" i="3"/>
  <c r="P54" i="3"/>
  <c r="Q54" i="3"/>
  <c r="X54" i="3"/>
  <c r="O55" i="3"/>
  <c r="P55" i="3"/>
  <c r="Q55" i="3"/>
  <c r="X55" i="3"/>
  <c r="O56" i="3"/>
  <c r="P56" i="3"/>
  <c r="Q56" i="3"/>
  <c r="X56" i="3"/>
  <c r="O57" i="3"/>
  <c r="P57" i="3"/>
  <c r="Q57" i="3"/>
  <c r="X57" i="3"/>
  <c r="O58" i="3"/>
  <c r="P58" i="3"/>
  <c r="Q58" i="3"/>
  <c r="X58" i="3"/>
  <c r="O59" i="3"/>
  <c r="P59" i="3"/>
  <c r="Q59" i="3"/>
  <c r="X59" i="3"/>
  <c r="O60" i="3"/>
  <c r="P60" i="3"/>
  <c r="Q60" i="3"/>
  <c r="X60" i="3"/>
  <c r="O61" i="3"/>
  <c r="P61" i="3"/>
  <c r="Q61" i="3"/>
  <c r="X61" i="3"/>
  <c r="O62" i="3"/>
  <c r="P62" i="3"/>
  <c r="Q62" i="3"/>
  <c r="X62" i="3"/>
  <c r="O63" i="3"/>
  <c r="P63" i="3"/>
  <c r="Q63" i="3"/>
  <c r="X63" i="3"/>
  <c r="O64" i="3"/>
  <c r="P64" i="3"/>
  <c r="Q64" i="3"/>
  <c r="X64" i="3"/>
  <c r="O65" i="3"/>
  <c r="P65" i="3"/>
  <c r="Q65" i="3"/>
  <c r="X65" i="3"/>
  <c r="O66" i="3"/>
  <c r="P66" i="3"/>
  <c r="Q66" i="3"/>
  <c r="X66" i="3"/>
  <c r="O67" i="3"/>
  <c r="P67" i="3"/>
  <c r="Q67" i="3"/>
  <c r="X67" i="3"/>
  <c r="O68" i="3"/>
  <c r="P68" i="3"/>
  <c r="Q68" i="3"/>
  <c r="X68" i="3"/>
  <c r="O69" i="3"/>
  <c r="P69" i="3"/>
  <c r="Q69" i="3"/>
  <c r="X69" i="3"/>
  <c r="O70" i="3"/>
  <c r="P70" i="3"/>
  <c r="Q70" i="3"/>
  <c r="X70" i="3"/>
  <c r="O71" i="3"/>
  <c r="P71" i="3"/>
  <c r="Q71" i="3"/>
  <c r="X71" i="3"/>
  <c r="O72" i="3"/>
  <c r="P72" i="3"/>
  <c r="Q72" i="3"/>
  <c r="X72" i="3"/>
  <c r="O73" i="3"/>
  <c r="P73" i="3"/>
  <c r="Q73" i="3"/>
  <c r="X73" i="3"/>
  <c r="O74" i="3"/>
  <c r="P74" i="3"/>
  <c r="Q74" i="3"/>
  <c r="X74" i="3"/>
  <c r="O75" i="3"/>
  <c r="P75" i="3"/>
  <c r="Q75" i="3"/>
  <c r="X75" i="3"/>
  <c r="O76" i="3"/>
  <c r="P76" i="3"/>
  <c r="Q76" i="3"/>
  <c r="X76" i="3"/>
  <c r="O77" i="3"/>
  <c r="P77" i="3"/>
  <c r="Q77" i="3"/>
  <c r="X77" i="3"/>
  <c r="O78" i="3"/>
  <c r="P78" i="3"/>
  <c r="Q78" i="3"/>
  <c r="X78" i="3"/>
  <c r="O79" i="3"/>
  <c r="P79" i="3"/>
  <c r="Q79" i="3"/>
  <c r="X79" i="3"/>
  <c r="O80" i="3"/>
  <c r="P80" i="3"/>
  <c r="Q80" i="3"/>
  <c r="X80" i="3"/>
  <c r="O81" i="3"/>
  <c r="P81" i="3"/>
  <c r="Q81" i="3"/>
  <c r="X81" i="3"/>
  <c r="O82" i="3"/>
  <c r="P82" i="3"/>
  <c r="Q82" i="3"/>
  <c r="X82" i="3"/>
  <c r="O83" i="3"/>
  <c r="P83" i="3"/>
  <c r="Q83" i="3"/>
  <c r="X83" i="3"/>
  <c r="O84" i="3"/>
  <c r="P84" i="3"/>
  <c r="Q84" i="3"/>
  <c r="X84" i="3"/>
  <c r="O85" i="3"/>
  <c r="P85" i="3"/>
  <c r="Q85" i="3"/>
  <c r="X85" i="3"/>
  <c r="O86" i="3"/>
  <c r="P86" i="3"/>
  <c r="Q86" i="3"/>
  <c r="X86" i="3"/>
  <c r="O87" i="3"/>
  <c r="P87" i="3"/>
  <c r="Q87" i="3"/>
  <c r="X87" i="3"/>
  <c r="O88" i="3"/>
  <c r="P88" i="3"/>
  <c r="Q88" i="3"/>
  <c r="X88" i="3"/>
  <c r="O89" i="3"/>
  <c r="P89" i="3"/>
  <c r="Q89" i="3"/>
  <c r="X89" i="3"/>
  <c r="O90" i="3"/>
  <c r="P90" i="3"/>
  <c r="Q90" i="3"/>
  <c r="X90" i="3"/>
  <c r="O91" i="3"/>
  <c r="P91" i="3"/>
  <c r="Q91" i="3"/>
  <c r="X91" i="3"/>
  <c r="O92" i="3"/>
  <c r="P92" i="3"/>
  <c r="Q92" i="3"/>
  <c r="X92" i="3"/>
  <c r="O93" i="3"/>
  <c r="P93" i="3"/>
  <c r="Q93" i="3"/>
  <c r="X93" i="3"/>
  <c r="O94" i="3"/>
  <c r="P94" i="3"/>
  <c r="Q94" i="3"/>
  <c r="X94" i="3"/>
  <c r="O95" i="3"/>
  <c r="P95" i="3"/>
  <c r="Q95" i="3"/>
  <c r="X95" i="3"/>
  <c r="O96" i="3"/>
  <c r="P96" i="3"/>
  <c r="Q96" i="3"/>
  <c r="X96" i="3"/>
  <c r="O97" i="3"/>
  <c r="P97" i="3"/>
  <c r="Q97" i="3"/>
  <c r="X97" i="3"/>
  <c r="O98" i="3"/>
  <c r="P98" i="3"/>
  <c r="Q98" i="3"/>
  <c r="X98" i="3"/>
  <c r="O99" i="3"/>
  <c r="P99" i="3"/>
  <c r="Q99" i="3"/>
  <c r="X99" i="3"/>
  <c r="O100" i="3"/>
  <c r="P100" i="3"/>
  <c r="Q100" i="3"/>
  <c r="X100" i="3"/>
  <c r="O101" i="3"/>
  <c r="P101" i="3"/>
  <c r="Q101" i="3"/>
  <c r="X101" i="3"/>
  <c r="O102" i="3"/>
  <c r="P102" i="3"/>
  <c r="Q102" i="3"/>
  <c r="X102" i="3"/>
  <c r="O103" i="3"/>
  <c r="P103" i="3"/>
  <c r="Q103" i="3"/>
  <c r="X103" i="3"/>
  <c r="O104" i="3"/>
  <c r="P104" i="3"/>
  <c r="Q104" i="3"/>
  <c r="X104" i="3"/>
  <c r="O105" i="3"/>
  <c r="P105" i="3"/>
  <c r="Q105" i="3"/>
  <c r="X105" i="3"/>
  <c r="O106" i="3"/>
  <c r="P106" i="3"/>
  <c r="Q106" i="3"/>
  <c r="X106" i="3"/>
  <c r="O107" i="3"/>
  <c r="P107" i="3"/>
  <c r="Q107" i="3"/>
  <c r="X107" i="3"/>
  <c r="O108" i="3"/>
  <c r="P108" i="3"/>
  <c r="Q108" i="3"/>
  <c r="X108" i="3"/>
  <c r="O109" i="3"/>
  <c r="P109" i="3"/>
  <c r="Q109" i="3"/>
  <c r="X109" i="3"/>
  <c r="O110" i="3"/>
  <c r="P110" i="3"/>
  <c r="Q110" i="3"/>
  <c r="X110" i="3"/>
  <c r="O111" i="3"/>
  <c r="P111" i="3"/>
  <c r="Q111" i="3"/>
  <c r="X111" i="3"/>
  <c r="O112" i="3"/>
  <c r="P112" i="3"/>
  <c r="Q112" i="3"/>
  <c r="X112" i="3"/>
  <c r="O113" i="3"/>
  <c r="P113" i="3"/>
  <c r="Q113" i="3"/>
  <c r="X113" i="3"/>
  <c r="O114" i="3"/>
  <c r="P114" i="3"/>
  <c r="Q114" i="3"/>
  <c r="X114" i="3"/>
  <c r="O115" i="3"/>
  <c r="P115" i="3"/>
  <c r="Q115" i="3"/>
  <c r="X115" i="3"/>
  <c r="O116" i="3"/>
  <c r="P116" i="3"/>
  <c r="Q116" i="3"/>
  <c r="X116" i="3"/>
  <c r="O117" i="3"/>
  <c r="P117" i="3"/>
  <c r="Q117" i="3"/>
  <c r="X117" i="3"/>
  <c r="O118" i="3"/>
  <c r="P118" i="3"/>
  <c r="Q118" i="3"/>
  <c r="X118" i="3"/>
  <c r="O119" i="3"/>
  <c r="P119" i="3"/>
  <c r="Q119" i="3"/>
  <c r="X119" i="3"/>
  <c r="O120" i="3"/>
  <c r="P120" i="3"/>
  <c r="Q120" i="3"/>
  <c r="X120" i="3"/>
  <c r="O121" i="3"/>
  <c r="P121" i="3"/>
  <c r="Q121" i="3"/>
  <c r="X121" i="3"/>
  <c r="O122" i="3"/>
  <c r="P122" i="3"/>
  <c r="Q122" i="3"/>
  <c r="X122" i="3"/>
  <c r="O123" i="3"/>
  <c r="P123" i="3"/>
  <c r="Q123" i="3"/>
  <c r="X123" i="3"/>
  <c r="O124" i="3"/>
  <c r="P124" i="3"/>
  <c r="Q124" i="3"/>
  <c r="X124" i="3"/>
  <c r="O125" i="3"/>
  <c r="P125" i="3"/>
  <c r="Q125" i="3"/>
  <c r="X125" i="3"/>
  <c r="O126" i="3"/>
  <c r="P126" i="3"/>
  <c r="Q126" i="3"/>
  <c r="X126" i="3"/>
  <c r="O127" i="3"/>
  <c r="P127" i="3"/>
  <c r="Q127" i="3"/>
  <c r="X127" i="3"/>
  <c r="O128" i="3"/>
  <c r="P128" i="3"/>
  <c r="Q128" i="3"/>
  <c r="X128" i="3"/>
  <c r="O129" i="3"/>
  <c r="P129" i="3"/>
  <c r="Q129" i="3"/>
  <c r="X129" i="3"/>
  <c r="O130" i="3"/>
  <c r="P130" i="3"/>
  <c r="Q130" i="3"/>
  <c r="X130" i="3"/>
  <c r="O131" i="3"/>
  <c r="P131" i="3"/>
  <c r="Q131" i="3"/>
  <c r="X131" i="3"/>
  <c r="O132" i="3"/>
  <c r="P132" i="3"/>
  <c r="Q132" i="3"/>
  <c r="X132" i="3"/>
  <c r="O133" i="3"/>
  <c r="P133" i="3"/>
  <c r="Q133" i="3"/>
  <c r="X133" i="3"/>
  <c r="O134" i="3"/>
  <c r="P134" i="3"/>
  <c r="Q134" i="3"/>
  <c r="X134" i="3"/>
  <c r="O135" i="3"/>
  <c r="P135" i="3"/>
  <c r="Q135" i="3"/>
  <c r="X135" i="3"/>
  <c r="O136" i="3"/>
  <c r="P136" i="3"/>
  <c r="Q136" i="3"/>
  <c r="X136" i="3"/>
  <c r="O137" i="3"/>
  <c r="P137" i="3"/>
  <c r="Q137" i="3"/>
  <c r="X137" i="3"/>
  <c r="O138" i="3"/>
  <c r="P138" i="3"/>
  <c r="Q138" i="3"/>
  <c r="X138" i="3"/>
  <c r="O139" i="3"/>
  <c r="P139" i="3"/>
  <c r="Q139" i="3"/>
  <c r="X139" i="3"/>
  <c r="O140" i="3"/>
  <c r="P140" i="3"/>
  <c r="Q140" i="3"/>
  <c r="X140" i="3"/>
  <c r="O141" i="3"/>
  <c r="P141" i="3"/>
  <c r="Q141" i="3"/>
  <c r="X141" i="3"/>
  <c r="O142" i="3"/>
  <c r="P142" i="3"/>
  <c r="Q142" i="3"/>
  <c r="X142" i="3"/>
  <c r="O143" i="3"/>
  <c r="P143" i="3"/>
  <c r="Q143" i="3"/>
  <c r="X143" i="3"/>
  <c r="O144" i="3"/>
  <c r="P144" i="3"/>
  <c r="Q144" i="3"/>
  <c r="X144" i="3"/>
  <c r="O145" i="3"/>
  <c r="P145" i="3"/>
  <c r="Q145" i="3"/>
  <c r="X145" i="3"/>
  <c r="O146" i="3"/>
  <c r="P146" i="3"/>
  <c r="Q146" i="3"/>
  <c r="X146" i="3"/>
  <c r="O147" i="3"/>
  <c r="P147" i="3"/>
  <c r="Q147" i="3"/>
  <c r="X147" i="3"/>
  <c r="O148" i="3"/>
  <c r="P148" i="3"/>
  <c r="Q148" i="3"/>
  <c r="X148" i="3"/>
  <c r="O149" i="3"/>
  <c r="P149" i="3"/>
  <c r="Q149" i="3"/>
  <c r="X149" i="3"/>
  <c r="O150" i="3"/>
  <c r="P150" i="3"/>
  <c r="Q150" i="3"/>
  <c r="X150" i="3"/>
  <c r="O151" i="3"/>
  <c r="P151" i="3"/>
  <c r="Q151" i="3"/>
  <c r="X151" i="3"/>
  <c r="O152" i="3"/>
  <c r="P152" i="3"/>
  <c r="Q152" i="3"/>
  <c r="X152" i="3"/>
  <c r="O153" i="3"/>
  <c r="P153" i="3"/>
  <c r="Q153" i="3"/>
  <c r="X153" i="3"/>
  <c r="O154" i="3"/>
  <c r="P154" i="3"/>
  <c r="Q154" i="3"/>
  <c r="X154" i="3"/>
  <c r="O155" i="3"/>
  <c r="P155" i="3"/>
  <c r="Q155" i="3"/>
  <c r="X155" i="3"/>
  <c r="O156" i="3"/>
  <c r="P156" i="3"/>
  <c r="Q156" i="3"/>
  <c r="X156" i="3"/>
  <c r="O157" i="3"/>
  <c r="P157" i="3"/>
  <c r="Q157" i="3"/>
  <c r="X157" i="3"/>
  <c r="O158" i="3"/>
  <c r="P158" i="3"/>
  <c r="Q158" i="3"/>
  <c r="X158" i="3"/>
  <c r="O159" i="3"/>
  <c r="P159" i="3"/>
  <c r="Q159" i="3"/>
  <c r="X159" i="3"/>
  <c r="O160" i="3"/>
  <c r="P160" i="3"/>
  <c r="Q160" i="3"/>
  <c r="X160" i="3"/>
  <c r="O161" i="3"/>
  <c r="P161" i="3"/>
  <c r="Q161" i="3"/>
  <c r="X161" i="3"/>
  <c r="O162" i="3"/>
  <c r="P162" i="3"/>
  <c r="Q162" i="3"/>
  <c r="X162" i="3"/>
  <c r="O163" i="3"/>
  <c r="P163" i="3"/>
  <c r="Q163" i="3"/>
  <c r="X163" i="3"/>
  <c r="O164" i="3"/>
  <c r="P164" i="3"/>
  <c r="Q164" i="3"/>
  <c r="X164" i="3"/>
  <c r="O165" i="3"/>
  <c r="P165" i="3"/>
  <c r="Q165" i="3"/>
  <c r="X165" i="3"/>
  <c r="O166" i="3"/>
  <c r="P166" i="3"/>
  <c r="Q166" i="3"/>
  <c r="X166" i="3"/>
  <c r="O167" i="3"/>
  <c r="P167" i="3"/>
  <c r="Q167" i="3"/>
  <c r="X167" i="3"/>
  <c r="O168" i="3"/>
  <c r="P168" i="3"/>
  <c r="Q168" i="3"/>
  <c r="X168" i="3"/>
  <c r="O169" i="3"/>
  <c r="P169" i="3"/>
  <c r="Q169" i="3"/>
  <c r="X169" i="3"/>
  <c r="O170" i="3"/>
  <c r="P170" i="3"/>
  <c r="Q170" i="3"/>
  <c r="X170" i="3"/>
  <c r="O171" i="3"/>
  <c r="P171" i="3"/>
  <c r="Q171" i="3"/>
  <c r="X171" i="3"/>
  <c r="O172" i="3"/>
  <c r="P172" i="3"/>
  <c r="Q172" i="3"/>
  <c r="X172" i="3"/>
  <c r="O173" i="3"/>
  <c r="P173" i="3"/>
  <c r="Q173" i="3"/>
  <c r="X173" i="3"/>
  <c r="O174" i="3"/>
  <c r="P174" i="3"/>
  <c r="Q174" i="3"/>
  <c r="X174" i="3"/>
  <c r="O175" i="3"/>
  <c r="P175" i="3"/>
  <c r="Q175" i="3"/>
  <c r="X175" i="3"/>
  <c r="O176" i="3"/>
  <c r="P176" i="3"/>
  <c r="Q176" i="3"/>
  <c r="X176" i="3"/>
  <c r="O177" i="3"/>
  <c r="P177" i="3"/>
  <c r="Q177" i="3"/>
  <c r="X177" i="3"/>
  <c r="O178" i="3"/>
  <c r="P178" i="3"/>
  <c r="Q178" i="3"/>
  <c r="X178" i="3"/>
  <c r="O179" i="3"/>
  <c r="P179" i="3"/>
  <c r="Q179" i="3"/>
  <c r="X179" i="3"/>
  <c r="O180" i="3"/>
  <c r="P180" i="3"/>
  <c r="Q180" i="3"/>
  <c r="X180" i="3"/>
  <c r="O181" i="3"/>
  <c r="P181" i="3"/>
  <c r="Q181" i="3"/>
  <c r="X181" i="3"/>
  <c r="O182" i="3"/>
  <c r="P182" i="3"/>
  <c r="Q182" i="3"/>
  <c r="X182" i="3"/>
  <c r="O183" i="3"/>
  <c r="P183" i="3"/>
  <c r="Q183" i="3"/>
  <c r="X183" i="3"/>
  <c r="O184" i="3"/>
  <c r="P184" i="3"/>
  <c r="Q184" i="3"/>
  <c r="X184" i="3"/>
  <c r="O185" i="3"/>
  <c r="P185" i="3"/>
  <c r="Q185" i="3"/>
  <c r="X185" i="3"/>
  <c r="O186" i="3"/>
  <c r="P186" i="3"/>
  <c r="Q186" i="3"/>
  <c r="X186" i="3"/>
  <c r="O187" i="3"/>
  <c r="P187" i="3"/>
  <c r="Q187" i="3"/>
  <c r="X187" i="3"/>
  <c r="O188" i="3"/>
  <c r="P188" i="3"/>
  <c r="Q188" i="3"/>
  <c r="X188" i="3"/>
  <c r="O189" i="3"/>
  <c r="P189" i="3"/>
  <c r="Q189" i="3"/>
  <c r="X189" i="3"/>
  <c r="O190" i="3"/>
  <c r="P190" i="3"/>
  <c r="Q190" i="3"/>
  <c r="X190" i="3"/>
  <c r="O191" i="3"/>
  <c r="P191" i="3"/>
  <c r="Q191" i="3"/>
  <c r="X191" i="3"/>
  <c r="O192" i="3"/>
  <c r="P192" i="3"/>
  <c r="Q192" i="3"/>
  <c r="X192" i="3"/>
  <c r="O193" i="3"/>
  <c r="P193" i="3"/>
  <c r="Q193" i="3"/>
  <c r="X193" i="3"/>
  <c r="O194" i="3"/>
  <c r="P194" i="3"/>
  <c r="Q194" i="3"/>
  <c r="X194" i="3"/>
  <c r="O195" i="3"/>
  <c r="P195" i="3"/>
  <c r="Q195" i="3"/>
  <c r="X195" i="3"/>
  <c r="O196" i="3"/>
  <c r="P196" i="3"/>
  <c r="Q196" i="3"/>
  <c r="X196" i="3"/>
  <c r="O197" i="3"/>
  <c r="P197" i="3"/>
  <c r="Q197" i="3"/>
  <c r="X197" i="3"/>
  <c r="O198" i="3"/>
  <c r="P198" i="3"/>
  <c r="Q198" i="3"/>
  <c r="X198" i="3"/>
  <c r="O199" i="3"/>
  <c r="P199" i="3"/>
  <c r="Q199" i="3"/>
  <c r="X199" i="3"/>
  <c r="O200" i="3"/>
  <c r="P200" i="3"/>
  <c r="Q200" i="3"/>
  <c r="X200" i="3"/>
  <c r="O201" i="3"/>
  <c r="P201" i="3"/>
  <c r="Q201" i="3"/>
  <c r="X201" i="3"/>
  <c r="O202" i="3"/>
  <c r="P202" i="3"/>
  <c r="Q202" i="3"/>
  <c r="X202" i="3"/>
  <c r="O203" i="3"/>
  <c r="P203" i="3"/>
  <c r="Q203" i="3"/>
  <c r="X203" i="3"/>
  <c r="O204" i="3"/>
  <c r="P204" i="3"/>
  <c r="Q204" i="3"/>
  <c r="X204" i="3"/>
  <c r="O205" i="3"/>
  <c r="P205" i="3"/>
  <c r="Q205" i="3"/>
  <c r="X205" i="3"/>
  <c r="O206" i="3"/>
  <c r="P206" i="3"/>
  <c r="Q206" i="3"/>
  <c r="X206" i="3"/>
  <c r="O207" i="3"/>
  <c r="P207" i="3"/>
  <c r="Q207" i="3"/>
  <c r="X207" i="3"/>
  <c r="O208" i="3"/>
  <c r="P208" i="3"/>
  <c r="Q208" i="3"/>
  <c r="X208" i="3"/>
  <c r="O209" i="3"/>
  <c r="P209" i="3"/>
  <c r="Q209" i="3"/>
  <c r="X209" i="3"/>
  <c r="O210" i="3"/>
  <c r="P210" i="3"/>
  <c r="Q210" i="3"/>
  <c r="X210" i="3"/>
  <c r="O211" i="3"/>
  <c r="P211" i="3"/>
  <c r="Q211" i="3"/>
  <c r="X211" i="3"/>
  <c r="O212" i="3"/>
  <c r="P212" i="3"/>
  <c r="Q212" i="3"/>
  <c r="X212" i="3"/>
  <c r="O213" i="3"/>
  <c r="P213" i="3"/>
  <c r="Q213" i="3"/>
  <c r="X213" i="3"/>
  <c r="O214" i="3"/>
  <c r="P214" i="3"/>
  <c r="Q214" i="3"/>
  <c r="X214" i="3"/>
  <c r="O215" i="3"/>
  <c r="P215" i="3"/>
  <c r="Q215" i="3"/>
  <c r="X215" i="3"/>
  <c r="O216" i="3"/>
  <c r="P216" i="3"/>
  <c r="Q216" i="3"/>
  <c r="X216" i="3"/>
  <c r="O217" i="3"/>
  <c r="P217" i="3"/>
  <c r="Q217" i="3"/>
  <c r="X217" i="3"/>
  <c r="O218" i="3"/>
  <c r="P218" i="3"/>
  <c r="Q218" i="3"/>
  <c r="X218" i="3"/>
  <c r="O219" i="3"/>
  <c r="P219" i="3"/>
  <c r="Q219" i="3"/>
  <c r="X219" i="3"/>
  <c r="O220" i="3"/>
  <c r="P220" i="3"/>
  <c r="Q220" i="3"/>
  <c r="X220" i="3"/>
  <c r="O221" i="3"/>
  <c r="P221" i="3"/>
  <c r="Q221" i="3"/>
  <c r="X221" i="3"/>
  <c r="O222" i="3"/>
  <c r="P222" i="3"/>
  <c r="Q222" i="3"/>
  <c r="X222" i="3"/>
  <c r="O223" i="3"/>
  <c r="P223" i="3"/>
  <c r="Q223" i="3"/>
  <c r="X223" i="3"/>
  <c r="O224" i="3"/>
  <c r="P224" i="3"/>
  <c r="Q224" i="3"/>
  <c r="X224" i="3"/>
  <c r="O225" i="3"/>
  <c r="P225" i="3"/>
  <c r="Q225" i="3"/>
  <c r="X225" i="3"/>
  <c r="O226" i="3"/>
  <c r="P226" i="3"/>
  <c r="Q226" i="3"/>
  <c r="X226" i="3"/>
  <c r="O227" i="3"/>
  <c r="P227" i="3"/>
  <c r="Q227" i="3"/>
  <c r="X227" i="3"/>
  <c r="O228" i="3"/>
  <c r="P228" i="3"/>
  <c r="Q228" i="3"/>
  <c r="X228" i="3"/>
  <c r="O229" i="3"/>
  <c r="P229" i="3"/>
  <c r="Q229" i="3"/>
  <c r="X229" i="3"/>
  <c r="O230" i="3"/>
  <c r="P230" i="3"/>
  <c r="Q230" i="3"/>
  <c r="X230" i="3"/>
  <c r="O231" i="3"/>
  <c r="P231" i="3"/>
  <c r="Q231" i="3"/>
  <c r="X231" i="3"/>
  <c r="O232" i="3"/>
  <c r="P232" i="3"/>
  <c r="Q232" i="3"/>
  <c r="X232" i="3"/>
  <c r="O233" i="3"/>
  <c r="P233" i="3"/>
  <c r="Q233" i="3"/>
  <c r="X233" i="3"/>
  <c r="O234" i="3"/>
  <c r="P234" i="3"/>
  <c r="Q234" i="3"/>
  <c r="X234" i="3"/>
  <c r="O235" i="3"/>
  <c r="P235" i="3"/>
  <c r="Q235" i="3"/>
  <c r="X235" i="3"/>
  <c r="O236" i="3"/>
  <c r="P236" i="3"/>
  <c r="Q236" i="3"/>
  <c r="X236" i="3"/>
  <c r="O237" i="3"/>
  <c r="P237" i="3"/>
  <c r="Q237" i="3"/>
  <c r="X237" i="3"/>
  <c r="O238" i="3"/>
  <c r="P238" i="3"/>
  <c r="Q238" i="3"/>
  <c r="X238" i="3"/>
  <c r="O239" i="3"/>
  <c r="P239" i="3"/>
  <c r="Q239" i="3"/>
  <c r="X239" i="3"/>
  <c r="O240" i="3"/>
  <c r="P240" i="3"/>
  <c r="Q240" i="3"/>
  <c r="X240" i="3"/>
  <c r="O241" i="3"/>
  <c r="P241" i="3"/>
  <c r="Q241" i="3"/>
  <c r="X241" i="3"/>
  <c r="O242" i="3"/>
  <c r="P242" i="3"/>
  <c r="Q242" i="3"/>
  <c r="X242" i="3"/>
  <c r="O243" i="3"/>
  <c r="P243" i="3"/>
  <c r="Q243" i="3"/>
  <c r="X243" i="3"/>
  <c r="O244" i="3"/>
  <c r="P244" i="3"/>
  <c r="Q244" i="3"/>
  <c r="X244" i="3"/>
  <c r="O245" i="3"/>
  <c r="P245" i="3"/>
  <c r="Q245" i="3"/>
  <c r="X245" i="3"/>
  <c r="O246" i="3"/>
  <c r="P246" i="3"/>
  <c r="Q246" i="3"/>
  <c r="X246" i="3"/>
  <c r="O247" i="3"/>
  <c r="P247" i="3"/>
  <c r="Q247" i="3"/>
  <c r="X247" i="3"/>
  <c r="O248" i="3"/>
  <c r="P248" i="3"/>
  <c r="Q248" i="3"/>
  <c r="X248" i="3"/>
  <c r="O249" i="3"/>
  <c r="P249" i="3"/>
  <c r="Q249" i="3"/>
  <c r="X249" i="3"/>
  <c r="O250" i="3"/>
  <c r="P250" i="3"/>
  <c r="Q250" i="3"/>
  <c r="X250" i="3"/>
  <c r="O251" i="3"/>
  <c r="P251" i="3"/>
  <c r="Q251" i="3"/>
  <c r="X251" i="3"/>
  <c r="O252" i="3"/>
  <c r="P252" i="3"/>
  <c r="Q252" i="3"/>
  <c r="X252" i="3"/>
  <c r="O253" i="3"/>
  <c r="P253" i="3"/>
  <c r="Q253" i="3"/>
  <c r="X253" i="3"/>
  <c r="O254" i="3"/>
  <c r="P254" i="3"/>
  <c r="Q254" i="3"/>
  <c r="X254" i="3"/>
  <c r="O255" i="3"/>
  <c r="P255" i="3"/>
  <c r="Q255" i="3"/>
  <c r="X255" i="3"/>
  <c r="O256" i="3"/>
  <c r="P256" i="3"/>
  <c r="Q256" i="3"/>
  <c r="X256" i="3"/>
  <c r="O257" i="3"/>
  <c r="P257" i="3"/>
  <c r="Q257" i="3"/>
  <c r="X257" i="3"/>
  <c r="O258" i="3"/>
  <c r="P258" i="3"/>
  <c r="Q258" i="3"/>
  <c r="X258" i="3"/>
  <c r="O259" i="3"/>
  <c r="P259" i="3"/>
  <c r="Q259" i="3"/>
  <c r="X259" i="3"/>
  <c r="O260" i="3"/>
  <c r="P260" i="3"/>
  <c r="Q260" i="3"/>
  <c r="X260" i="3"/>
  <c r="O261" i="3"/>
  <c r="P261" i="3"/>
  <c r="Q261" i="3"/>
  <c r="X261" i="3"/>
  <c r="O262" i="3"/>
  <c r="P262" i="3"/>
  <c r="Q262" i="3"/>
  <c r="X262" i="3"/>
  <c r="O263" i="3"/>
  <c r="P263" i="3"/>
  <c r="Q263" i="3"/>
  <c r="X263" i="3"/>
  <c r="O264" i="3"/>
  <c r="P264" i="3"/>
  <c r="Q264" i="3"/>
  <c r="X264" i="3"/>
  <c r="O265" i="3"/>
  <c r="P265" i="3"/>
  <c r="Q265" i="3"/>
  <c r="X265" i="3"/>
  <c r="O266" i="3"/>
  <c r="P266" i="3"/>
  <c r="Q266" i="3"/>
  <c r="X266" i="3"/>
  <c r="O267" i="3"/>
  <c r="P267" i="3"/>
  <c r="Q267" i="3"/>
  <c r="X267" i="3"/>
  <c r="O268" i="3"/>
  <c r="P268" i="3"/>
  <c r="Q268" i="3"/>
  <c r="X268" i="3"/>
  <c r="O269" i="3"/>
  <c r="P269" i="3"/>
  <c r="Q269" i="3"/>
  <c r="X269" i="3"/>
  <c r="O270" i="3"/>
  <c r="P270" i="3"/>
  <c r="Q270" i="3"/>
  <c r="X270" i="3"/>
  <c r="O271" i="3"/>
  <c r="P271" i="3"/>
  <c r="Q271" i="3"/>
  <c r="X271" i="3"/>
  <c r="O272" i="3"/>
  <c r="P272" i="3"/>
  <c r="Q272" i="3"/>
  <c r="X272" i="3"/>
  <c r="O273" i="3"/>
  <c r="P273" i="3"/>
  <c r="Q273" i="3"/>
  <c r="X273" i="3"/>
  <c r="O274" i="3"/>
  <c r="P274" i="3"/>
  <c r="Q274" i="3"/>
  <c r="X274" i="3"/>
  <c r="O275" i="3"/>
  <c r="P275" i="3"/>
  <c r="Q275" i="3"/>
  <c r="X275" i="3"/>
  <c r="O276" i="3"/>
  <c r="P276" i="3"/>
  <c r="Q276" i="3"/>
  <c r="X276" i="3"/>
  <c r="O277" i="3"/>
  <c r="P277" i="3"/>
  <c r="Q277" i="3"/>
  <c r="X277" i="3"/>
  <c r="O278" i="3"/>
  <c r="P278" i="3"/>
  <c r="Q278" i="3"/>
  <c r="X278" i="3"/>
  <c r="O279" i="3"/>
  <c r="P279" i="3"/>
  <c r="Q279" i="3"/>
  <c r="X279" i="3"/>
  <c r="O280" i="3"/>
  <c r="P280" i="3"/>
  <c r="Q280" i="3"/>
  <c r="X280" i="3"/>
  <c r="O281" i="3"/>
  <c r="P281" i="3"/>
  <c r="Q281" i="3"/>
  <c r="X281" i="3"/>
  <c r="B2" i="24"/>
  <c r="C2" i="24"/>
  <c r="F2" i="24"/>
  <c r="G2" i="24"/>
  <c r="H2" i="24"/>
  <c r="I2" i="24"/>
  <c r="J2" i="24"/>
  <c r="D2" i="24" s="1" a="1"/>
  <c r="K2" i="24"/>
  <c r="L2" i="24" s="1"/>
  <c r="B3" i="24"/>
  <c r="C3" i="24"/>
  <c r="F3" i="24"/>
  <c r="G3" i="24"/>
  <c r="H3" i="24"/>
  <c r="I3" i="24"/>
  <c r="J3" i="24"/>
  <c r="D3" i="24" s="1" a="1"/>
  <c r="K3" i="24"/>
  <c r="L3" i="24" s="1"/>
  <c r="B4" i="24"/>
  <c r="C4" i="24"/>
  <c r="F4" i="24"/>
  <c r="G4" i="24"/>
  <c r="H4" i="24"/>
  <c r="I4" i="24"/>
  <c r="J4" i="24"/>
  <c r="D4" i="24" s="1" a="1"/>
  <c r="K4" i="24"/>
  <c r="L4" i="24" s="1"/>
  <c r="B5" i="24"/>
  <c r="C5" i="24"/>
  <c r="F5" i="24"/>
  <c r="G5" i="24"/>
  <c r="H5" i="24"/>
  <c r="I5" i="24"/>
  <c r="J5" i="24"/>
  <c r="D5" i="24" s="1" a="1"/>
  <c r="K5" i="24"/>
  <c r="L5" i="24" s="1"/>
  <c r="B6" i="24"/>
  <c r="C6" i="24"/>
  <c r="F6" i="24"/>
  <c r="G6" i="24"/>
  <c r="H6" i="24"/>
  <c r="I6" i="24"/>
  <c r="J6" i="24"/>
  <c r="D6" i="24" s="1" a="1"/>
  <c r="K6" i="24"/>
  <c r="L6" i="24" s="1"/>
  <c r="B7" i="24"/>
  <c r="C7" i="24"/>
  <c r="F7" i="24"/>
  <c r="G7" i="24"/>
  <c r="H7" i="24"/>
  <c r="I7" i="24"/>
  <c r="J7" i="24"/>
  <c r="D7" i="24" s="1" a="1"/>
  <c r="K7" i="24"/>
  <c r="L7" i="24" s="1"/>
  <c r="B8" i="24"/>
  <c r="C8" i="24"/>
  <c r="F8" i="24"/>
  <c r="G8" i="24"/>
  <c r="H8" i="24"/>
  <c r="I8" i="24"/>
  <c r="J8" i="24"/>
  <c r="D8" i="24" s="1" a="1"/>
  <c r="K8" i="24"/>
  <c r="L8" i="24" s="1"/>
  <c r="B9" i="24"/>
  <c r="C9" i="24"/>
  <c r="F9" i="24"/>
  <c r="G9" i="24"/>
  <c r="H9" i="24"/>
  <c r="I9" i="24"/>
  <c r="J9" i="24"/>
  <c r="D9" i="24" s="1" a="1"/>
  <c r="K9" i="24"/>
  <c r="L9" i="24" s="1"/>
  <c r="B10" i="24"/>
  <c r="C10" i="24"/>
  <c r="F10" i="24"/>
  <c r="G10" i="24"/>
  <c r="H10" i="24"/>
  <c r="I10" i="24"/>
  <c r="J10" i="24"/>
  <c r="D10" i="24" s="1" a="1"/>
  <c r="K10" i="24"/>
  <c r="L10" i="24" s="1"/>
  <c r="B11" i="24"/>
  <c r="C11" i="24"/>
  <c r="F11" i="24"/>
  <c r="G11" i="24"/>
  <c r="H11" i="24"/>
  <c r="I11" i="24"/>
  <c r="J11" i="24"/>
  <c r="D11" i="24" s="1" a="1"/>
  <c r="E11" i="24" s="1"/>
  <c r="K11" i="24"/>
  <c r="B12" i="24"/>
  <c r="C12" i="24"/>
  <c r="F12" i="24"/>
  <c r="G12" i="24"/>
  <c r="H12" i="24"/>
  <c r="I12" i="24"/>
  <c r="J12" i="24"/>
  <c r="D12" i="24" s="1" a="1"/>
  <c r="E12" i="24" s="1"/>
  <c r="K12" i="24"/>
  <c r="B13" i="24"/>
  <c r="C13" i="24"/>
  <c r="F13" i="24"/>
  <c r="G13" i="24"/>
  <c r="H13" i="24"/>
  <c r="I13" i="24"/>
  <c r="J13" i="24"/>
  <c r="D13" i="24" s="1" a="1"/>
  <c r="E13" i="24" s="1"/>
  <c r="K13" i="24"/>
  <c r="B14" i="24"/>
  <c r="C14" i="24"/>
  <c r="F14" i="24"/>
  <c r="G14" i="24"/>
  <c r="H14" i="24"/>
  <c r="I14" i="24"/>
  <c r="J14" i="24"/>
  <c r="D14" i="24" s="1" a="1"/>
  <c r="E14" i="24" s="1"/>
  <c r="K14" i="24"/>
  <c r="B15" i="24"/>
  <c r="C15" i="24"/>
  <c r="F15" i="24"/>
  <c r="G15" i="24"/>
  <c r="H15" i="24"/>
  <c r="I15" i="24"/>
  <c r="J15" i="24"/>
  <c r="D15" i="24" s="1" a="1"/>
  <c r="E15" i="24" s="1"/>
  <c r="K15" i="24"/>
  <c r="B16" i="24"/>
  <c r="C16" i="24"/>
  <c r="F16" i="24"/>
  <c r="G16" i="24"/>
  <c r="H16" i="24"/>
  <c r="I16" i="24"/>
  <c r="J16" i="24"/>
  <c r="D16" i="24" s="1" a="1"/>
  <c r="E16" i="24" s="1"/>
  <c r="K16" i="24"/>
  <c r="B17" i="24"/>
  <c r="C17" i="24"/>
  <c r="F17" i="24"/>
  <c r="G17" i="24"/>
  <c r="H17" i="24"/>
  <c r="I17" i="24"/>
  <c r="J17" i="24"/>
  <c r="D17" i="24" s="1" a="1"/>
  <c r="K17" i="24"/>
  <c r="L17" i="24" s="1"/>
  <c r="B18" i="24"/>
  <c r="C18" i="24"/>
  <c r="F18" i="24"/>
  <c r="G18" i="24"/>
  <c r="H18" i="24"/>
  <c r="I18" i="24"/>
  <c r="J18" i="24"/>
  <c r="D18" i="24" s="1" a="1"/>
  <c r="E18" i="24" s="1"/>
  <c r="K18" i="24"/>
  <c r="B19" i="24"/>
  <c r="C19" i="24"/>
  <c r="F19" i="24"/>
  <c r="G19" i="24"/>
  <c r="H19" i="24"/>
  <c r="I19" i="24"/>
  <c r="J19" i="24"/>
  <c r="D19" i="24" s="1" a="1"/>
  <c r="E19" i="24" s="1"/>
  <c r="K19" i="24"/>
  <c r="B20" i="24"/>
  <c r="C20" i="24"/>
  <c r="F20" i="24"/>
  <c r="G20" i="24"/>
  <c r="H20" i="24"/>
  <c r="I20" i="24"/>
  <c r="J20" i="24"/>
  <c r="D20" i="24" s="1" a="1"/>
  <c r="E20" i="24" s="1"/>
  <c r="K20" i="24"/>
  <c r="B21" i="24"/>
  <c r="C21" i="24"/>
  <c r="F21" i="24"/>
  <c r="G21" i="24"/>
  <c r="H21" i="24"/>
  <c r="I21" i="24"/>
  <c r="J21" i="24"/>
  <c r="D21" i="24" s="1" a="1"/>
  <c r="E21" i="24" s="1"/>
  <c r="K21" i="24"/>
  <c r="B22" i="24"/>
  <c r="C22" i="24"/>
  <c r="F22" i="24"/>
  <c r="G22" i="24"/>
  <c r="H22" i="24"/>
  <c r="I22" i="24"/>
  <c r="J22" i="24"/>
  <c r="D22" i="24" s="1" a="1"/>
  <c r="E22" i="24" s="1"/>
  <c r="K22" i="24"/>
  <c r="B23" i="24"/>
  <c r="C23" i="24"/>
  <c r="F23" i="24"/>
  <c r="G23" i="24"/>
  <c r="H23" i="24"/>
  <c r="I23" i="24"/>
  <c r="J23" i="24"/>
  <c r="D23" i="24" s="1" a="1"/>
  <c r="E23" i="24" s="1"/>
  <c r="K23" i="24"/>
  <c r="B24" i="24"/>
  <c r="C24" i="24"/>
  <c r="F24" i="24"/>
  <c r="G24" i="24"/>
  <c r="H24" i="24"/>
  <c r="I24" i="24"/>
  <c r="J24" i="24"/>
  <c r="D24" i="24" s="1" a="1"/>
  <c r="E24" i="24" s="1"/>
  <c r="K24" i="24"/>
  <c r="B25" i="24"/>
  <c r="C25" i="24"/>
  <c r="F25" i="24"/>
  <c r="G25" i="24"/>
  <c r="H25" i="24"/>
  <c r="I25" i="24"/>
  <c r="J25" i="24"/>
  <c r="D25" i="24" s="1" a="1"/>
  <c r="E25" i="24" s="1"/>
  <c r="K25" i="24"/>
  <c r="B26" i="24"/>
  <c r="C26" i="24"/>
  <c r="F26" i="24"/>
  <c r="G26" i="24"/>
  <c r="H26" i="24"/>
  <c r="I26" i="24"/>
  <c r="J26" i="24"/>
  <c r="D26" i="24" s="1" a="1"/>
  <c r="E26" i="24" s="1"/>
  <c r="K26" i="24"/>
  <c r="B27" i="24"/>
  <c r="C27" i="24"/>
  <c r="F27" i="24"/>
  <c r="G27" i="24"/>
  <c r="H27" i="24"/>
  <c r="I27" i="24"/>
  <c r="J27" i="24"/>
  <c r="D27" i="24" s="1" a="1"/>
  <c r="E27" i="24" s="1"/>
  <c r="K27" i="24"/>
  <c r="B28" i="24"/>
  <c r="C28" i="24"/>
  <c r="F28" i="24"/>
  <c r="G28" i="24"/>
  <c r="H28" i="24"/>
  <c r="I28" i="24"/>
  <c r="J28" i="24"/>
  <c r="D28" i="24" s="1" a="1"/>
  <c r="E28" i="24" s="1"/>
  <c r="K28" i="24"/>
  <c r="B29" i="24"/>
  <c r="C29" i="24"/>
  <c r="F29" i="24"/>
  <c r="G29" i="24"/>
  <c r="H29" i="24"/>
  <c r="I29" i="24"/>
  <c r="J29" i="24"/>
  <c r="D29" i="24" s="1" a="1"/>
  <c r="E29" i="24" s="1"/>
  <c r="K29" i="24"/>
  <c r="B30" i="24"/>
  <c r="C30" i="24"/>
  <c r="F30" i="24"/>
  <c r="G30" i="24"/>
  <c r="H30" i="24"/>
  <c r="I30" i="24"/>
  <c r="J30" i="24"/>
  <c r="D30" i="24" s="1" a="1"/>
  <c r="E30" i="24" s="1"/>
  <c r="K30" i="24"/>
  <c r="B31" i="24"/>
  <c r="C31" i="24"/>
  <c r="F31" i="24"/>
  <c r="G31" i="24"/>
  <c r="H31" i="24"/>
  <c r="I31" i="24"/>
  <c r="J31" i="24"/>
  <c r="D31" i="24" s="1" a="1"/>
  <c r="E31" i="24" s="1"/>
  <c r="K31" i="24"/>
  <c r="B32" i="24"/>
  <c r="C32" i="24"/>
  <c r="F32" i="24"/>
  <c r="G32" i="24"/>
  <c r="H32" i="24"/>
  <c r="I32" i="24"/>
  <c r="J32" i="24"/>
  <c r="D32" i="24" s="1" a="1"/>
  <c r="E32" i="24" s="1"/>
  <c r="K32" i="24"/>
  <c r="B33" i="24"/>
  <c r="C33" i="24"/>
  <c r="F33" i="24"/>
  <c r="G33" i="24"/>
  <c r="H33" i="24"/>
  <c r="I33" i="24"/>
  <c r="J33" i="24"/>
  <c r="D33" i="24" s="1" a="1"/>
  <c r="E33" i="24" s="1"/>
  <c r="K33" i="24"/>
  <c r="B34" i="24"/>
  <c r="C34" i="24"/>
  <c r="F34" i="24"/>
  <c r="G34" i="24"/>
  <c r="H34" i="24"/>
  <c r="I34" i="24"/>
  <c r="J34" i="24"/>
  <c r="D34" i="24" s="1" a="1"/>
  <c r="E34" i="24" s="1"/>
  <c r="K34" i="24"/>
  <c r="B35" i="24"/>
  <c r="C35" i="24"/>
  <c r="F35" i="24"/>
  <c r="G35" i="24"/>
  <c r="H35" i="24"/>
  <c r="I35" i="24"/>
  <c r="J35" i="24"/>
  <c r="D35" i="24" s="1" a="1"/>
  <c r="E35" i="24" s="1"/>
  <c r="K35" i="24"/>
  <c r="B36" i="24"/>
  <c r="C36" i="24"/>
  <c r="F36" i="24"/>
  <c r="G36" i="24"/>
  <c r="H36" i="24"/>
  <c r="I36" i="24"/>
  <c r="J36" i="24"/>
  <c r="D36" i="24" s="1" a="1"/>
  <c r="E36" i="24" s="1"/>
  <c r="K36" i="24"/>
  <c r="B37" i="24"/>
  <c r="C37" i="24"/>
  <c r="F37" i="24"/>
  <c r="G37" i="24"/>
  <c r="H37" i="24"/>
  <c r="I37" i="24"/>
  <c r="J37" i="24"/>
  <c r="D37" i="24" s="1" a="1"/>
  <c r="E37" i="24" s="1"/>
  <c r="K37" i="24"/>
  <c r="B38" i="24"/>
  <c r="C38" i="24"/>
  <c r="F38" i="24"/>
  <c r="G38" i="24"/>
  <c r="H38" i="24"/>
  <c r="I38" i="24"/>
  <c r="J38" i="24"/>
  <c r="D38" i="24" s="1" a="1"/>
  <c r="K38" i="24"/>
  <c r="L38" i="24" s="1"/>
  <c r="B39" i="24"/>
  <c r="C39" i="24"/>
  <c r="F39" i="24"/>
  <c r="G39" i="24"/>
  <c r="H39" i="24"/>
  <c r="I39" i="24"/>
  <c r="J39" i="24"/>
  <c r="D39" i="24" s="1" a="1"/>
  <c r="E39" i="24" s="1"/>
  <c r="K39" i="24"/>
  <c r="B40" i="24"/>
  <c r="C40" i="24"/>
  <c r="F40" i="24"/>
  <c r="G40" i="24"/>
  <c r="H40" i="24"/>
  <c r="I40" i="24"/>
  <c r="J40" i="24"/>
  <c r="D40" i="24" s="1" a="1"/>
  <c r="E40" i="24" s="1"/>
  <c r="K40" i="24"/>
  <c r="B41" i="24"/>
  <c r="C41" i="24"/>
  <c r="F41" i="24"/>
  <c r="G41" i="24"/>
  <c r="H41" i="24"/>
  <c r="I41" i="24"/>
  <c r="J41" i="24"/>
  <c r="D41" i="24" s="1" a="1"/>
  <c r="E41" i="24" s="1"/>
  <c r="K41" i="24"/>
  <c r="B42" i="24"/>
  <c r="C42" i="24"/>
  <c r="F42" i="24"/>
  <c r="G42" i="24"/>
  <c r="H42" i="24"/>
  <c r="I42" i="24"/>
  <c r="J42" i="24"/>
  <c r="D42" i="24" s="1" a="1"/>
  <c r="E42" i="24" s="1"/>
  <c r="K42" i="24"/>
  <c r="B43" i="24"/>
  <c r="C43" i="24"/>
  <c r="F43" i="24"/>
  <c r="G43" i="24"/>
  <c r="H43" i="24"/>
  <c r="I43" i="24"/>
  <c r="J43" i="24"/>
  <c r="D43" i="24" s="1" a="1"/>
  <c r="E43" i="24" s="1"/>
  <c r="K43" i="24"/>
  <c r="B44" i="24"/>
  <c r="C44" i="24"/>
  <c r="F44" i="24"/>
  <c r="G44" i="24"/>
  <c r="H44" i="24"/>
  <c r="I44" i="24"/>
  <c r="J44" i="24"/>
  <c r="D44" i="24" s="1" a="1"/>
  <c r="E44" i="24" s="1"/>
  <c r="K44" i="24"/>
  <c r="B45" i="24"/>
  <c r="C45" i="24"/>
  <c r="F45" i="24"/>
  <c r="G45" i="24"/>
  <c r="H45" i="24"/>
  <c r="I45" i="24"/>
  <c r="J45" i="24"/>
  <c r="D45" i="24" s="1" a="1"/>
  <c r="E45" i="24" s="1"/>
  <c r="K45" i="24"/>
  <c r="B46" i="24"/>
  <c r="C46" i="24"/>
  <c r="F46" i="24"/>
  <c r="G46" i="24"/>
  <c r="H46" i="24"/>
  <c r="I46" i="24"/>
  <c r="J46" i="24"/>
  <c r="D46" i="24" s="1" a="1"/>
  <c r="E46" i="24" s="1"/>
  <c r="K46" i="24"/>
  <c r="B47" i="24"/>
  <c r="C47" i="24"/>
  <c r="F47" i="24"/>
  <c r="G47" i="24"/>
  <c r="H47" i="24"/>
  <c r="I47" i="24"/>
  <c r="J47" i="24"/>
  <c r="D47" i="24" s="1" a="1"/>
  <c r="E47" i="24" s="1"/>
  <c r="K47" i="24"/>
  <c r="B48" i="24"/>
  <c r="C48" i="24"/>
  <c r="F48" i="24"/>
  <c r="G48" i="24"/>
  <c r="H48" i="24"/>
  <c r="I48" i="24"/>
  <c r="J48" i="24"/>
  <c r="D48" i="24" s="1" a="1"/>
  <c r="E48" i="24" s="1"/>
  <c r="K48" i="24"/>
  <c r="B49" i="24"/>
  <c r="C49" i="24"/>
  <c r="F49" i="24"/>
  <c r="G49" i="24"/>
  <c r="H49" i="24"/>
  <c r="I49" i="24"/>
  <c r="J49" i="24"/>
  <c r="D49" i="24" s="1" a="1"/>
  <c r="E49" i="24" s="1"/>
  <c r="K49" i="24"/>
  <c r="B50" i="24"/>
  <c r="C50" i="24"/>
  <c r="F50" i="24"/>
  <c r="G50" i="24"/>
  <c r="H50" i="24"/>
  <c r="I50" i="24"/>
  <c r="J50" i="24"/>
  <c r="D50" i="24" s="1" a="1"/>
  <c r="E50" i="24" s="1"/>
  <c r="K50" i="24"/>
  <c r="B51" i="24"/>
  <c r="C51" i="24"/>
  <c r="F51" i="24"/>
  <c r="G51" i="24"/>
  <c r="H51" i="24"/>
  <c r="I51" i="24"/>
  <c r="J51" i="24"/>
  <c r="D51" i="24" s="1" a="1"/>
  <c r="E51" i="24" s="1"/>
  <c r="K51" i="24"/>
  <c r="B52" i="24"/>
  <c r="C52" i="24"/>
  <c r="F52" i="24"/>
  <c r="G52" i="24"/>
  <c r="H52" i="24"/>
  <c r="I52" i="24"/>
  <c r="J52" i="24"/>
  <c r="D52" i="24" s="1" a="1"/>
  <c r="E52" i="24" s="1"/>
  <c r="K52" i="24"/>
  <c r="B53" i="24"/>
  <c r="C53" i="24"/>
  <c r="F53" i="24"/>
  <c r="G53" i="24"/>
  <c r="H53" i="24"/>
  <c r="I53" i="24"/>
  <c r="J53" i="24"/>
  <c r="D53" i="24" s="1" a="1"/>
  <c r="E53" i="24" s="1"/>
  <c r="K53" i="24"/>
  <c r="B54" i="24"/>
  <c r="C54" i="24"/>
  <c r="F54" i="24"/>
  <c r="G54" i="24"/>
  <c r="H54" i="24"/>
  <c r="I54" i="24"/>
  <c r="J54" i="24"/>
  <c r="D54" i="24" s="1" a="1"/>
  <c r="E54" i="24" s="1"/>
  <c r="K54" i="24"/>
  <c r="B55" i="24"/>
  <c r="C55" i="24"/>
  <c r="F55" i="24"/>
  <c r="G55" i="24"/>
  <c r="H55" i="24"/>
  <c r="I55" i="24"/>
  <c r="J55" i="24"/>
  <c r="D55" i="24" s="1" a="1"/>
  <c r="E55" i="24" s="1"/>
  <c r="K55" i="24"/>
  <c r="B56" i="24"/>
  <c r="C56" i="24"/>
  <c r="F56" i="24"/>
  <c r="G56" i="24"/>
  <c r="H56" i="24"/>
  <c r="I56" i="24"/>
  <c r="J56" i="24"/>
  <c r="D56" i="24" s="1" a="1"/>
  <c r="E56" i="24" s="1"/>
  <c r="K56" i="24"/>
  <c r="B57" i="24"/>
  <c r="C57" i="24"/>
  <c r="F57" i="24"/>
  <c r="G57" i="24"/>
  <c r="H57" i="24"/>
  <c r="I57" i="24"/>
  <c r="J57" i="24"/>
  <c r="D57" i="24" s="1" a="1"/>
  <c r="E57" i="24" s="1"/>
  <c r="K57" i="24"/>
  <c r="B58" i="24"/>
  <c r="C58" i="24"/>
  <c r="F58" i="24"/>
  <c r="G58" i="24"/>
  <c r="H58" i="24"/>
  <c r="I58" i="24"/>
  <c r="J58" i="24"/>
  <c r="D58" i="24" s="1" a="1"/>
  <c r="E58" i="24" s="1"/>
  <c r="K58" i="24"/>
  <c r="B59" i="24"/>
  <c r="C59" i="24"/>
  <c r="F59" i="24"/>
  <c r="G59" i="24"/>
  <c r="H59" i="24"/>
  <c r="I59" i="24"/>
  <c r="J59" i="24"/>
  <c r="D59" i="24" s="1" a="1"/>
  <c r="E59" i="24" s="1"/>
  <c r="K59" i="24"/>
  <c r="B60" i="24"/>
  <c r="C60" i="24"/>
  <c r="F60" i="24"/>
  <c r="G60" i="24"/>
  <c r="H60" i="24"/>
  <c r="I60" i="24"/>
  <c r="J60" i="24"/>
  <c r="D60" i="24" s="1" a="1"/>
  <c r="E60" i="24" s="1"/>
  <c r="K60" i="24"/>
  <c r="B61" i="24"/>
  <c r="C61" i="24"/>
  <c r="F61" i="24"/>
  <c r="G61" i="24"/>
  <c r="H61" i="24"/>
  <c r="I61" i="24"/>
  <c r="J61" i="24"/>
  <c r="D61" i="24" s="1" a="1"/>
  <c r="E61" i="24" s="1"/>
  <c r="K61" i="24"/>
  <c r="B62" i="24"/>
  <c r="C62" i="24"/>
  <c r="F62" i="24"/>
  <c r="G62" i="24"/>
  <c r="H62" i="24"/>
  <c r="I62" i="24"/>
  <c r="J62" i="24"/>
  <c r="D62" i="24" s="1" a="1"/>
  <c r="E62" i="24" s="1"/>
  <c r="K62" i="24"/>
  <c r="B63" i="24"/>
  <c r="C63" i="24"/>
  <c r="F63" i="24"/>
  <c r="G63" i="24"/>
  <c r="H63" i="24"/>
  <c r="I63" i="24"/>
  <c r="J63" i="24"/>
  <c r="D63" i="24" s="1" a="1"/>
  <c r="E63" i="24" s="1"/>
  <c r="K63" i="24"/>
  <c r="B64" i="24"/>
  <c r="C64" i="24"/>
  <c r="F64" i="24"/>
  <c r="G64" i="24"/>
  <c r="H64" i="24"/>
  <c r="I64" i="24"/>
  <c r="J64" i="24"/>
  <c r="D64" i="24" s="1" a="1"/>
  <c r="E64" i="24" s="1"/>
  <c r="K64" i="24"/>
  <c r="B65" i="24"/>
  <c r="C65" i="24"/>
  <c r="F65" i="24"/>
  <c r="G65" i="24"/>
  <c r="H65" i="24"/>
  <c r="I65" i="24"/>
  <c r="J65" i="24"/>
  <c r="D65" i="24" s="1" a="1"/>
  <c r="E65" i="24" s="1"/>
  <c r="K65" i="24"/>
  <c r="B66" i="24"/>
  <c r="C66" i="24"/>
  <c r="F66" i="24"/>
  <c r="G66" i="24"/>
  <c r="H66" i="24"/>
  <c r="I66" i="24"/>
  <c r="J66" i="24"/>
  <c r="D66" i="24" s="1" a="1"/>
  <c r="E66" i="24" s="1"/>
  <c r="K66" i="24"/>
  <c r="B67" i="24"/>
  <c r="C67" i="24"/>
  <c r="F67" i="24"/>
  <c r="G67" i="24"/>
  <c r="H67" i="24"/>
  <c r="I67" i="24"/>
  <c r="J67" i="24"/>
  <c r="D67" i="24" s="1" a="1"/>
  <c r="E67" i="24" s="1"/>
  <c r="K67" i="24"/>
  <c r="B68" i="24"/>
  <c r="C68" i="24"/>
  <c r="F68" i="24"/>
  <c r="G68" i="24"/>
  <c r="H68" i="24"/>
  <c r="I68" i="24"/>
  <c r="J68" i="24"/>
  <c r="D68" i="24" s="1" a="1"/>
  <c r="E68" i="24" s="1"/>
  <c r="K68" i="24"/>
  <c r="B69" i="24"/>
  <c r="C69" i="24"/>
  <c r="F69" i="24"/>
  <c r="G69" i="24"/>
  <c r="H69" i="24"/>
  <c r="I69" i="24"/>
  <c r="J69" i="24"/>
  <c r="D69" i="24" s="1" a="1"/>
  <c r="E69" i="24" s="1"/>
  <c r="K69" i="24"/>
  <c r="B70" i="24"/>
  <c r="C70" i="24"/>
  <c r="F70" i="24"/>
  <c r="G70" i="24"/>
  <c r="H70" i="24"/>
  <c r="I70" i="24"/>
  <c r="J70" i="24"/>
  <c r="D70" i="24" s="1" a="1"/>
  <c r="E70" i="24" s="1"/>
  <c r="K70" i="24"/>
  <c r="B71" i="24"/>
  <c r="C71" i="24"/>
  <c r="F71" i="24"/>
  <c r="G71" i="24"/>
  <c r="H71" i="24"/>
  <c r="I71" i="24"/>
  <c r="J71" i="24"/>
  <c r="D71" i="24" s="1" a="1"/>
  <c r="E71" i="24" s="1"/>
  <c r="K71" i="24"/>
  <c r="B72" i="24"/>
  <c r="C72" i="24"/>
  <c r="F72" i="24"/>
  <c r="G72" i="24"/>
  <c r="H72" i="24"/>
  <c r="I72" i="24"/>
  <c r="J72" i="24"/>
  <c r="D72" i="24" s="1" a="1"/>
  <c r="E72" i="24" s="1"/>
  <c r="K72" i="24"/>
  <c r="B73" i="24"/>
  <c r="C73" i="24"/>
  <c r="F73" i="24"/>
  <c r="G73" i="24"/>
  <c r="H73" i="24"/>
  <c r="I73" i="24"/>
  <c r="J73" i="24"/>
  <c r="D73" i="24" s="1" a="1"/>
  <c r="E73" i="24" s="1"/>
  <c r="K73" i="24"/>
  <c r="B74" i="24"/>
  <c r="C74" i="24"/>
  <c r="F74" i="24"/>
  <c r="G74" i="24"/>
  <c r="H74" i="24"/>
  <c r="I74" i="24"/>
  <c r="J74" i="24"/>
  <c r="D74" i="24" s="1" a="1"/>
  <c r="E74" i="24" s="1"/>
  <c r="K74" i="24"/>
  <c r="B75" i="24"/>
  <c r="C75" i="24"/>
  <c r="F75" i="24"/>
  <c r="G75" i="24"/>
  <c r="H75" i="24"/>
  <c r="I75" i="24"/>
  <c r="J75" i="24"/>
  <c r="D75" i="24" s="1" a="1"/>
  <c r="E75" i="24" s="1"/>
  <c r="K75" i="24"/>
  <c r="B76" i="24"/>
  <c r="C76" i="24"/>
  <c r="F76" i="24"/>
  <c r="G76" i="24"/>
  <c r="H76" i="24"/>
  <c r="I76" i="24"/>
  <c r="J76" i="24"/>
  <c r="D76" i="24" s="1" a="1"/>
  <c r="E76" i="24" s="1"/>
  <c r="K76" i="24"/>
  <c r="B77" i="24"/>
  <c r="C77" i="24"/>
  <c r="F77" i="24"/>
  <c r="G77" i="24"/>
  <c r="H77" i="24"/>
  <c r="I77" i="24"/>
  <c r="J77" i="24"/>
  <c r="D77" i="24" s="1" a="1"/>
  <c r="E77" i="24" s="1"/>
  <c r="K77" i="24"/>
  <c r="B78" i="24"/>
  <c r="C78" i="24"/>
  <c r="F78" i="24"/>
  <c r="G78" i="24"/>
  <c r="H78" i="24"/>
  <c r="I78" i="24"/>
  <c r="J78" i="24"/>
  <c r="D78" i="24" s="1" a="1"/>
  <c r="E78" i="24" s="1"/>
  <c r="K78" i="24"/>
  <c r="B79" i="24"/>
  <c r="C79" i="24"/>
  <c r="F79" i="24"/>
  <c r="G79" i="24"/>
  <c r="H79" i="24"/>
  <c r="I79" i="24"/>
  <c r="J79" i="24"/>
  <c r="D79" i="24" s="1" a="1"/>
  <c r="E79" i="24" s="1"/>
  <c r="K79" i="24"/>
  <c r="B80" i="24"/>
  <c r="C80" i="24"/>
  <c r="F80" i="24"/>
  <c r="G80" i="24"/>
  <c r="H80" i="24"/>
  <c r="I80" i="24"/>
  <c r="J80" i="24"/>
  <c r="D80" i="24" s="1" a="1"/>
  <c r="E80" i="24" s="1"/>
  <c r="K80" i="24"/>
  <c r="B81" i="24"/>
  <c r="C81" i="24"/>
  <c r="F81" i="24"/>
  <c r="G81" i="24"/>
  <c r="H81" i="24"/>
  <c r="I81" i="24"/>
  <c r="J81" i="24"/>
  <c r="D81" i="24" s="1" a="1"/>
  <c r="E81" i="24" s="1"/>
  <c r="K81" i="24"/>
  <c r="B82" i="24"/>
  <c r="C82" i="24"/>
  <c r="F82" i="24"/>
  <c r="G82" i="24"/>
  <c r="H82" i="24"/>
  <c r="I82" i="24"/>
  <c r="J82" i="24"/>
  <c r="D82" i="24" s="1" a="1"/>
  <c r="E82" i="24" s="1"/>
  <c r="K82" i="24"/>
  <c r="B83" i="24"/>
  <c r="C83" i="24"/>
  <c r="F83" i="24"/>
  <c r="G83" i="24"/>
  <c r="H83" i="24"/>
  <c r="I83" i="24"/>
  <c r="J83" i="24"/>
  <c r="D83" i="24" s="1" a="1"/>
  <c r="E83" i="24" s="1"/>
  <c r="K83" i="24"/>
  <c r="B84" i="24"/>
  <c r="C84" i="24"/>
  <c r="F84" i="24"/>
  <c r="G84" i="24"/>
  <c r="H84" i="24"/>
  <c r="I84" i="24"/>
  <c r="J84" i="24"/>
  <c r="D84" i="24" s="1" a="1"/>
  <c r="E84" i="24" s="1"/>
  <c r="K84" i="24"/>
  <c r="B85" i="24"/>
  <c r="C85" i="24"/>
  <c r="F85" i="24"/>
  <c r="G85" i="24"/>
  <c r="H85" i="24"/>
  <c r="I85" i="24"/>
  <c r="J85" i="24"/>
  <c r="D85" i="24" s="1" a="1"/>
  <c r="E85" i="24" s="1"/>
  <c r="K85" i="24"/>
  <c r="B86" i="24"/>
  <c r="C86" i="24"/>
  <c r="F86" i="24"/>
  <c r="G86" i="24"/>
  <c r="H86" i="24"/>
  <c r="I86" i="24"/>
  <c r="J86" i="24"/>
  <c r="D86" i="24" s="1" a="1"/>
  <c r="E86" i="24" s="1"/>
  <c r="K86" i="24"/>
  <c r="B87" i="24"/>
  <c r="C87" i="24"/>
  <c r="F87" i="24"/>
  <c r="G87" i="24"/>
  <c r="H87" i="24"/>
  <c r="I87" i="24"/>
  <c r="J87" i="24"/>
  <c r="D87" i="24" s="1" a="1"/>
  <c r="E87" i="24" s="1"/>
  <c r="K87" i="24"/>
  <c r="B88" i="24"/>
  <c r="C88" i="24"/>
  <c r="F88" i="24"/>
  <c r="G88" i="24"/>
  <c r="H88" i="24"/>
  <c r="I88" i="24"/>
  <c r="J88" i="24"/>
  <c r="D88" i="24" s="1" a="1"/>
  <c r="E88" i="24" s="1"/>
  <c r="K88" i="24"/>
  <c r="B89" i="24"/>
  <c r="C89" i="24"/>
  <c r="F89" i="24"/>
  <c r="G89" i="24"/>
  <c r="H89" i="24"/>
  <c r="I89" i="24"/>
  <c r="J89" i="24"/>
  <c r="D89" i="24" s="1" a="1"/>
  <c r="E89" i="24" s="1"/>
  <c r="K89" i="24"/>
  <c r="B90" i="24"/>
  <c r="C90" i="24"/>
  <c r="F90" i="24"/>
  <c r="G90" i="24"/>
  <c r="H90" i="24"/>
  <c r="I90" i="24"/>
  <c r="J90" i="24"/>
  <c r="D90" i="24" s="1" a="1"/>
  <c r="E90" i="24" s="1"/>
  <c r="K90" i="24"/>
  <c r="B91" i="24"/>
  <c r="C91" i="24"/>
  <c r="F91" i="24"/>
  <c r="G91" i="24"/>
  <c r="H91" i="24"/>
  <c r="I91" i="24"/>
  <c r="J91" i="24"/>
  <c r="D91" i="24" s="1" a="1"/>
  <c r="E91" i="24" s="1"/>
  <c r="K91" i="24"/>
  <c r="B92" i="24"/>
  <c r="C92" i="24"/>
  <c r="F92" i="24"/>
  <c r="G92" i="24"/>
  <c r="H92" i="24"/>
  <c r="I92" i="24"/>
  <c r="J92" i="24"/>
  <c r="D92" i="24" s="1" a="1"/>
  <c r="E92" i="24" s="1"/>
  <c r="K92" i="24"/>
  <c r="B93" i="24"/>
  <c r="C93" i="24"/>
  <c r="F93" i="24"/>
  <c r="G93" i="24"/>
  <c r="H93" i="24"/>
  <c r="I93" i="24"/>
  <c r="J93" i="24"/>
  <c r="D93" i="24" s="1" a="1"/>
  <c r="E93" i="24" s="1"/>
  <c r="K93" i="24"/>
  <c r="B94" i="24"/>
  <c r="C94" i="24"/>
  <c r="F94" i="24"/>
  <c r="G94" i="24"/>
  <c r="H94" i="24"/>
  <c r="I94" i="24"/>
  <c r="J94" i="24"/>
  <c r="D94" i="24" s="1" a="1"/>
  <c r="E94" i="24" s="1"/>
  <c r="K94" i="24"/>
  <c r="B95" i="24"/>
  <c r="C95" i="24"/>
  <c r="F95" i="24"/>
  <c r="G95" i="24"/>
  <c r="H95" i="24"/>
  <c r="I95" i="24"/>
  <c r="J95" i="24"/>
  <c r="D95" i="24" s="1" a="1"/>
  <c r="E95" i="24" s="1"/>
  <c r="K95" i="24"/>
  <c r="B96" i="24"/>
  <c r="C96" i="24"/>
  <c r="F96" i="24"/>
  <c r="G96" i="24"/>
  <c r="H96" i="24"/>
  <c r="I96" i="24"/>
  <c r="J96" i="24"/>
  <c r="D96" i="24" s="1" a="1"/>
  <c r="E96" i="24" s="1"/>
  <c r="K96" i="24"/>
  <c r="B97" i="24"/>
  <c r="C97" i="24"/>
  <c r="F97" i="24"/>
  <c r="G97" i="24"/>
  <c r="H97" i="24"/>
  <c r="I97" i="24"/>
  <c r="J97" i="24"/>
  <c r="D97" i="24" s="1" a="1"/>
  <c r="E97" i="24" s="1"/>
  <c r="K97" i="24"/>
  <c r="B98" i="24"/>
  <c r="C98" i="24"/>
  <c r="F98" i="24"/>
  <c r="G98" i="24"/>
  <c r="H98" i="24"/>
  <c r="I98" i="24"/>
  <c r="J98" i="24"/>
  <c r="D98" i="24" s="1" a="1"/>
  <c r="E98" i="24" s="1"/>
  <c r="K98" i="24"/>
  <c r="B99" i="24"/>
  <c r="C99" i="24"/>
  <c r="F99" i="24"/>
  <c r="G99" i="24"/>
  <c r="H99" i="24"/>
  <c r="I99" i="24"/>
  <c r="J99" i="24"/>
  <c r="D99" i="24" s="1" a="1"/>
  <c r="E99" i="24" s="1"/>
  <c r="K99" i="24"/>
  <c r="B100" i="24"/>
  <c r="C100" i="24"/>
  <c r="F100" i="24"/>
  <c r="G100" i="24"/>
  <c r="H100" i="24"/>
  <c r="I100" i="24"/>
  <c r="J100" i="24"/>
  <c r="D100" i="24" s="1" a="1"/>
  <c r="E100" i="24" s="1"/>
  <c r="K100" i="24"/>
  <c r="B101" i="24"/>
  <c r="C101" i="24"/>
  <c r="F101" i="24"/>
  <c r="G101" i="24"/>
  <c r="H101" i="24"/>
  <c r="I101" i="24"/>
  <c r="J101" i="24"/>
  <c r="D101" i="24" s="1" a="1"/>
  <c r="E101" i="24" s="1"/>
  <c r="K101" i="24"/>
  <c r="B102" i="24"/>
  <c r="C102" i="24"/>
  <c r="F102" i="24"/>
  <c r="G102" i="24"/>
  <c r="H102" i="24"/>
  <c r="I102" i="24"/>
  <c r="J102" i="24"/>
  <c r="D102" i="24" s="1" a="1"/>
  <c r="E102" i="24" s="1"/>
  <c r="K102" i="24"/>
  <c r="B103" i="24"/>
  <c r="C103" i="24"/>
  <c r="F103" i="24"/>
  <c r="G103" i="24"/>
  <c r="H103" i="24"/>
  <c r="I103" i="24"/>
  <c r="J103" i="24"/>
  <c r="D103" i="24" s="1" a="1"/>
  <c r="E103" i="24" s="1"/>
  <c r="K103" i="24"/>
  <c r="B104" i="24"/>
  <c r="C104" i="24"/>
  <c r="F104" i="24"/>
  <c r="G104" i="24"/>
  <c r="H104" i="24"/>
  <c r="I104" i="24"/>
  <c r="J104" i="24"/>
  <c r="D104" i="24" s="1" a="1"/>
  <c r="E104" i="24" s="1"/>
  <c r="K104" i="24"/>
  <c r="B105" i="24"/>
  <c r="C105" i="24"/>
  <c r="F105" i="24"/>
  <c r="G105" i="24"/>
  <c r="H105" i="24"/>
  <c r="I105" i="24"/>
  <c r="J105" i="24"/>
  <c r="D105" i="24" s="1" a="1"/>
  <c r="E105" i="24" s="1"/>
  <c r="K105" i="24"/>
  <c r="B106" i="24"/>
  <c r="C106" i="24"/>
  <c r="F106" i="24"/>
  <c r="G106" i="24"/>
  <c r="H106" i="24"/>
  <c r="I106" i="24"/>
  <c r="J106" i="24"/>
  <c r="D106" i="24" s="1" a="1"/>
  <c r="E106" i="24" s="1"/>
  <c r="K106" i="24"/>
  <c r="B107" i="24"/>
  <c r="C107" i="24"/>
  <c r="F107" i="24"/>
  <c r="G107" i="24"/>
  <c r="H107" i="24"/>
  <c r="I107" i="24"/>
  <c r="J107" i="24"/>
  <c r="D107" i="24" s="1" a="1"/>
  <c r="E107" i="24" s="1"/>
  <c r="K107" i="24"/>
  <c r="B108" i="24"/>
  <c r="C108" i="24"/>
  <c r="F108" i="24"/>
  <c r="G108" i="24"/>
  <c r="H108" i="24"/>
  <c r="I108" i="24"/>
  <c r="J108" i="24"/>
  <c r="D108" i="24" s="1" a="1"/>
  <c r="E108" i="24" s="1"/>
  <c r="K108" i="24"/>
  <c r="B109" i="24"/>
  <c r="C109" i="24"/>
  <c r="F109" i="24"/>
  <c r="G109" i="24"/>
  <c r="H109" i="24"/>
  <c r="I109" i="24"/>
  <c r="J109" i="24"/>
  <c r="D109" i="24" s="1" a="1"/>
  <c r="E109" i="24" s="1"/>
  <c r="K109" i="24"/>
  <c r="B110" i="24"/>
  <c r="C110" i="24"/>
  <c r="F110" i="24"/>
  <c r="G110" i="24"/>
  <c r="H110" i="24"/>
  <c r="I110" i="24"/>
  <c r="J110" i="24"/>
  <c r="D110" i="24" s="1" a="1"/>
  <c r="E110" i="24" s="1"/>
  <c r="K110" i="24"/>
  <c r="B111" i="24"/>
  <c r="C111" i="24"/>
  <c r="F111" i="24"/>
  <c r="G111" i="24"/>
  <c r="H111" i="24"/>
  <c r="I111" i="24"/>
  <c r="J111" i="24"/>
  <c r="D111" i="24" s="1" a="1"/>
  <c r="E111" i="24" s="1"/>
  <c r="K111" i="24"/>
  <c r="B112" i="24"/>
  <c r="C112" i="24"/>
  <c r="F112" i="24"/>
  <c r="G112" i="24"/>
  <c r="H112" i="24"/>
  <c r="I112" i="24"/>
  <c r="J112" i="24"/>
  <c r="D112" i="24" s="1" a="1"/>
  <c r="E112" i="24" s="1"/>
  <c r="K112" i="24"/>
  <c r="B113" i="24"/>
  <c r="C113" i="24"/>
  <c r="F113" i="24"/>
  <c r="G113" i="24"/>
  <c r="H113" i="24"/>
  <c r="I113" i="24"/>
  <c r="J113" i="24"/>
  <c r="D113" i="24" s="1" a="1"/>
  <c r="E113" i="24" s="1"/>
  <c r="K113" i="24"/>
  <c r="B114" i="24"/>
  <c r="C114" i="24"/>
  <c r="F114" i="24"/>
  <c r="G114" i="24"/>
  <c r="H114" i="24"/>
  <c r="I114" i="24"/>
  <c r="J114" i="24"/>
  <c r="D114" i="24" s="1" a="1"/>
  <c r="E114" i="24" s="1"/>
  <c r="K114" i="24"/>
  <c r="B115" i="24"/>
  <c r="C115" i="24"/>
  <c r="F115" i="24"/>
  <c r="G115" i="24"/>
  <c r="H115" i="24"/>
  <c r="I115" i="24"/>
  <c r="J115" i="24"/>
  <c r="D115" i="24" s="1" a="1"/>
  <c r="E115" i="24" s="1"/>
  <c r="K115" i="24"/>
  <c r="B116" i="24"/>
  <c r="C116" i="24"/>
  <c r="F116" i="24"/>
  <c r="G116" i="24"/>
  <c r="H116" i="24"/>
  <c r="I116" i="24"/>
  <c r="J116" i="24"/>
  <c r="D116" i="24" s="1" a="1"/>
  <c r="E116" i="24" s="1"/>
  <c r="K116" i="24"/>
  <c r="B117" i="24"/>
  <c r="C117" i="24"/>
  <c r="F117" i="24"/>
  <c r="G117" i="24"/>
  <c r="H117" i="24"/>
  <c r="I117" i="24"/>
  <c r="J117" i="24"/>
  <c r="D117" i="24" s="1" a="1"/>
  <c r="E117" i="24" s="1"/>
  <c r="K117" i="24"/>
  <c r="B118" i="24"/>
  <c r="C118" i="24"/>
  <c r="F118" i="24"/>
  <c r="G118" i="24"/>
  <c r="H118" i="24"/>
  <c r="I118" i="24"/>
  <c r="J118" i="24"/>
  <c r="D118" i="24" s="1" a="1"/>
  <c r="E118" i="24" s="1"/>
  <c r="K118" i="24"/>
  <c r="B119" i="24"/>
  <c r="C119" i="24"/>
  <c r="F119" i="24"/>
  <c r="G119" i="24"/>
  <c r="H119" i="24"/>
  <c r="I119" i="24"/>
  <c r="J119" i="24"/>
  <c r="D119" i="24" s="1" a="1"/>
  <c r="E119" i="24" s="1"/>
  <c r="K119" i="24"/>
  <c r="B120" i="24"/>
  <c r="C120" i="24"/>
  <c r="F120" i="24"/>
  <c r="G120" i="24"/>
  <c r="H120" i="24"/>
  <c r="I120" i="24"/>
  <c r="J120" i="24"/>
  <c r="D120" i="24" s="1" a="1"/>
  <c r="E120" i="24" s="1"/>
  <c r="K120" i="24"/>
  <c r="B121" i="24"/>
  <c r="C121" i="24"/>
  <c r="F121" i="24"/>
  <c r="G121" i="24"/>
  <c r="H121" i="24"/>
  <c r="I121" i="24"/>
  <c r="J121" i="24"/>
  <c r="D121" i="24" s="1" a="1"/>
  <c r="E121" i="24" s="1"/>
  <c r="K121" i="24"/>
  <c r="B122" i="24"/>
  <c r="C122" i="24"/>
  <c r="F122" i="24"/>
  <c r="G122" i="24"/>
  <c r="H122" i="24"/>
  <c r="I122" i="24"/>
  <c r="J122" i="24"/>
  <c r="D122" i="24" s="1" a="1"/>
  <c r="E122" i="24" s="1"/>
  <c r="K122" i="24"/>
  <c r="B123" i="24"/>
  <c r="C123" i="24"/>
  <c r="F123" i="24"/>
  <c r="G123" i="24"/>
  <c r="H123" i="24"/>
  <c r="I123" i="24"/>
  <c r="J123" i="24"/>
  <c r="D123" i="24" s="1" a="1"/>
  <c r="E123" i="24" s="1"/>
  <c r="K123" i="24"/>
  <c r="B124" i="24"/>
  <c r="C124" i="24"/>
  <c r="F124" i="24"/>
  <c r="G124" i="24"/>
  <c r="H124" i="24"/>
  <c r="I124" i="24"/>
  <c r="J124" i="24"/>
  <c r="D124" i="24" s="1" a="1"/>
  <c r="E124" i="24" s="1"/>
  <c r="K124" i="24"/>
  <c r="B125" i="24"/>
  <c r="C125" i="24"/>
  <c r="F125" i="24"/>
  <c r="G125" i="24"/>
  <c r="H125" i="24"/>
  <c r="I125" i="24"/>
  <c r="J125" i="24"/>
  <c r="D125" i="24" s="1" a="1"/>
  <c r="E125" i="24" s="1"/>
  <c r="K125" i="24"/>
  <c r="B126" i="24"/>
  <c r="C126" i="24"/>
  <c r="F126" i="24"/>
  <c r="G126" i="24"/>
  <c r="H126" i="24"/>
  <c r="I126" i="24"/>
  <c r="J126" i="24"/>
  <c r="D126" i="24" s="1" a="1"/>
  <c r="E126" i="24" s="1"/>
  <c r="K126" i="24"/>
  <c r="B127" i="24"/>
  <c r="C127" i="24"/>
  <c r="F127" i="24"/>
  <c r="G127" i="24"/>
  <c r="H127" i="24"/>
  <c r="I127" i="24"/>
  <c r="J127" i="24"/>
  <c r="D127" i="24" s="1" a="1"/>
  <c r="E127" i="24" s="1"/>
  <c r="K127" i="24"/>
  <c r="B128" i="24"/>
  <c r="C128" i="24"/>
  <c r="F128" i="24"/>
  <c r="G128" i="24"/>
  <c r="H128" i="24"/>
  <c r="I128" i="24"/>
  <c r="J128" i="24"/>
  <c r="D128" i="24" s="1" a="1"/>
  <c r="E128" i="24" s="1"/>
  <c r="K128" i="24"/>
  <c r="B129" i="24"/>
  <c r="C129" i="24"/>
  <c r="F129" i="24"/>
  <c r="G129" i="24"/>
  <c r="H129" i="24"/>
  <c r="I129" i="24"/>
  <c r="J129" i="24"/>
  <c r="D129" i="24" s="1" a="1"/>
  <c r="E129" i="24" s="1"/>
  <c r="K129" i="24"/>
  <c r="B130" i="24"/>
  <c r="C130" i="24"/>
  <c r="F130" i="24"/>
  <c r="G130" i="24"/>
  <c r="H130" i="24"/>
  <c r="I130" i="24"/>
  <c r="J130" i="24"/>
  <c r="D130" i="24" s="1" a="1"/>
  <c r="E130" i="24" s="1"/>
  <c r="K130" i="24"/>
  <c r="B131" i="24"/>
  <c r="C131" i="24"/>
  <c r="F131" i="24"/>
  <c r="G131" i="24"/>
  <c r="H131" i="24"/>
  <c r="I131" i="24"/>
  <c r="J131" i="24"/>
  <c r="D131" i="24" s="1" a="1"/>
  <c r="E131" i="24" s="1"/>
  <c r="K131" i="24"/>
  <c r="B132" i="24"/>
  <c r="C132" i="24"/>
  <c r="F132" i="24"/>
  <c r="G132" i="24"/>
  <c r="H132" i="24"/>
  <c r="I132" i="24"/>
  <c r="J132" i="24"/>
  <c r="D132" i="24" s="1" a="1"/>
  <c r="E132" i="24" s="1"/>
  <c r="K132" i="24"/>
  <c r="B133" i="24"/>
  <c r="C133" i="24"/>
  <c r="F133" i="24"/>
  <c r="G133" i="24"/>
  <c r="H133" i="24"/>
  <c r="I133" i="24"/>
  <c r="J133" i="24"/>
  <c r="D133" i="24" s="1" a="1"/>
  <c r="E133" i="24" s="1"/>
  <c r="K133" i="24"/>
  <c r="B134" i="24"/>
  <c r="C134" i="24"/>
  <c r="F134" i="24"/>
  <c r="G134" i="24"/>
  <c r="H134" i="24"/>
  <c r="I134" i="24"/>
  <c r="J134" i="24"/>
  <c r="D134" i="24" s="1" a="1"/>
  <c r="E134" i="24" s="1"/>
  <c r="K134" i="24"/>
  <c r="B135" i="24"/>
  <c r="C135" i="24"/>
  <c r="F135" i="24"/>
  <c r="G135" i="24"/>
  <c r="H135" i="24"/>
  <c r="I135" i="24"/>
  <c r="J135" i="24"/>
  <c r="D135" i="24" s="1" a="1"/>
  <c r="E135" i="24" s="1"/>
  <c r="K135" i="24"/>
  <c r="B136" i="24"/>
  <c r="C136" i="24"/>
  <c r="F136" i="24"/>
  <c r="G136" i="24"/>
  <c r="H136" i="24"/>
  <c r="I136" i="24"/>
  <c r="J136" i="24"/>
  <c r="D136" i="24" s="1" a="1"/>
  <c r="E136" i="24" s="1"/>
  <c r="K136" i="24"/>
  <c r="B137" i="24"/>
  <c r="C137" i="24"/>
  <c r="F137" i="24"/>
  <c r="G137" i="24"/>
  <c r="H137" i="24"/>
  <c r="I137" i="24"/>
  <c r="J137" i="24"/>
  <c r="D137" i="24" s="1" a="1"/>
  <c r="E137" i="24" s="1"/>
  <c r="K137" i="24"/>
  <c r="B138" i="24"/>
  <c r="C138" i="24"/>
  <c r="F138" i="24"/>
  <c r="G138" i="24"/>
  <c r="H138" i="24"/>
  <c r="I138" i="24"/>
  <c r="J138" i="24"/>
  <c r="D138" i="24" s="1" a="1"/>
  <c r="E138" i="24" s="1"/>
  <c r="K138" i="24"/>
  <c r="B139" i="24"/>
  <c r="C139" i="24"/>
  <c r="F139" i="24"/>
  <c r="G139" i="24"/>
  <c r="H139" i="24"/>
  <c r="I139" i="24"/>
  <c r="J139" i="24"/>
  <c r="D139" i="24" s="1" a="1"/>
  <c r="E139" i="24" s="1"/>
  <c r="K139" i="24"/>
  <c r="B140" i="24"/>
  <c r="C140" i="24"/>
  <c r="F140" i="24"/>
  <c r="G140" i="24"/>
  <c r="H140" i="24"/>
  <c r="I140" i="24"/>
  <c r="J140" i="24"/>
  <c r="D140" i="24" s="1" a="1"/>
  <c r="E140" i="24" s="1"/>
  <c r="K140" i="24"/>
  <c r="B141" i="24"/>
  <c r="C141" i="24"/>
  <c r="F141" i="24"/>
  <c r="G141" i="24"/>
  <c r="H141" i="24"/>
  <c r="I141" i="24"/>
  <c r="J141" i="24"/>
  <c r="D141" i="24" s="1" a="1"/>
  <c r="E141" i="24" s="1"/>
  <c r="K141" i="24"/>
  <c r="B142" i="24"/>
  <c r="C142" i="24"/>
  <c r="F142" i="24"/>
  <c r="G142" i="24"/>
  <c r="H142" i="24"/>
  <c r="I142" i="24"/>
  <c r="J142" i="24"/>
  <c r="D142" i="24" s="1" a="1"/>
  <c r="E142" i="24" s="1"/>
  <c r="K142" i="24"/>
  <c r="B143" i="24"/>
  <c r="C143" i="24"/>
  <c r="F143" i="24"/>
  <c r="G143" i="24"/>
  <c r="H143" i="24"/>
  <c r="I143" i="24"/>
  <c r="J143" i="24"/>
  <c r="D143" i="24" s="1" a="1"/>
  <c r="E143" i="24" s="1"/>
  <c r="K143" i="24"/>
  <c r="B144" i="24"/>
  <c r="C144" i="24"/>
  <c r="F144" i="24"/>
  <c r="G144" i="24"/>
  <c r="H144" i="24"/>
  <c r="I144" i="24"/>
  <c r="J144" i="24"/>
  <c r="D144" i="24" s="1" a="1"/>
  <c r="E144" i="24" s="1"/>
  <c r="K144" i="24"/>
  <c r="B145" i="24"/>
  <c r="C145" i="24"/>
  <c r="F145" i="24"/>
  <c r="G145" i="24"/>
  <c r="H145" i="24"/>
  <c r="I145" i="24"/>
  <c r="J145" i="24"/>
  <c r="D145" i="24" s="1" a="1"/>
  <c r="E145" i="24" s="1"/>
  <c r="K145" i="24"/>
  <c r="B146" i="24"/>
  <c r="C146" i="24"/>
  <c r="F146" i="24"/>
  <c r="G146" i="24"/>
  <c r="H146" i="24"/>
  <c r="I146" i="24"/>
  <c r="J146" i="24"/>
  <c r="D146" i="24" s="1" a="1"/>
  <c r="E146" i="24" s="1"/>
  <c r="K146" i="24"/>
  <c r="B147" i="24"/>
  <c r="C147" i="24"/>
  <c r="F147" i="24"/>
  <c r="G147" i="24"/>
  <c r="H147" i="24"/>
  <c r="I147" i="24"/>
  <c r="J147" i="24"/>
  <c r="D147" i="24" s="1" a="1"/>
  <c r="E147" i="24" s="1"/>
  <c r="K147" i="24"/>
  <c r="B148" i="24"/>
  <c r="C148" i="24"/>
  <c r="F148" i="24"/>
  <c r="G148" i="24"/>
  <c r="H148" i="24"/>
  <c r="I148" i="24"/>
  <c r="J148" i="24"/>
  <c r="D148" i="24" s="1" a="1"/>
  <c r="E148" i="24" s="1"/>
  <c r="K148" i="24"/>
  <c r="B149" i="24"/>
  <c r="C149" i="24"/>
  <c r="F149" i="24"/>
  <c r="G149" i="24"/>
  <c r="H149" i="24"/>
  <c r="I149" i="24"/>
  <c r="J149" i="24"/>
  <c r="D149" i="24" s="1" a="1"/>
  <c r="E149" i="24" s="1"/>
  <c r="K149" i="24"/>
  <c r="B150" i="24"/>
  <c r="C150" i="24"/>
  <c r="F150" i="24"/>
  <c r="G150" i="24"/>
  <c r="H150" i="24"/>
  <c r="I150" i="24"/>
  <c r="J150" i="24"/>
  <c r="D150" i="24" s="1" a="1"/>
  <c r="E150" i="24" s="1"/>
  <c r="K150" i="24"/>
  <c r="B151" i="24"/>
  <c r="C151" i="24"/>
  <c r="F151" i="24"/>
  <c r="G151" i="24"/>
  <c r="H151" i="24"/>
  <c r="I151" i="24"/>
  <c r="J151" i="24"/>
  <c r="D151" i="24" s="1" a="1"/>
  <c r="E151" i="24" s="1"/>
  <c r="K151" i="24"/>
  <c r="B152" i="24"/>
  <c r="C152" i="24"/>
  <c r="F152" i="24"/>
  <c r="G152" i="24"/>
  <c r="H152" i="24"/>
  <c r="I152" i="24"/>
  <c r="J152" i="24"/>
  <c r="D152" i="24" s="1" a="1"/>
  <c r="E152" i="24" s="1"/>
  <c r="K152" i="24"/>
  <c r="B153" i="24"/>
  <c r="C153" i="24"/>
  <c r="F153" i="24"/>
  <c r="G153" i="24"/>
  <c r="H153" i="24"/>
  <c r="I153" i="24"/>
  <c r="J153" i="24"/>
  <c r="D153" i="24" s="1" a="1"/>
  <c r="E153" i="24" s="1"/>
  <c r="K153" i="24"/>
  <c r="B154" i="24"/>
  <c r="C154" i="24"/>
  <c r="F154" i="24"/>
  <c r="G154" i="24"/>
  <c r="H154" i="24"/>
  <c r="I154" i="24"/>
  <c r="J154" i="24"/>
  <c r="D154" i="24" s="1" a="1"/>
  <c r="E154" i="24" s="1"/>
  <c r="K154" i="24"/>
  <c r="B155" i="24"/>
  <c r="C155" i="24"/>
  <c r="F155" i="24"/>
  <c r="G155" i="24"/>
  <c r="H155" i="24"/>
  <c r="I155" i="24"/>
  <c r="J155" i="24"/>
  <c r="D155" i="24" s="1" a="1"/>
  <c r="E155" i="24" s="1"/>
  <c r="K155" i="24"/>
  <c r="B156" i="24"/>
  <c r="C156" i="24"/>
  <c r="F156" i="24"/>
  <c r="G156" i="24"/>
  <c r="H156" i="24"/>
  <c r="I156" i="24"/>
  <c r="J156" i="24"/>
  <c r="D156" i="24" s="1" a="1"/>
  <c r="E156" i="24" s="1"/>
  <c r="K156" i="24"/>
  <c r="B157" i="24"/>
  <c r="C157" i="24"/>
  <c r="F157" i="24"/>
  <c r="G157" i="24"/>
  <c r="H157" i="24"/>
  <c r="I157" i="24"/>
  <c r="J157" i="24"/>
  <c r="D157" i="24" s="1" a="1"/>
  <c r="E157" i="24" s="1"/>
  <c r="K157" i="24"/>
  <c r="B158" i="24"/>
  <c r="C158" i="24"/>
  <c r="F158" i="24"/>
  <c r="G158" i="24"/>
  <c r="H158" i="24"/>
  <c r="I158" i="24"/>
  <c r="J158" i="24"/>
  <c r="D158" i="24" s="1" a="1"/>
  <c r="E158" i="24" s="1"/>
  <c r="K158" i="24"/>
  <c r="B159" i="24"/>
  <c r="C159" i="24"/>
  <c r="F159" i="24"/>
  <c r="G159" i="24"/>
  <c r="H159" i="24"/>
  <c r="I159" i="24"/>
  <c r="J159" i="24"/>
  <c r="D159" i="24" s="1" a="1"/>
  <c r="E159" i="24" s="1"/>
  <c r="K159" i="24"/>
  <c r="B160" i="24"/>
  <c r="C160" i="24"/>
  <c r="F160" i="24"/>
  <c r="G160" i="24"/>
  <c r="H160" i="24"/>
  <c r="I160" i="24"/>
  <c r="J160" i="24"/>
  <c r="D160" i="24" s="1" a="1"/>
  <c r="E160" i="24" s="1"/>
  <c r="K160" i="24"/>
  <c r="B161" i="24"/>
  <c r="C161" i="24"/>
  <c r="F161" i="24"/>
  <c r="G161" i="24"/>
  <c r="H161" i="24"/>
  <c r="I161" i="24"/>
  <c r="J161" i="24"/>
  <c r="D161" i="24" s="1" a="1"/>
  <c r="E161" i="24" s="1"/>
  <c r="K161" i="24"/>
  <c r="B162" i="24"/>
  <c r="C162" i="24"/>
  <c r="F162" i="24"/>
  <c r="G162" i="24"/>
  <c r="H162" i="24"/>
  <c r="I162" i="24"/>
  <c r="J162" i="24"/>
  <c r="D162" i="24" s="1" a="1"/>
  <c r="E162" i="24" s="1"/>
  <c r="K162" i="24"/>
  <c r="B163" i="24"/>
  <c r="C163" i="24"/>
  <c r="F163" i="24"/>
  <c r="G163" i="24"/>
  <c r="H163" i="24"/>
  <c r="I163" i="24"/>
  <c r="J163" i="24"/>
  <c r="D163" i="24" s="1" a="1"/>
  <c r="E163" i="24" s="1"/>
  <c r="K163" i="24"/>
  <c r="B164" i="24"/>
  <c r="C164" i="24"/>
  <c r="F164" i="24"/>
  <c r="G164" i="24"/>
  <c r="H164" i="24"/>
  <c r="I164" i="24"/>
  <c r="J164" i="24"/>
  <c r="D164" i="24" s="1" a="1"/>
  <c r="E164" i="24" s="1"/>
  <c r="K164" i="24"/>
  <c r="B165" i="24"/>
  <c r="C165" i="24"/>
  <c r="F165" i="24"/>
  <c r="G165" i="24"/>
  <c r="H165" i="24"/>
  <c r="I165" i="24"/>
  <c r="J165" i="24"/>
  <c r="D165" i="24" s="1" a="1"/>
  <c r="E165" i="24" s="1"/>
  <c r="K165" i="24"/>
  <c r="B166" i="24"/>
  <c r="C166" i="24"/>
  <c r="F166" i="24"/>
  <c r="G166" i="24"/>
  <c r="H166" i="24"/>
  <c r="I166" i="24"/>
  <c r="J166" i="24"/>
  <c r="D166" i="24" s="1" a="1"/>
  <c r="E166" i="24" s="1"/>
  <c r="K166" i="24"/>
  <c r="B167" i="24"/>
  <c r="C167" i="24"/>
  <c r="F167" i="24"/>
  <c r="G167" i="24"/>
  <c r="H167" i="24"/>
  <c r="I167" i="24"/>
  <c r="J167" i="24"/>
  <c r="D167" i="24" s="1" a="1"/>
  <c r="E167" i="24" s="1"/>
  <c r="K167" i="24"/>
  <c r="B168" i="24"/>
  <c r="C168" i="24"/>
  <c r="F168" i="24"/>
  <c r="G168" i="24"/>
  <c r="H168" i="24"/>
  <c r="I168" i="24"/>
  <c r="J168" i="24"/>
  <c r="D168" i="24" s="1" a="1"/>
  <c r="E168" i="24" s="1"/>
  <c r="K168" i="24"/>
  <c r="B169" i="24"/>
  <c r="C169" i="24"/>
  <c r="F169" i="24"/>
  <c r="G169" i="24"/>
  <c r="H169" i="24"/>
  <c r="I169" i="24"/>
  <c r="J169" i="24"/>
  <c r="D169" i="24" s="1" a="1"/>
  <c r="E169" i="24" s="1"/>
  <c r="K169" i="24"/>
  <c r="B170" i="24"/>
  <c r="C170" i="24"/>
  <c r="F170" i="24"/>
  <c r="G170" i="24"/>
  <c r="H170" i="24"/>
  <c r="I170" i="24"/>
  <c r="J170" i="24"/>
  <c r="D170" i="24" s="1" a="1"/>
  <c r="E170" i="24" s="1"/>
  <c r="K170" i="24"/>
  <c r="B171" i="24"/>
  <c r="C171" i="24"/>
  <c r="F171" i="24"/>
  <c r="G171" i="24"/>
  <c r="H171" i="24"/>
  <c r="I171" i="24"/>
  <c r="J171" i="24"/>
  <c r="D171" i="24" s="1" a="1"/>
  <c r="E171" i="24" s="1"/>
  <c r="K171" i="24"/>
  <c r="B172" i="24"/>
  <c r="C172" i="24"/>
  <c r="F172" i="24"/>
  <c r="G172" i="24"/>
  <c r="H172" i="24"/>
  <c r="I172" i="24"/>
  <c r="J172" i="24"/>
  <c r="D172" i="24" s="1" a="1"/>
  <c r="E172" i="24" s="1"/>
  <c r="K172" i="24"/>
  <c r="B173" i="24"/>
  <c r="C173" i="24"/>
  <c r="F173" i="24"/>
  <c r="G173" i="24"/>
  <c r="H173" i="24"/>
  <c r="I173" i="24"/>
  <c r="J173" i="24"/>
  <c r="D173" i="24" s="1" a="1"/>
  <c r="E173" i="24" s="1"/>
  <c r="K173" i="24"/>
  <c r="B174" i="24"/>
  <c r="C174" i="24"/>
  <c r="F174" i="24"/>
  <c r="G174" i="24"/>
  <c r="H174" i="24"/>
  <c r="I174" i="24"/>
  <c r="J174" i="24"/>
  <c r="D174" i="24" s="1" a="1"/>
  <c r="E174" i="24" s="1"/>
  <c r="K174" i="24"/>
  <c r="B175" i="24"/>
  <c r="C175" i="24"/>
  <c r="F175" i="24"/>
  <c r="G175" i="24"/>
  <c r="H175" i="24"/>
  <c r="I175" i="24"/>
  <c r="J175" i="24"/>
  <c r="D175" i="24" s="1" a="1"/>
  <c r="E175" i="24" s="1"/>
  <c r="K175" i="24"/>
  <c r="B176" i="24"/>
  <c r="C176" i="24"/>
  <c r="F176" i="24"/>
  <c r="G176" i="24"/>
  <c r="H176" i="24"/>
  <c r="I176" i="24"/>
  <c r="J176" i="24"/>
  <c r="D176" i="24" s="1" a="1"/>
  <c r="E176" i="24" s="1"/>
  <c r="K176" i="24"/>
  <c r="B177" i="24"/>
  <c r="C177" i="24"/>
  <c r="F177" i="24"/>
  <c r="G177" i="24"/>
  <c r="H177" i="24"/>
  <c r="I177" i="24"/>
  <c r="J177" i="24"/>
  <c r="D177" i="24" s="1" a="1"/>
  <c r="E177" i="24" s="1"/>
  <c r="K177" i="24"/>
  <c r="B178" i="24"/>
  <c r="C178" i="24"/>
  <c r="F178" i="24"/>
  <c r="G178" i="24"/>
  <c r="H178" i="24"/>
  <c r="I178" i="24"/>
  <c r="J178" i="24"/>
  <c r="D178" i="24" s="1" a="1"/>
  <c r="E178" i="24" s="1"/>
  <c r="K178" i="24"/>
  <c r="B179" i="24"/>
  <c r="C179" i="24"/>
  <c r="F179" i="24"/>
  <c r="G179" i="24"/>
  <c r="H179" i="24"/>
  <c r="I179" i="24"/>
  <c r="J179" i="24"/>
  <c r="D179" i="24" s="1" a="1"/>
  <c r="E179" i="24" s="1"/>
  <c r="K179" i="24"/>
  <c r="B180" i="24"/>
  <c r="C180" i="24"/>
  <c r="F180" i="24"/>
  <c r="G180" i="24"/>
  <c r="H180" i="24"/>
  <c r="I180" i="24"/>
  <c r="J180" i="24"/>
  <c r="D180" i="24" s="1" a="1"/>
  <c r="E180" i="24" s="1"/>
  <c r="K180" i="24"/>
  <c r="B181" i="24"/>
  <c r="C181" i="24"/>
  <c r="F181" i="24"/>
  <c r="G181" i="24"/>
  <c r="H181" i="24"/>
  <c r="I181" i="24"/>
  <c r="J181" i="24"/>
  <c r="D181" i="24" s="1" a="1"/>
  <c r="E181" i="24" s="1"/>
  <c r="K181" i="24"/>
  <c r="B182" i="24"/>
  <c r="C182" i="24"/>
  <c r="F182" i="24"/>
  <c r="G182" i="24"/>
  <c r="H182" i="24"/>
  <c r="I182" i="24"/>
  <c r="J182" i="24"/>
  <c r="D182" i="24" s="1" a="1"/>
  <c r="E182" i="24" s="1"/>
  <c r="K182" i="24"/>
  <c r="B183" i="24"/>
  <c r="C183" i="24"/>
  <c r="F183" i="24"/>
  <c r="G183" i="24"/>
  <c r="H183" i="24"/>
  <c r="I183" i="24"/>
  <c r="J183" i="24"/>
  <c r="D183" i="24" s="1" a="1"/>
  <c r="E183" i="24" s="1"/>
  <c r="K183" i="24"/>
  <c r="B184" i="24"/>
  <c r="C184" i="24"/>
  <c r="F184" i="24"/>
  <c r="G184" i="24"/>
  <c r="H184" i="24"/>
  <c r="I184" i="24"/>
  <c r="J184" i="24"/>
  <c r="D184" i="24" s="1" a="1"/>
  <c r="E184" i="24" s="1"/>
  <c r="K184" i="24"/>
  <c r="B185" i="24"/>
  <c r="C185" i="24"/>
  <c r="F185" i="24"/>
  <c r="G185" i="24"/>
  <c r="H185" i="24"/>
  <c r="I185" i="24"/>
  <c r="J185" i="24"/>
  <c r="D185" i="24" s="1" a="1"/>
  <c r="E185" i="24" s="1"/>
  <c r="K185" i="24"/>
  <c r="B186" i="24"/>
  <c r="C186" i="24"/>
  <c r="F186" i="24"/>
  <c r="G186" i="24"/>
  <c r="H186" i="24"/>
  <c r="I186" i="24"/>
  <c r="J186" i="24"/>
  <c r="D186" i="24" s="1" a="1"/>
  <c r="E186" i="24" s="1"/>
  <c r="K186" i="24"/>
  <c r="B187" i="24"/>
  <c r="C187" i="24"/>
  <c r="F187" i="24"/>
  <c r="G187" i="24"/>
  <c r="H187" i="24"/>
  <c r="I187" i="24"/>
  <c r="J187" i="24"/>
  <c r="D187" i="24" s="1" a="1"/>
  <c r="E187" i="24" s="1"/>
  <c r="K187" i="24"/>
  <c r="B188" i="24"/>
  <c r="C188" i="24"/>
  <c r="F188" i="24"/>
  <c r="G188" i="24"/>
  <c r="H188" i="24"/>
  <c r="I188" i="24"/>
  <c r="J188" i="24"/>
  <c r="D188" i="24" s="1" a="1"/>
  <c r="E188" i="24" s="1"/>
  <c r="K188" i="24"/>
  <c r="B189" i="24"/>
  <c r="C189" i="24"/>
  <c r="F189" i="24"/>
  <c r="G189" i="24"/>
  <c r="H189" i="24"/>
  <c r="I189" i="24"/>
  <c r="J189" i="24"/>
  <c r="D189" i="24" s="1" a="1"/>
  <c r="E189" i="24" s="1"/>
  <c r="K189" i="24"/>
  <c r="B190" i="24"/>
  <c r="C190" i="24"/>
  <c r="F190" i="24"/>
  <c r="G190" i="24"/>
  <c r="H190" i="24"/>
  <c r="I190" i="24"/>
  <c r="J190" i="24"/>
  <c r="D190" i="24" s="1" a="1"/>
  <c r="E190" i="24" s="1"/>
  <c r="K190" i="24"/>
  <c r="B191" i="24"/>
  <c r="C191" i="24"/>
  <c r="F191" i="24"/>
  <c r="G191" i="24"/>
  <c r="H191" i="24"/>
  <c r="I191" i="24"/>
  <c r="J191" i="24"/>
  <c r="D191" i="24" s="1" a="1"/>
  <c r="E191" i="24" s="1"/>
  <c r="K191" i="24"/>
  <c r="B192" i="24"/>
  <c r="C192" i="24"/>
  <c r="F192" i="24"/>
  <c r="G192" i="24"/>
  <c r="H192" i="24"/>
  <c r="I192" i="24"/>
  <c r="J192" i="24"/>
  <c r="D192" i="24" s="1" a="1"/>
  <c r="E192" i="24" s="1"/>
  <c r="K192" i="24"/>
  <c r="B193" i="24"/>
  <c r="C193" i="24"/>
  <c r="F193" i="24"/>
  <c r="G193" i="24"/>
  <c r="H193" i="24"/>
  <c r="I193" i="24"/>
  <c r="J193" i="24"/>
  <c r="D193" i="24" s="1" a="1"/>
  <c r="E193" i="24" s="1"/>
  <c r="K193" i="24"/>
  <c r="B194" i="24"/>
  <c r="C194" i="24"/>
  <c r="F194" i="24"/>
  <c r="G194" i="24"/>
  <c r="H194" i="24"/>
  <c r="I194" i="24"/>
  <c r="J194" i="24"/>
  <c r="D194" i="24" s="1" a="1"/>
  <c r="E194" i="24" s="1"/>
  <c r="K194" i="24"/>
  <c r="B195" i="24"/>
  <c r="C195" i="24"/>
  <c r="F195" i="24"/>
  <c r="G195" i="24"/>
  <c r="H195" i="24"/>
  <c r="I195" i="24"/>
  <c r="J195" i="24"/>
  <c r="D195" i="24" s="1" a="1"/>
  <c r="E195" i="24" s="1"/>
  <c r="K195" i="24"/>
  <c r="B196" i="24"/>
  <c r="C196" i="24"/>
  <c r="F196" i="24"/>
  <c r="G196" i="24"/>
  <c r="H196" i="24"/>
  <c r="I196" i="24"/>
  <c r="J196" i="24"/>
  <c r="D196" i="24" s="1" a="1"/>
  <c r="E196" i="24" s="1"/>
  <c r="K196" i="24"/>
  <c r="B197" i="24"/>
  <c r="C197" i="24"/>
  <c r="F197" i="24"/>
  <c r="G197" i="24"/>
  <c r="H197" i="24"/>
  <c r="I197" i="24"/>
  <c r="J197" i="24"/>
  <c r="D197" i="24" s="1" a="1"/>
  <c r="E197" i="24" s="1"/>
  <c r="K197" i="24"/>
  <c r="B198" i="24"/>
  <c r="C198" i="24"/>
  <c r="F198" i="24"/>
  <c r="G198" i="24"/>
  <c r="H198" i="24"/>
  <c r="I198" i="24"/>
  <c r="J198" i="24"/>
  <c r="D198" i="24" s="1" a="1"/>
  <c r="E198" i="24" s="1"/>
  <c r="K198" i="24"/>
  <c r="B199" i="24"/>
  <c r="C199" i="24"/>
  <c r="F199" i="24"/>
  <c r="G199" i="24"/>
  <c r="H199" i="24"/>
  <c r="I199" i="24"/>
  <c r="J199" i="24"/>
  <c r="D199" i="24" s="1" a="1"/>
  <c r="E199" i="24" s="1"/>
  <c r="K199" i="24"/>
  <c r="B200" i="24"/>
  <c r="C200" i="24"/>
  <c r="F200" i="24"/>
  <c r="G200" i="24"/>
  <c r="H200" i="24"/>
  <c r="I200" i="24"/>
  <c r="J200" i="24"/>
  <c r="D200" i="24" s="1" a="1"/>
  <c r="E200" i="24" s="1"/>
  <c r="K200" i="24"/>
  <c r="B201" i="24"/>
  <c r="C201" i="24"/>
  <c r="F201" i="24"/>
  <c r="G201" i="24"/>
  <c r="H201" i="24"/>
  <c r="I201" i="24"/>
  <c r="J201" i="24"/>
  <c r="D201" i="24" s="1" a="1"/>
  <c r="E201" i="24" s="1"/>
  <c r="K201" i="24"/>
  <c r="B202" i="24"/>
  <c r="C202" i="24"/>
  <c r="F202" i="24"/>
  <c r="G202" i="24"/>
  <c r="H202" i="24"/>
  <c r="I202" i="24"/>
  <c r="J202" i="24"/>
  <c r="D202" i="24" s="1" a="1"/>
  <c r="E202" i="24" s="1"/>
  <c r="K202" i="24"/>
  <c r="B203" i="24"/>
  <c r="C203" i="24"/>
  <c r="F203" i="24"/>
  <c r="G203" i="24"/>
  <c r="H203" i="24"/>
  <c r="I203" i="24"/>
  <c r="J203" i="24"/>
  <c r="D203" i="24" s="1" a="1"/>
  <c r="E203" i="24" s="1"/>
  <c r="K203" i="24"/>
  <c r="B204" i="24"/>
  <c r="C204" i="24"/>
  <c r="F204" i="24"/>
  <c r="G204" i="24"/>
  <c r="H204" i="24"/>
  <c r="I204" i="24"/>
  <c r="J204" i="24"/>
  <c r="D204" i="24" s="1" a="1"/>
  <c r="E204" i="24" s="1"/>
  <c r="K204" i="24"/>
  <c r="B205" i="24"/>
  <c r="C205" i="24"/>
  <c r="F205" i="24"/>
  <c r="G205" i="24"/>
  <c r="H205" i="24"/>
  <c r="I205" i="24"/>
  <c r="J205" i="24"/>
  <c r="D205" i="24" s="1" a="1"/>
  <c r="E205" i="24" s="1"/>
  <c r="K205" i="24"/>
  <c r="B206" i="24"/>
  <c r="C206" i="24"/>
  <c r="F206" i="24"/>
  <c r="G206" i="24"/>
  <c r="H206" i="24"/>
  <c r="I206" i="24"/>
  <c r="J206" i="24"/>
  <c r="D206" i="24" s="1" a="1"/>
  <c r="E206" i="24" s="1"/>
  <c r="K206" i="24"/>
  <c r="B207" i="24"/>
  <c r="C207" i="24"/>
  <c r="F207" i="24"/>
  <c r="G207" i="24"/>
  <c r="H207" i="24"/>
  <c r="I207" i="24"/>
  <c r="J207" i="24"/>
  <c r="D207" i="24" s="1" a="1"/>
  <c r="E207" i="24" s="1"/>
  <c r="K207" i="24"/>
  <c r="B208" i="24"/>
  <c r="C208" i="24"/>
  <c r="F208" i="24"/>
  <c r="G208" i="24"/>
  <c r="H208" i="24"/>
  <c r="I208" i="24"/>
  <c r="J208" i="24"/>
  <c r="D208" i="24" s="1" a="1"/>
  <c r="E208" i="24" s="1"/>
  <c r="K208" i="24"/>
  <c r="B209" i="24"/>
  <c r="C209" i="24"/>
  <c r="F209" i="24"/>
  <c r="G209" i="24"/>
  <c r="H209" i="24"/>
  <c r="I209" i="24"/>
  <c r="J209" i="24"/>
  <c r="D209" i="24" s="1" a="1"/>
  <c r="E209" i="24" s="1"/>
  <c r="K209" i="24"/>
  <c r="B210" i="24"/>
  <c r="C210" i="24"/>
  <c r="F210" i="24"/>
  <c r="G210" i="24"/>
  <c r="H210" i="24"/>
  <c r="I210" i="24"/>
  <c r="J210" i="24"/>
  <c r="D210" i="24" s="1" a="1"/>
  <c r="E210" i="24" s="1"/>
  <c r="K210" i="24"/>
  <c r="B211" i="24"/>
  <c r="C211" i="24"/>
  <c r="F211" i="24"/>
  <c r="G211" i="24"/>
  <c r="H211" i="24"/>
  <c r="I211" i="24"/>
  <c r="J211" i="24"/>
  <c r="D211" i="24" s="1" a="1"/>
  <c r="E211" i="24" s="1"/>
  <c r="K211" i="24"/>
  <c r="B212" i="24"/>
  <c r="C212" i="24"/>
  <c r="F212" i="24"/>
  <c r="G212" i="24"/>
  <c r="H212" i="24"/>
  <c r="I212" i="24"/>
  <c r="J212" i="24"/>
  <c r="D212" i="24" s="1" a="1"/>
  <c r="E212" i="24" s="1"/>
  <c r="K212" i="24"/>
  <c r="B213" i="24"/>
  <c r="C213" i="24"/>
  <c r="F213" i="24"/>
  <c r="G213" i="24"/>
  <c r="H213" i="24"/>
  <c r="I213" i="24"/>
  <c r="J213" i="24"/>
  <c r="D213" i="24" s="1" a="1"/>
  <c r="E213" i="24" s="1"/>
  <c r="K213" i="24"/>
  <c r="B214" i="24"/>
  <c r="C214" i="24"/>
  <c r="F214" i="24"/>
  <c r="G214" i="24"/>
  <c r="H214" i="24"/>
  <c r="I214" i="24"/>
  <c r="J214" i="24"/>
  <c r="D214" i="24" s="1" a="1"/>
  <c r="E214" i="24" s="1"/>
  <c r="K214" i="24"/>
  <c r="B215" i="24"/>
  <c r="C215" i="24"/>
  <c r="F215" i="24"/>
  <c r="G215" i="24"/>
  <c r="H215" i="24"/>
  <c r="I215" i="24"/>
  <c r="J215" i="24"/>
  <c r="D215" i="24" s="1" a="1"/>
  <c r="E215" i="24" s="1"/>
  <c r="K215" i="24"/>
  <c r="B216" i="24"/>
  <c r="C216" i="24"/>
  <c r="F216" i="24"/>
  <c r="G216" i="24"/>
  <c r="H216" i="24"/>
  <c r="I216" i="24"/>
  <c r="J216" i="24"/>
  <c r="D216" i="24" s="1" a="1"/>
  <c r="E216" i="24" s="1"/>
  <c r="K216" i="24"/>
  <c r="B217" i="24"/>
  <c r="C217" i="24"/>
  <c r="F217" i="24"/>
  <c r="G217" i="24"/>
  <c r="H217" i="24"/>
  <c r="I217" i="24"/>
  <c r="J217" i="24"/>
  <c r="D217" i="24" s="1" a="1"/>
  <c r="E217" i="24" s="1"/>
  <c r="K217" i="24"/>
  <c r="B218" i="24"/>
  <c r="C218" i="24"/>
  <c r="F218" i="24"/>
  <c r="G218" i="24"/>
  <c r="H218" i="24"/>
  <c r="I218" i="24"/>
  <c r="J218" i="24"/>
  <c r="D218" i="24" s="1" a="1"/>
  <c r="E218" i="24" s="1"/>
  <c r="K218" i="24"/>
  <c r="B219" i="24"/>
  <c r="C219" i="24"/>
  <c r="F219" i="24"/>
  <c r="G219" i="24"/>
  <c r="H219" i="24"/>
  <c r="I219" i="24"/>
  <c r="J219" i="24"/>
  <c r="D219" i="24" s="1" a="1"/>
  <c r="E219" i="24" s="1"/>
  <c r="K219" i="24"/>
  <c r="B220" i="24"/>
  <c r="C220" i="24"/>
  <c r="F220" i="24"/>
  <c r="G220" i="24"/>
  <c r="H220" i="24"/>
  <c r="I220" i="24"/>
  <c r="J220" i="24"/>
  <c r="D220" i="24" s="1" a="1"/>
  <c r="E220" i="24" s="1"/>
  <c r="K220" i="24"/>
  <c r="B221" i="24"/>
  <c r="C221" i="24"/>
  <c r="F221" i="24"/>
  <c r="G221" i="24"/>
  <c r="H221" i="24"/>
  <c r="I221" i="24"/>
  <c r="J221" i="24"/>
  <c r="D221" i="24" s="1" a="1"/>
  <c r="E221" i="24" s="1"/>
  <c r="K221" i="24"/>
  <c r="B222" i="24"/>
  <c r="C222" i="24"/>
  <c r="F222" i="24"/>
  <c r="G222" i="24"/>
  <c r="H222" i="24"/>
  <c r="I222" i="24"/>
  <c r="J222" i="24"/>
  <c r="D222" i="24" s="1" a="1"/>
  <c r="E222" i="24" s="1"/>
  <c r="K222" i="24"/>
  <c r="B223" i="24"/>
  <c r="C223" i="24"/>
  <c r="F223" i="24"/>
  <c r="G223" i="24"/>
  <c r="H223" i="24"/>
  <c r="I223" i="24"/>
  <c r="J223" i="24"/>
  <c r="D223" i="24" s="1" a="1"/>
  <c r="E223" i="24" s="1"/>
  <c r="K223" i="24"/>
  <c r="B224" i="24"/>
  <c r="C224" i="24"/>
  <c r="F224" i="24"/>
  <c r="G224" i="24"/>
  <c r="H224" i="24"/>
  <c r="I224" i="24"/>
  <c r="J224" i="24"/>
  <c r="D224" i="24" s="1" a="1"/>
  <c r="E224" i="24" s="1"/>
  <c r="K224" i="24"/>
  <c r="B225" i="24"/>
  <c r="C225" i="24"/>
  <c r="F225" i="24"/>
  <c r="G225" i="24"/>
  <c r="H225" i="24"/>
  <c r="I225" i="24"/>
  <c r="J225" i="24"/>
  <c r="D225" i="24" s="1" a="1"/>
  <c r="E225" i="24" s="1"/>
  <c r="K225" i="24"/>
  <c r="B226" i="24"/>
  <c r="C226" i="24"/>
  <c r="F226" i="24"/>
  <c r="G226" i="24"/>
  <c r="H226" i="24"/>
  <c r="I226" i="24"/>
  <c r="J226" i="24"/>
  <c r="D226" i="24" s="1" a="1"/>
  <c r="E226" i="24" s="1"/>
  <c r="K226" i="24"/>
  <c r="B227" i="24"/>
  <c r="C227" i="24"/>
  <c r="F227" i="24"/>
  <c r="G227" i="24"/>
  <c r="H227" i="24"/>
  <c r="I227" i="24"/>
  <c r="J227" i="24"/>
  <c r="D227" i="24" s="1" a="1"/>
  <c r="E227" i="24" s="1"/>
  <c r="K227" i="24"/>
  <c r="B228" i="24"/>
  <c r="C228" i="24"/>
  <c r="F228" i="24"/>
  <c r="G228" i="24"/>
  <c r="H228" i="24"/>
  <c r="I228" i="24"/>
  <c r="J228" i="24"/>
  <c r="D228" i="24" s="1" a="1"/>
  <c r="E228" i="24" s="1"/>
  <c r="K228" i="24"/>
  <c r="B229" i="24"/>
  <c r="C229" i="24"/>
  <c r="F229" i="24"/>
  <c r="G229" i="24"/>
  <c r="H229" i="24"/>
  <c r="I229" i="24"/>
  <c r="J229" i="24"/>
  <c r="D229" i="24" s="1" a="1"/>
  <c r="E229" i="24" s="1"/>
  <c r="K229" i="24"/>
  <c r="B230" i="24"/>
  <c r="C230" i="24"/>
  <c r="F230" i="24"/>
  <c r="G230" i="24"/>
  <c r="H230" i="24"/>
  <c r="I230" i="24"/>
  <c r="J230" i="24"/>
  <c r="D230" i="24" s="1" a="1"/>
  <c r="E230" i="24" s="1"/>
  <c r="K230" i="24"/>
  <c r="B231" i="24"/>
  <c r="C231" i="24"/>
  <c r="F231" i="24"/>
  <c r="G231" i="24"/>
  <c r="H231" i="24"/>
  <c r="I231" i="24"/>
  <c r="J231" i="24"/>
  <c r="D231" i="24" s="1" a="1"/>
  <c r="E231" i="24" s="1"/>
  <c r="K231" i="24"/>
  <c r="B232" i="24"/>
  <c r="C232" i="24"/>
  <c r="F232" i="24"/>
  <c r="G232" i="24"/>
  <c r="H232" i="24"/>
  <c r="I232" i="24"/>
  <c r="J232" i="24"/>
  <c r="D232" i="24" s="1" a="1"/>
  <c r="E232" i="24" s="1"/>
  <c r="K232" i="24"/>
  <c r="B233" i="24"/>
  <c r="C233" i="24"/>
  <c r="F233" i="24"/>
  <c r="G233" i="24"/>
  <c r="H233" i="24"/>
  <c r="I233" i="24"/>
  <c r="J233" i="24"/>
  <c r="D233" i="24" s="1" a="1"/>
  <c r="E233" i="24" s="1"/>
  <c r="K233" i="24"/>
  <c r="B234" i="24"/>
  <c r="C234" i="24"/>
  <c r="F234" i="24"/>
  <c r="G234" i="24"/>
  <c r="H234" i="24"/>
  <c r="I234" i="24"/>
  <c r="J234" i="24"/>
  <c r="D234" i="24" s="1" a="1"/>
  <c r="E234" i="24" s="1"/>
  <c r="K234" i="24"/>
  <c r="B235" i="24"/>
  <c r="C235" i="24"/>
  <c r="F235" i="24"/>
  <c r="G235" i="24"/>
  <c r="H235" i="24"/>
  <c r="I235" i="24"/>
  <c r="J235" i="24"/>
  <c r="D235" i="24" s="1" a="1"/>
  <c r="E235" i="24" s="1"/>
  <c r="K235" i="24"/>
  <c r="B236" i="24"/>
  <c r="C236" i="24"/>
  <c r="F236" i="24"/>
  <c r="G236" i="24"/>
  <c r="H236" i="24"/>
  <c r="I236" i="24"/>
  <c r="J236" i="24"/>
  <c r="D236" i="24" s="1" a="1"/>
  <c r="E236" i="24" s="1"/>
  <c r="K236" i="24"/>
  <c r="B237" i="24"/>
  <c r="C237" i="24"/>
  <c r="F237" i="24"/>
  <c r="G237" i="24"/>
  <c r="H237" i="24"/>
  <c r="I237" i="24"/>
  <c r="J237" i="24"/>
  <c r="D237" i="24" s="1" a="1"/>
  <c r="E237" i="24" s="1"/>
  <c r="K237" i="24"/>
  <c r="B238" i="24"/>
  <c r="C238" i="24"/>
  <c r="F238" i="24"/>
  <c r="G238" i="24"/>
  <c r="H238" i="24"/>
  <c r="I238" i="24"/>
  <c r="J238" i="24"/>
  <c r="D238" i="24" s="1" a="1"/>
  <c r="E238" i="24" s="1"/>
  <c r="K238" i="24"/>
  <c r="B239" i="24"/>
  <c r="C239" i="24"/>
  <c r="F239" i="24"/>
  <c r="G239" i="24"/>
  <c r="H239" i="24"/>
  <c r="I239" i="24"/>
  <c r="J239" i="24"/>
  <c r="D239" i="24" s="1" a="1"/>
  <c r="E239" i="24" s="1"/>
  <c r="K239" i="24"/>
  <c r="B240" i="24"/>
  <c r="C240" i="24"/>
  <c r="F240" i="24"/>
  <c r="G240" i="24"/>
  <c r="H240" i="24"/>
  <c r="I240" i="24"/>
  <c r="J240" i="24"/>
  <c r="D240" i="24" s="1" a="1"/>
  <c r="E240" i="24" s="1"/>
  <c r="K240" i="24"/>
  <c r="B241" i="24"/>
  <c r="C241" i="24"/>
  <c r="F241" i="24"/>
  <c r="G241" i="24"/>
  <c r="H241" i="24"/>
  <c r="I241" i="24"/>
  <c r="J241" i="24"/>
  <c r="D241" i="24" s="1" a="1"/>
  <c r="E241" i="24" s="1"/>
  <c r="K241" i="24"/>
  <c r="B242" i="24"/>
  <c r="C242" i="24"/>
  <c r="F242" i="24"/>
  <c r="G242" i="24"/>
  <c r="H242" i="24"/>
  <c r="I242" i="24"/>
  <c r="J242" i="24"/>
  <c r="D242" i="24" s="1" a="1"/>
  <c r="E242" i="24" s="1"/>
  <c r="K242" i="24"/>
  <c r="B243" i="24"/>
  <c r="C243" i="24"/>
  <c r="F243" i="24"/>
  <c r="G243" i="24"/>
  <c r="H243" i="24"/>
  <c r="I243" i="24"/>
  <c r="J243" i="24"/>
  <c r="D243" i="24" s="1" a="1"/>
  <c r="E243" i="24" s="1"/>
  <c r="K243" i="24"/>
  <c r="B244" i="24"/>
  <c r="C244" i="24"/>
  <c r="F244" i="24"/>
  <c r="G244" i="24"/>
  <c r="H244" i="24"/>
  <c r="I244" i="24"/>
  <c r="J244" i="24"/>
  <c r="D244" i="24" s="1" a="1"/>
  <c r="E244" i="24" s="1"/>
  <c r="K244" i="24"/>
  <c r="B245" i="24"/>
  <c r="C245" i="24"/>
  <c r="F245" i="24"/>
  <c r="G245" i="24"/>
  <c r="H245" i="24"/>
  <c r="I245" i="24"/>
  <c r="J245" i="24"/>
  <c r="D245" i="24" s="1" a="1"/>
  <c r="E245" i="24" s="1"/>
  <c r="K245" i="24"/>
  <c r="B246" i="24"/>
  <c r="C246" i="24"/>
  <c r="F246" i="24"/>
  <c r="G246" i="24"/>
  <c r="H246" i="24"/>
  <c r="I246" i="24"/>
  <c r="J246" i="24"/>
  <c r="D246" i="24" s="1" a="1"/>
  <c r="E246" i="24" s="1"/>
  <c r="K246" i="24"/>
  <c r="B247" i="24"/>
  <c r="C247" i="24"/>
  <c r="F247" i="24"/>
  <c r="G247" i="24"/>
  <c r="H247" i="24"/>
  <c r="I247" i="24"/>
  <c r="J247" i="24"/>
  <c r="D247" i="24" s="1" a="1"/>
  <c r="K247" i="24"/>
  <c r="L247" i="24" s="1"/>
  <c r="B248" i="24"/>
  <c r="C248" i="24"/>
  <c r="F248" i="24"/>
  <c r="G248" i="24"/>
  <c r="H248" i="24"/>
  <c r="I248" i="24"/>
  <c r="J248" i="24"/>
  <c r="D248" i="24" s="1" a="1"/>
  <c r="E248" i="24" s="1"/>
  <c r="K248" i="24"/>
  <c r="B249" i="24"/>
  <c r="C249" i="24"/>
  <c r="F249" i="24"/>
  <c r="G249" i="24"/>
  <c r="H249" i="24"/>
  <c r="I249" i="24"/>
  <c r="J249" i="24"/>
  <c r="D249" i="24" s="1" a="1"/>
  <c r="E249" i="24" s="1"/>
  <c r="K249" i="24"/>
  <c r="B250" i="24"/>
  <c r="C250" i="24"/>
  <c r="F250" i="24"/>
  <c r="G250" i="24"/>
  <c r="H250" i="24"/>
  <c r="I250" i="24"/>
  <c r="J250" i="24"/>
  <c r="D250" i="24" s="1" a="1"/>
  <c r="E250" i="24" s="1"/>
  <c r="K250" i="24"/>
  <c r="B251" i="24"/>
  <c r="C251" i="24"/>
  <c r="F251" i="24"/>
  <c r="G251" i="24"/>
  <c r="H251" i="24"/>
  <c r="I251" i="24"/>
  <c r="J251" i="24"/>
  <c r="D251" i="24" s="1" a="1"/>
  <c r="E251" i="24" s="1"/>
  <c r="K251" i="24"/>
  <c r="B252" i="24"/>
  <c r="C252" i="24"/>
  <c r="F252" i="24"/>
  <c r="G252" i="24"/>
  <c r="H252" i="24"/>
  <c r="I252" i="24"/>
  <c r="J252" i="24"/>
  <c r="D252" i="24" s="1" a="1"/>
  <c r="E252" i="24" s="1"/>
  <c r="K252" i="24"/>
  <c r="B253" i="24"/>
  <c r="C253" i="24"/>
  <c r="F253" i="24"/>
  <c r="G253" i="24"/>
  <c r="H253" i="24"/>
  <c r="I253" i="24"/>
  <c r="J253" i="24"/>
  <c r="D253" i="24" s="1" a="1"/>
  <c r="E253" i="24" s="1"/>
  <c r="K253" i="24"/>
  <c r="B254" i="24"/>
  <c r="C254" i="24"/>
  <c r="F254" i="24"/>
  <c r="G254" i="24"/>
  <c r="H254" i="24"/>
  <c r="I254" i="24"/>
  <c r="J254" i="24"/>
  <c r="D254" i="24" s="1" a="1"/>
  <c r="E254" i="24" s="1"/>
  <c r="K254" i="24"/>
  <c r="B255" i="24"/>
  <c r="C255" i="24"/>
  <c r="F255" i="24"/>
  <c r="G255" i="24"/>
  <c r="H255" i="24"/>
  <c r="I255" i="24"/>
  <c r="J255" i="24"/>
  <c r="D255" i="24" s="1" a="1"/>
  <c r="E255" i="24" s="1"/>
  <c r="K255" i="24"/>
  <c r="B256" i="24"/>
  <c r="C256" i="24"/>
  <c r="F256" i="24"/>
  <c r="G256" i="24"/>
  <c r="H256" i="24"/>
  <c r="I256" i="24"/>
  <c r="J256" i="24"/>
  <c r="D256" i="24" s="1" a="1"/>
  <c r="E256" i="24" s="1"/>
  <c r="K256" i="24"/>
  <c r="B257" i="24"/>
  <c r="C257" i="24"/>
  <c r="F257" i="24"/>
  <c r="G257" i="24"/>
  <c r="H257" i="24"/>
  <c r="I257" i="24"/>
  <c r="J257" i="24"/>
  <c r="D257" i="24" s="1" a="1"/>
  <c r="E257" i="24" s="1"/>
  <c r="K257" i="24"/>
  <c r="B258" i="24"/>
  <c r="C258" i="24"/>
  <c r="F258" i="24"/>
  <c r="G258" i="24"/>
  <c r="H258" i="24"/>
  <c r="I258" i="24"/>
  <c r="J258" i="24"/>
  <c r="D258" i="24" s="1" a="1"/>
  <c r="E258" i="24" s="1"/>
  <c r="K258" i="24"/>
  <c r="B259" i="24"/>
  <c r="C259" i="24"/>
  <c r="F259" i="24"/>
  <c r="G259" i="24"/>
  <c r="H259" i="24"/>
  <c r="I259" i="24"/>
  <c r="J259" i="24"/>
  <c r="D259" i="24" s="1" a="1"/>
  <c r="E259" i="24" s="1"/>
  <c r="K259" i="24"/>
  <c r="B260" i="24"/>
  <c r="C260" i="24"/>
  <c r="F260" i="24"/>
  <c r="G260" i="24"/>
  <c r="H260" i="24"/>
  <c r="I260" i="24"/>
  <c r="J260" i="24"/>
  <c r="D260" i="24" s="1" a="1"/>
  <c r="E260" i="24" s="1"/>
  <c r="K260" i="24"/>
  <c r="B261" i="24"/>
  <c r="C261" i="24"/>
  <c r="F261" i="24"/>
  <c r="G261" i="24"/>
  <c r="H261" i="24"/>
  <c r="I261" i="24"/>
  <c r="J261" i="24"/>
  <c r="D261" i="24" s="1" a="1"/>
  <c r="E261" i="24" s="1"/>
  <c r="K261" i="24"/>
  <c r="B262" i="24"/>
  <c r="C262" i="24"/>
  <c r="F262" i="24"/>
  <c r="G262" i="24"/>
  <c r="H262" i="24"/>
  <c r="I262" i="24"/>
  <c r="J262" i="24"/>
  <c r="D262" i="24" s="1" a="1"/>
  <c r="E262" i="24" s="1"/>
  <c r="K262" i="24"/>
  <c r="B263" i="24"/>
  <c r="C263" i="24"/>
  <c r="F263" i="24"/>
  <c r="G263" i="24"/>
  <c r="H263" i="24"/>
  <c r="I263" i="24"/>
  <c r="J263" i="24"/>
  <c r="D263" i="24" s="1" a="1"/>
  <c r="E263" i="24" s="1"/>
  <c r="K263" i="24"/>
  <c r="B264" i="24"/>
  <c r="C264" i="24"/>
  <c r="F264" i="24"/>
  <c r="G264" i="24"/>
  <c r="H264" i="24"/>
  <c r="I264" i="24"/>
  <c r="J264" i="24"/>
  <c r="D264" i="24" s="1" a="1"/>
  <c r="E264" i="24" s="1"/>
  <c r="K264" i="24"/>
  <c r="B265" i="24"/>
  <c r="C265" i="24"/>
  <c r="F265" i="24"/>
  <c r="G265" i="24"/>
  <c r="H265" i="24"/>
  <c r="I265" i="24"/>
  <c r="J265" i="24"/>
  <c r="D265" i="24" s="1" a="1"/>
  <c r="E265" i="24" s="1"/>
  <c r="K265" i="24"/>
  <c r="B266" i="24"/>
  <c r="C266" i="24"/>
  <c r="F266" i="24"/>
  <c r="G266" i="24"/>
  <c r="H266" i="24"/>
  <c r="I266" i="24"/>
  <c r="J266" i="24"/>
  <c r="D266" i="24" s="1" a="1"/>
  <c r="E266" i="24" s="1"/>
  <c r="K266" i="24"/>
  <c r="B267" i="24"/>
  <c r="C267" i="24"/>
  <c r="F267" i="24"/>
  <c r="G267" i="24"/>
  <c r="H267" i="24"/>
  <c r="I267" i="24"/>
  <c r="J267" i="24"/>
  <c r="D267" i="24" s="1" a="1"/>
  <c r="E267" i="24" s="1"/>
  <c r="K267" i="24"/>
  <c r="B268" i="24"/>
  <c r="C268" i="24"/>
  <c r="F268" i="24"/>
  <c r="G268" i="24"/>
  <c r="H268" i="24"/>
  <c r="I268" i="24"/>
  <c r="J268" i="24"/>
  <c r="D268" i="24" s="1" a="1"/>
  <c r="E268" i="24" s="1"/>
  <c r="K268" i="24"/>
  <c r="B269" i="24"/>
  <c r="C269" i="24"/>
  <c r="F269" i="24"/>
  <c r="G269" i="24"/>
  <c r="H269" i="24"/>
  <c r="I269" i="24"/>
  <c r="J269" i="24"/>
  <c r="D269" i="24" s="1" a="1"/>
  <c r="E269" i="24" s="1"/>
  <c r="K269" i="24"/>
  <c r="B270" i="24"/>
  <c r="C270" i="24"/>
  <c r="F270" i="24"/>
  <c r="G270" i="24"/>
  <c r="H270" i="24"/>
  <c r="I270" i="24"/>
  <c r="J270" i="24"/>
  <c r="D270" i="24" s="1" a="1"/>
  <c r="E270" i="24" s="1"/>
  <c r="K270" i="24"/>
  <c r="B271" i="24"/>
  <c r="C271" i="24"/>
  <c r="F271" i="24"/>
  <c r="G271" i="24"/>
  <c r="H271" i="24"/>
  <c r="I271" i="24"/>
  <c r="J271" i="24"/>
  <c r="D271" i="24" s="1" a="1"/>
  <c r="E271" i="24" s="1"/>
  <c r="K271" i="24"/>
  <c r="B272" i="24"/>
  <c r="C272" i="24"/>
  <c r="F272" i="24"/>
  <c r="G272" i="24"/>
  <c r="H272" i="24"/>
  <c r="I272" i="24"/>
  <c r="J272" i="24"/>
  <c r="D272" i="24" s="1" a="1"/>
  <c r="E272" i="24" s="1"/>
  <c r="K272" i="24"/>
  <c r="B273" i="24"/>
  <c r="C273" i="24"/>
  <c r="F273" i="24"/>
  <c r="G273" i="24"/>
  <c r="H273" i="24"/>
  <c r="I273" i="24"/>
  <c r="J273" i="24"/>
  <c r="D273" i="24" s="1" a="1"/>
  <c r="E273" i="24" s="1"/>
  <c r="K273" i="24"/>
  <c r="B274" i="24"/>
  <c r="C274" i="24"/>
  <c r="F274" i="24"/>
  <c r="G274" i="24"/>
  <c r="H274" i="24"/>
  <c r="I274" i="24"/>
  <c r="J274" i="24"/>
  <c r="D274" i="24" s="1" a="1"/>
  <c r="E274" i="24" s="1"/>
  <c r="K274" i="24"/>
  <c r="B275" i="24"/>
  <c r="C275" i="24"/>
  <c r="F275" i="24"/>
  <c r="G275" i="24"/>
  <c r="H275" i="24"/>
  <c r="I275" i="24"/>
  <c r="J275" i="24"/>
  <c r="D275" i="24" s="1" a="1"/>
  <c r="E275" i="24" s="1"/>
  <c r="K275" i="24"/>
  <c r="B276" i="24"/>
  <c r="C276" i="24"/>
  <c r="F276" i="24"/>
  <c r="G276" i="24"/>
  <c r="H276" i="24"/>
  <c r="I276" i="24"/>
  <c r="J276" i="24"/>
  <c r="D276" i="24" s="1" a="1"/>
  <c r="E276" i="24" s="1"/>
  <c r="K276" i="24"/>
  <c r="B277" i="24"/>
  <c r="C277" i="24"/>
  <c r="F277" i="24"/>
  <c r="G277" i="24"/>
  <c r="H277" i="24"/>
  <c r="I277" i="24"/>
  <c r="J277" i="24"/>
  <c r="D277" i="24" s="1" a="1"/>
  <c r="E277" i="24" s="1"/>
  <c r="K277" i="24"/>
  <c r="B278" i="24"/>
  <c r="C278" i="24"/>
  <c r="F278" i="24"/>
  <c r="G278" i="24"/>
  <c r="H278" i="24"/>
  <c r="I278" i="24"/>
  <c r="J278" i="24"/>
  <c r="D278" i="24" s="1" a="1"/>
  <c r="E278" i="24" s="1"/>
  <c r="K278" i="24"/>
  <c r="B279" i="24"/>
  <c r="C279" i="24"/>
  <c r="F279" i="24"/>
  <c r="G279" i="24"/>
  <c r="H279" i="24"/>
  <c r="I279" i="24"/>
  <c r="J279" i="24"/>
  <c r="D279" i="24" s="1" a="1"/>
  <c r="E279" i="24" s="1"/>
  <c r="K279" i="24"/>
  <c r="B280" i="24"/>
  <c r="C280" i="24"/>
  <c r="F280" i="24"/>
  <c r="G280" i="24"/>
  <c r="H280" i="24"/>
  <c r="I280" i="24"/>
  <c r="J280" i="24"/>
  <c r="D280" i="24" s="1" a="1"/>
  <c r="E280" i="24" s="1"/>
  <c r="K280" i="24"/>
  <c r="B281" i="24"/>
  <c r="C281" i="24"/>
  <c r="F281" i="24"/>
  <c r="G281" i="24"/>
  <c r="H281" i="24"/>
  <c r="I281" i="24"/>
  <c r="J281" i="24"/>
  <c r="D281" i="24" s="1" a="1"/>
  <c r="E281" i="24" s="1"/>
  <c r="K281" i="24"/>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O389" i="3"/>
  <c r="K282" i="24"/>
  <c r="L282" i="24" s="1"/>
  <c r="K283" i="24"/>
  <c r="L283" i="24" s="1"/>
  <c r="K284" i="24"/>
  <c r="L284" i="24" s="1"/>
  <c r="K285" i="24"/>
  <c r="L285" i="24" s="1"/>
  <c r="K286" i="24"/>
  <c r="K287" i="24"/>
  <c r="K288" i="24"/>
  <c r="K289" i="24"/>
  <c r="K290" i="24"/>
  <c r="K291" i="24"/>
  <c r="K292" i="24"/>
  <c r="K293" i="24"/>
  <c r="K294" i="24"/>
  <c r="K295" i="24"/>
  <c r="K296" i="24"/>
  <c r="K297" i="24"/>
  <c r="K298" i="24"/>
  <c r="K299" i="24"/>
  <c r="K300" i="24"/>
  <c r="K301" i="24"/>
  <c r="K302" i="24"/>
  <c r="K303" i="24"/>
  <c r="K304" i="24"/>
  <c r="K305" i="24"/>
  <c r="K306" i="24"/>
  <c r="K307" i="24"/>
  <c r="Y2" i="3"/>
  <c r="Y3" i="3"/>
  <c r="Y4" i="3"/>
  <c r="Y8" i="3"/>
  <c r="Y11" i="3"/>
  <c r="Y14" i="3"/>
  <c r="Y16" i="3"/>
  <c r="Y18" i="3"/>
  <c r="Y25" i="3"/>
  <c r="Y27" i="3"/>
  <c r="Y45" i="3"/>
  <c r="Y55" i="3"/>
  <c r="Y56" i="3"/>
  <c r="Y58" i="3"/>
  <c r="Y59" i="3"/>
  <c r="Y66" i="3"/>
  <c r="Y87" i="3"/>
  <c r="Y88" i="3"/>
  <c r="Y254" i="3"/>
  <c r="Y255" i="3"/>
  <c r="Y257" i="3"/>
  <c r="Y263" i="3"/>
  <c r="Y265" i="3"/>
  <c r="Y274" i="3"/>
  <c r="Y309" i="3"/>
  <c r="Y310" i="3"/>
  <c r="Y312" i="3"/>
  <c r="Y315" i="3"/>
  <c r="Y317" i="3"/>
  <c r="Y318" i="3"/>
  <c r="Y323" i="3"/>
  <c r="Y327" i="3"/>
  <c r="Y328" i="3"/>
  <c r="Y330" i="3"/>
  <c r="Y346" i="3"/>
  <c r="Y348" i="3"/>
  <c r="Y350" i="3"/>
  <c r="Y351" i="3"/>
  <c r="Y352" i="3"/>
  <c r="Y356" i="3"/>
  <c r="Y357" i="3"/>
  <c r="A2" i="26"/>
  <c r="A3" i="26"/>
  <c r="A4" i="26"/>
  <c r="A5"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C42" i="26" s="1"/>
  <c r="A43" i="26"/>
  <c r="A44" i="26"/>
  <c r="A45" i="26"/>
  <c r="C45" i="26" s="1"/>
  <c r="A46" i="26"/>
  <c r="C46" i="26" s="1"/>
  <c r="A47" i="26"/>
  <c r="C47" i="26" s="1"/>
  <c r="A48" i="26"/>
  <c r="C48" i="26" s="1"/>
  <c r="A49" i="26"/>
  <c r="C49" i="26" s="1"/>
  <c r="A50" i="26"/>
  <c r="C50" i="26" s="1"/>
  <c r="A51" i="26"/>
  <c r="C51" i="26" s="1"/>
  <c r="A52" i="26"/>
  <c r="C52" i="26" s="1"/>
  <c r="A53" i="26"/>
  <c r="C53" i="26" s="1"/>
  <c r="A54" i="26"/>
  <c r="C54" i="26" s="1"/>
  <c r="A55" i="26"/>
  <c r="C55" i="26" s="1"/>
  <c r="A56" i="26"/>
  <c r="C56" i="26" s="1"/>
  <c r="A57" i="26"/>
  <c r="C57" i="26" s="1"/>
  <c r="A58" i="26"/>
  <c r="C58" i="26" s="1"/>
  <c r="A59" i="26"/>
  <c r="C59" i="26" s="1"/>
  <c r="A60" i="26"/>
  <c r="C60" i="26" s="1"/>
  <c r="A61" i="26"/>
  <c r="C61" i="26" s="1"/>
  <c r="A62" i="26"/>
  <c r="C62" i="26" s="1"/>
  <c r="A63" i="26"/>
  <c r="C63" i="26" s="1"/>
  <c r="A64" i="26"/>
  <c r="C64" i="26" s="1"/>
  <c r="A65" i="26"/>
  <c r="C65" i="26" s="1"/>
  <c r="A66" i="26"/>
  <c r="C66" i="26" s="1"/>
  <c r="A67" i="26"/>
  <c r="C67" i="26" s="1"/>
  <c r="A68" i="26"/>
  <c r="C68" i="26" s="1"/>
  <c r="A69" i="26"/>
  <c r="C69" i="26" s="1"/>
  <c r="A70" i="26"/>
  <c r="C70" i="26" s="1"/>
  <c r="A71" i="26"/>
  <c r="C71" i="26" s="1"/>
  <c r="A72" i="26"/>
  <c r="C72" i="26" s="1"/>
  <c r="A73" i="26"/>
  <c r="C73" i="26" s="1"/>
  <c r="A74" i="26"/>
  <c r="C74" i="26" s="1"/>
  <c r="A75" i="26"/>
  <c r="C75" i="26" s="1"/>
  <c r="A76" i="26"/>
  <c r="C76" i="26" s="1"/>
  <c r="A77" i="26"/>
  <c r="C77" i="26" s="1"/>
  <c r="A78" i="26"/>
  <c r="C78" i="26" s="1"/>
  <c r="A79" i="26"/>
  <c r="C79" i="26" s="1"/>
  <c r="A80" i="26"/>
  <c r="C80" i="26" s="1"/>
  <c r="A81" i="26"/>
  <c r="C81" i="26" s="1"/>
  <c r="A82" i="26"/>
  <c r="C82" i="26" s="1"/>
  <c r="A83" i="26"/>
  <c r="C83" i="26" s="1"/>
  <c r="A84" i="26"/>
  <c r="C84" i="26" s="1"/>
  <c r="A85" i="26"/>
  <c r="C85" i="26" s="1"/>
  <c r="A86" i="26"/>
  <c r="C86" i="26" s="1"/>
  <c r="A87" i="26"/>
  <c r="C87" i="26" s="1"/>
  <c r="A88" i="26"/>
  <c r="C88" i="26" s="1"/>
  <c r="A89" i="26"/>
  <c r="C89" i="26" s="1"/>
  <c r="A90" i="26"/>
  <c r="C90" i="26" s="1"/>
  <c r="A91" i="26"/>
  <c r="C91" i="26" s="1"/>
  <c r="A92" i="26"/>
  <c r="C92" i="26" s="1"/>
  <c r="A93" i="26"/>
  <c r="C93" i="26" s="1"/>
  <c r="A94" i="26"/>
  <c r="C94" i="26" s="1"/>
  <c r="A95" i="26"/>
  <c r="C95" i="26" s="1"/>
  <c r="A96" i="26"/>
  <c r="C96" i="26" s="1"/>
  <c r="A97" i="26"/>
  <c r="C97" i="26" s="1"/>
  <c r="A98" i="26"/>
  <c r="C98" i="26" s="1"/>
  <c r="A99" i="26"/>
  <c r="C99" i="26" s="1"/>
  <c r="A100" i="26"/>
  <c r="C100" i="26" s="1"/>
  <c r="A101" i="26"/>
  <c r="C101" i="26" s="1"/>
  <c r="A102" i="26"/>
  <c r="C102" i="26" s="1"/>
  <c r="A103" i="26"/>
  <c r="C103" i="26" s="1"/>
  <c r="A104" i="26"/>
  <c r="C104" i="26" s="1"/>
  <c r="A105" i="26"/>
  <c r="C105" i="26" s="1"/>
  <c r="A106" i="26"/>
  <c r="C106" i="26" s="1"/>
  <c r="A107" i="26"/>
  <c r="C107" i="26" s="1"/>
  <c r="A108" i="26"/>
  <c r="C108" i="26" s="1"/>
  <c r="A109" i="26"/>
  <c r="C109" i="26" s="1"/>
  <c r="A110" i="26"/>
  <c r="C110" i="26" s="1"/>
  <c r="A111" i="26"/>
  <c r="C111" i="26" s="1"/>
  <c r="A112" i="26"/>
  <c r="C112" i="26" s="1"/>
  <c r="A113" i="26"/>
  <c r="C113" i="26" s="1"/>
  <c r="A114" i="26"/>
  <c r="C114" i="26" s="1"/>
  <c r="A115" i="26"/>
  <c r="C115" i="26" s="1"/>
  <c r="A116" i="26"/>
  <c r="C116" i="26" s="1"/>
  <c r="A117" i="26"/>
  <c r="C117" i="26" s="1"/>
  <c r="A118" i="26"/>
  <c r="C118" i="26" s="1"/>
  <c r="A119" i="26"/>
  <c r="C119" i="26" s="1"/>
  <c r="A120" i="26"/>
  <c r="C120" i="26" s="1"/>
  <c r="A121" i="26"/>
  <c r="C121" i="26" s="1"/>
  <c r="A122" i="26"/>
  <c r="C122" i="26" s="1"/>
  <c r="A123" i="26"/>
  <c r="C123" i="26" s="1"/>
  <c r="A124" i="26"/>
  <c r="C124" i="26" s="1"/>
  <c r="A125" i="26"/>
  <c r="C125" i="26" s="1"/>
  <c r="A126" i="26"/>
  <c r="C126" i="26" s="1"/>
  <c r="A127" i="26"/>
  <c r="C127" i="26" s="1"/>
  <c r="A128" i="26"/>
  <c r="C128" i="26" s="1"/>
  <c r="A129" i="26"/>
  <c r="C129" i="26" s="1"/>
  <c r="A130" i="26"/>
  <c r="C130" i="26" s="1"/>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C282" i="24"/>
  <c r="C283" i="24"/>
  <c r="C284" i="24"/>
  <c r="C285" i="24"/>
  <c r="C286" i="24"/>
  <c r="C287" i="24"/>
  <c r="C288" i="24"/>
  <c r="C289" i="24"/>
  <c r="C290" i="24"/>
  <c r="C291" i="24"/>
  <c r="C292" i="24"/>
  <c r="C293" i="24"/>
  <c r="C294" i="24"/>
  <c r="C295" i="24"/>
  <c r="C296" i="24"/>
  <c r="C297" i="24"/>
  <c r="C298" i="24"/>
  <c r="C299" i="24"/>
  <c r="C300" i="24"/>
  <c r="C301" i="24"/>
  <c r="C302" i="24"/>
  <c r="C303" i="24"/>
  <c r="C304" i="24"/>
  <c r="C305" i="24"/>
  <c r="C306" i="24"/>
  <c r="C307" i="24"/>
  <c r="G282" i="24"/>
  <c r="G283" i="24"/>
  <c r="G284" i="24"/>
  <c r="G285" i="24"/>
  <c r="G286" i="24"/>
  <c r="G287" i="24"/>
  <c r="G288" i="24"/>
  <c r="G289" i="24"/>
  <c r="G290" i="24"/>
  <c r="G291" i="24"/>
  <c r="G292" i="24"/>
  <c r="G293" i="24"/>
  <c r="G294" i="24"/>
  <c r="G295" i="24"/>
  <c r="G296" i="24"/>
  <c r="G297" i="24"/>
  <c r="G298" i="24"/>
  <c r="G299" i="24"/>
  <c r="G300" i="24"/>
  <c r="G301" i="24"/>
  <c r="G302" i="24"/>
  <c r="G303" i="24"/>
  <c r="G304" i="24"/>
  <c r="G305" i="24"/>
  <c r="G306" i="24"/>
  <c r="G307" i="24"/>
  <c r="F282" i="24"/>
  <c r="F283" i="24"/>
  <c r="F284" i="24"/>
  <c r="F285" i="24"/>
  <c r="F286" i="24"/>
  <c r="F287" i="24"/>
  <c r="F288" i="24"/>
  <c r="F289" i="24"/>
  <c r="F290" i="24"/>
  <c r="F291" i="24"/>
  <c r="F292" i="24"/>
  <c r="F293" i="24"/>
  <c r="F294" i="24"/>
  <c r="F295" i="24"/>
  <c r="F296" i="24"/>
  <c r="F297" i="24"/>
  <c r="F298" i="24"/>
  <c r="F299" i="24"/>
  <c r="F300" i="24"/>
  <c r="F301" i="24"/>
  <c r="F302" i="24"/>
  <c r="F303" i="24"/>
  <c r="F304" i="24"/>
  <c r="F305" i="24"/>
  <c r="F306" i="24"/>
  <c r="F307" i="24"/>
  <c r="I282" i="24"/>
  <c r="I283" i="24"/>
  <c r="I284" i="24"/>
  <c r="I285" i="24"/>
  <c r="I286" i="24"/>
  <c r="I287" i="24"/>
  <c r="I288" i="24"/>
  <c r="I289" i="24"/>
  <c r="I290" i="24"/>
  <c r="I291" i="24"/>
  <c r="I292" i="24"/>
  <c r="I293" i="24"/>
  <c r="I294" i="24"/>
  <c r="I295" i="24"/>
  <c r="I296" i="24"/>
  <c r="I297" i="24"/>
  <c r="I298" i="24"/>
  <c r="I299" i="24"/>
  <c r="I300" i="24"/>
  <c r="I301" i="24"/>
  <c r="I302" i="24"/>
  <c r="I303" i="24"/>
  <c r="I304" i="24"/>
  <c r="I305" i="24"/>
  <c r="I306" i="24"/>
  <c r="I307"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B282" i="24"/>
  <c r="B283" i="24"/>
  <c r="B284" i="24"/>
  <c r="B285" i="24"/>
  <c r="B286" i="24"/>
  <c r="B287" i="24"/>
  <c r="B288" i="24"/>
  <c r="B289" i="24"/>
  <c r="B290" i="24"/>
  <c r="B291" i="24"/>
  <c r="B292" i="24"/>
  <c r="B293" i="24"/>
  <c r="B294" i="24"/>
  <c r="B295" i="24"/>
  <c r="B296" i="24"/>
  <c r="B297" i="24"/>
  <c r="B298" i="24"/>
  <c r="B299" i="24"/>
  <c r="B300" i="24"/>
  <c r="B301" i="24"/>
  <c r="B302" i="24"/>
  <c r="B303" i="24"/>
  <c r="B304" i="24"/>
  <c r="B305" i="24"/>
  <c r="B306" i="24"/>
  <c r="B307" i="24"/>
  <c r="J282" i="24"/>
  <c r="D282" i="24" s="1" a="1"/>
  <c r="J283" i="24"/>
  <c r="D283" i="24" s="1" a="1"/>
  <c r="J284" i="24"/>
  <c r="D284" i="24" s="1" a="1"/>
  <c r="J285" i="24"/>
  <c r="D285" i="24" s="1" a="1"/>
  <c r="J286" i="24"/>
  <c r="D286" i="24" s="1" a="1"/>
  <c r="J287" i="24"/>
  <c r="D287" i="24" s="1" a="1"/>
  <c r="J288" i="24"/>
  <c r="D288" i="24" s="1" a="1"/>
  <c r="J289" i="24"/>
  <c r="D289" i="24" s="1" a="1"/>
  <c r="J290" i="24"/>
  <c r="D290" i="24" s="1" a="1"/>
  <c r="J291" i="24"/>
  <c r="D291" i="24" s="1" a="1"/>
  <c r="J292" i="24"/>
  <c r="D292" i="24" s="1" a="1"/>
  <c r="J293" i="24"/>
  <c r="D293" i="24" s="1" a="1"/>
  <c r="J294" i="24"/>
  <c r="D294" i="24" s="1" a="1"/>
  <c r="J295" i="24"/>
  <c r="D295" i="24" s="1" a="1"/>
  <c r="J296" i="24"/>
  <c r="D296" i="24" s="1" a="1"/>
  <c r="J297" i="24"/>
  <c r="D297" i="24" s="1" a="1"/>
  <c r="J298" i="24"/>
  <c r="D298" i="24" s="1" a="1"/>
  <c r="J299" i="24"/>
  <c r="D299" i="24" s="1" a="1"/>
  <c r="J300" i="24"/>
  <c r="D300" i="24" s="1" a="1"/>
  <c r="J301" i="24"/>
  <c r="D301" i="24" s="1" a="1"/>
  <c r="J302" i="24"/>
  <c r="D302" i="24" s="1" a="1"/>
  <c r="J303" i="24"/>
  <c r="D303" i="24" s="1" a="1"/>
  <c r="J304" i="24"/>
  <c r="D304" i="24" s="1" a="1"/>
  <c r="J305" i="24"/>
  <c r="D305" i="24" s="1" a="1"/>
  <c r="J306" i="24"/>
  <c r="D306" i="24" s="1" a="1"/>
  <c r="J307" i="24"/>
  <c r="D307" i="24" s="1" a="1"/>
  <c r="P391" i="3"/>
  <c r="O345" i="3"/>
  <c r="O282" i="3"/>
  <c r="O283" i="3"/>
  <c r="O284" i="3"/>
  <c r="O285" i="3"/>
  <c r="O286" i="3"/>
  <c r="O287" i="3"/>
  <c r="O288" i="3"/>
  <c r="O289" i="3"/>
  <c r="O290" i="3"/>
  <c r="O291" i="3"/>
  <c r="O292" i="3"/>
  <c r="O293" i="3"/>
  <c r="O294" i="3"/>
  <c r="O295" i="3"/>
  <c r="O296" i="3"/>
  <c r="O297" i="3"/>
  <c r="O298" i="3"/>
  <c r="O299" i="3"/>
  <c r="O300" i="3"/>
  <c r="O301" i="3"/>
  <c r="O302" i="3"/>
  <c r="O303" i="3"/>
  <c r="O304" i="3"/>
  <c r="O363" i="3"/>
  <c r="O364" i="3"/>
  <c r="O365" i="3"/>
  <c r="O366" i="3"/>
  <c r="O367" i="3"/>
  <c r="O305" i="3"/>
  <c r="O306" i="3"/>
  <c r="O307" i="3"/>
  <c r="O350" i="3"/>
  <c r="O351" i="3"/>
  <c r="O352" i="3"/>
  <c r="O353" i="3"/>
  <c r="O354" i="3"/>
  <c r="O355" i="3"/>
  <c r="O356" i="3"/>
  <c r="O357" i="3"/>
  <c r="O358" i="3"/>
  <c r="O359" i="3"/>
  <c r="O360" i="3"/>
  <c r="O361" i="3"/>
  <c r="O369" i="3"/>
  <c r="O370" i="3"/>
  <c r="O373" i="3"/>
  <c r="O374" i="3"/>
  <c r="O375" i="3"/>
  <c r="O311" i="3"/>
  <c r="O312" i="3"/>
  <c r="O313" i="3"/>
  <c r="O314" i="3"/>
  <c r="O376" i="3"/>
  <c r="O315" i="3"/>
  <c r="O316" i="3"/>
  <c r="O317" i="3"/>
  <c r="O377" i="3"/>
  <c r="O378" i="3"/>
  <c r="O379" i="3"/>
  <c r="O380" i="3"/>
  <c r="O319" i="3"/>
  <c r="O382" i="3"/>
  <c r="O320" i="3"/>
  <c r="O321" i="3"/>
  <c r="O322" i="3"/>
  <c r="O323" i="3"/>
  <c r="O384" i="3"/>
  <c r="O324" i="3"/>
  <c r="O325" i="3"/>
  <c r="O326" i="3"/>
  <c r="O327" i="3"/>
  <c r="O385" i="3"/>
  <c r="O386" i="3"/>
  <c r="O387" i="3"/>
  <c r="O388" i="3"/>
  <c r="O331" i="3"/>
  <c r="O333" i="3"/>
  <c r="O334" i="3"/>
  <c r="O392" i="3"/>
  <c r="O335" i="3"/>
  <c r="O393" i="3"/>
  <c r="O336" i="3"/>
  <c r="O394" i="3"/>
  <c r="O338" i="3"/>
  <c r="O395" i="3"/>
  <c r="O396" i="3"/>
  <c r="O339" i="3"/>
  <c r="O340" i="3"/>
  <c r="O341" i="3"/>
  <c r="O342" i="3"/>
  <c r="O397" i="3"/>
  <c r="O343" i="3"/>
  <c r="O398" i="3"/>
  <c r="O344" i="3"/>
  <c r="O399" i="3"/>
  <c r="O400" i="3"/>
  <c r="O402" i="3"/>
  <c r="O347" i="3"/>
  <c r="O349" i="3"/>
  <c r="P282" i="3"/>
  <c r="P283" i="3"/>
  <c r="P284" i="3"/>
  <c r="P285" i="3"/>
  <c r="P286" i="3"/>
  <c r="P287" i="3"/>
  <c r="P288" i="3"/>
  <c r="P289" i="3"/>
  <c r="P290" i="3"/>
  <c r="P291" i="3"/>
  <c r="P292" i="3"/>
  <c r="P293" i="3"/>
  <c r="P294" i="3"/>
  <c r="P295" i="3"/>
  <c r="P296" i="3"/>
  <c r="P297" i="3"/>
  <c r="P298" i="3"/>
  <c r="P299" i="3"/>
  <c r="P300" i="3"/>
  <c r="P301" i="3"/>
  <c r="P302" i="3"/>
  <c r="P303" i="3"/>
  <c r="P304" i="3"/>
  <c r="P363" i="3"/>
  <c r="P364" i="3"/>
  <c r="P365" i="3"/>
  <c r="P366" i="3"/>
  <c r="P367" i="3"/>
  <c r="P305" i="3"/>
  <c r="P306" i="3"/>
  <c r="P307" i="3"/>
  <c r="P350" i="3"/>
  <c r="P351" i="3"/>
  <c r="P352" i="3"/>
  <c r="P353" i="3"/>
  <c r="P354" i="3"/>
  <c r="P355" i="3"/>
  <c r="P356" i="3"/>
  <c r="P357" i="3"/>
  <c r="P358" i="3"/>
  <c r="P359" i="3"/>
  <c r="P361" i="3"/>
  <c r="P362" i="3"/>
  <c r="P368" i="3"/>
  <c r="P369" i="3"/>
  <c r="P370" i="3"/>
  <c r="P371" i="3"/>
  <c r="P372" i="3"/>
  <c r="P373" i="3"/>
  <c r="P374" i="3"/>
  <c r="P375" i="3"/>
  <c r="P308" i="3"/>
  <c r="P309" i="3"/>
  <c r="P310" i="3"/>
  <c r="P311" i="3"/>
  <c r="P312" i="3"/>
  <c r="P313" i="3"/>
  <c r="P314" i="3"/>
  <c r="P376" i="3"/>
  <c r="P315" i="3"/>
  <c r="P316" i="3"/>
  <c r="P317" i="3"/>
  <c r="P377" i="3"/>
  <c r="P378" i="3"/>
  <c r="P318" i="3"/>
  <c r="P379" i="3"/>
  <c r="P380" i="3"/>
  <c r="P319" i="3"/>
  <c r="P381" i="3"/>
  <c r="P382" i="3"/>
  <c r="P320" i="3"/>
  <c r="P321" i="3"/>
  <c r="P322" i="3"/>
  <c r="P383" i="3"/>
  <c r="P323" i="3"/>
  <c r="P384" i="3"/>
  <c r="P324" i="3"/>
  <c r="P325" i="3"/>
  <c r="P326" i="3"/>
  <c r="P327" i="3"/>
  <c r="P385" i="3"/>
  <c r="P328" i="3"/>
  <c r="P329" i="3"/>
  <c r="P386" i="3"/>
  <c r="P330" i="3"/>
  <c r="P387" i="3"/>
  <c r="P388" i="3"/>
  <c r="P389" i="3"/>
  <c r="P331" i="3"/>
  <c r="P390" i="3"/>
  <c r="P332" i="3"/>
  <c r="P333" i="3"/>
  <c r="P334" i="3"/>
  <c r="P392" i="3"/>
  <c r="P335" i="3"/>
  <c r="P393" i="3"/>
  <c r="P336" i="3"/>
  <c r="P337" i="3"/>
  <c r="P394" i="3"/>
  <c r="P338" i="3"/>
  <c r="P395" i="3"/>
  <c r="P396" i="3"/>
  <c r="P339" i="3"/>
  <c r="P340" i="3"/>
  <c r="P341" i="3"/>
  <c r="P342" i="3"/>
  <c r="P397" i="3"/>
  <c r="P343" i="3"/>
  <c r="P398" i="3"/>
  <c r="P344" i="3"/>
  <c r="P399" i="3"/>
  <c r="P345" i="3"/>
  <c r="P346" i="3"/>
  <c r="P400" i="3"/>
  <c r="P401" i="3"/>
  <c r="P402" i="3"/>
  <c r="P347" i="3"/>
  <c r="P348" i="3"/>
  <c r="P349" i="3"/>
  <c r="I3" i="26"/>
  <c r="I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2" i="26"/>
  <c r="A131" i="26"/>
  <c r="C131" i="26" s="1"/>
  <c r="A132" i="26"/>
  <c r="C132" i="26" s="1"/>
  <c r="A133" i="26"/>
  <c r="C133" i="26" s="1"/>
  <c r="T312" i="18"/>
  <c r="J312" i="18"/>
  <c r="A312" i="18"/>
  <c r="T311" i="18"/>
  <c r="U311" i="18" s="1"/>
  <c r="J311" i="18"/>
  <c r="A311" i="18"/>
  <c r="T310" i="18"/>
  <c r="J310" i="18"/>
  <c r="A310" i="18"/>
  <c r="T309" i="18"/>
  <c r="J309" i="18"/>
  <c r="A309" i="18"/>
  <c r="X308" i="18"/>
  <c r="T308" i="18"/>
  <c r="J308" i="18"/>
  <c r="A308" i="18"/>
  <c r="T307" i="18"/>
  <c r="J307" i="18"/>
  <c r="A307" i="18"/>
  <c r="T306" i="18"/>
  <c r="J306" i="18"/>
  <c r="A306" i="18"/>
  <c r="T305" i="18"/>
  <c r="J305" i="18"/>
  <c r="A305" i="18"/>
  <c r="T304" i="18"/>
  <c r="J304" i="18"/>
  <c r="A304" i="18"/>
  <c r="T303" i="18"/>
  <c r="J303" i="18"/>
  <c r="A303" i="18"/>
  <c r="T302" i="18"/>
  <c r="J302" i="18"/>
  <c r="A302" i="18"/>
  <c r="T301" i="18"/>
  <c r="J301" i="18"/>
  <c r="A301" i="18"/>
  <c r="T300" i="18"/>
  <c r="J300" i="18"/>
  <c r="A300" i="18"/>
  <c r="T299" i="18"/>
  <c r="J299" i="18"/>
  <c r="A299" i="18"/>
  <c r="T298" i="18"/>
  <c r="J298" i="18"/>
  <c r="A298" i="18"/>
  <c r="T297" i="18"/>
  <c r="J297" i="18"/>
  <c r="A297" i="18"/>
  <c r="T296" i="18"/>
  <c r="J296" i="18"/>
  <c r="A296" i="18"/>
  <c r="T295" i="18"/>
  <c r="J295" i="18"/>
  <c r="A295" i="18"/>
  <c r="T294" i="18"/>
  <c r="J294" i="18"/>
  <c r="A294" i="18"/>
  <c r="X293" i="18"/>
  <c r="T293" i="18"/>
  <c r="J293" i="18"/>
  <c r="A293" i="18"/>
  <c r="T292" i="18"/>
  <c r="J292" i="18"/>
  <c r="A292" i="18"/>
  <c r="T291" i="18"/>
  <c r="J291" i="18"/>
  <c r="A291" i="18"/>
  <c r="T290" i="18"/>
  <c r="J290" i="18"/>
  <c r="A290" i="18"/>
  <c r="T289" i="18"/>
  <c r="J289" i="18"/>
  <c r="A289" i="18"/>
  <c r="T288" i="18"/>
  <c r="J288" i="18"/>
  <c r="A288" i="18"/>
  <c r="T287" i="18"/>
  <c r="J287" i="18"/>
  <c r="A287" i="18"/>
  <c r="X286" i="18"/>
  <c r="T286" i="18"/>
  <c r="J286" i="18"/>
  <c r="A286" i="18"/>
  <c r="T285" i="18"/>
  <c r="J285" i="18"/>
  <c r="A285" i="18"/>
  <c r="T284" i="18"/>
  <c r="J284" i="18"/>
  <c r="A284" i="18"/>
  <c r="T283" i="18"/>
  <c r="J283" i="18"/>
  <c r="A283" i="18"/>
  <c r="T282" i="18"/>
  <c r="J282" i="18"/>
  <c r="A282" i="18"/>
  <c r="T281" i="18"/>
  <c r="J281" i="18"/>
  <c r="A281" i="18"/>
  <c r="T280" i="18"/>
  <c r="J280" i="18"/>
  <c r="A280" i="18"/>
  <c r="T279" i="18"/>
  <c r="J279" i="18"/>
  <c r="A279" i="18"/>
  <c r="X278" i="18"/>
  <c r="T278" i="18"/>
  <c r="J278" i="18"/>
  <c r="A278" i="18"/>
  <c r="T277" i="18"/>
  <c r="J277" i="18"/>
  <c r="A277" i="18"/>
  <c r="T276" i="18"/>
  <c r="J276" i="18"/>
  <c r="A276" i="18"/>
  <c r="T275" i="18"/>
  <c r="J275" i="18"/>
  <c r="A275" i="18"/>
  <c r="X274" i="18"/>
  <c r="T274" i="18"/>
  <c r="J274" i="18"/>
  <c r="A274" i="18"/>
  <c r="T273" i="18"/>
  <c r="J273" i="18"/>
  <c r="A273" i="18"/>
  <c r="T272" i="18"/>
  <c r="J272" i="18"/>
  <c r="A272" i="18"/>
  <c r="T271" i="18"/>
  <c r="J271" i="18"/>
  <c r="A271" i="18"/>
  <c r="T270" i="18"/>
  <c r="J270" i="18"/>
  <c r="A270" i="18"/>
  <c r="T269" i="18"/>
  <c r="J269" i="18"/>
  <c r="A269" i="18"/>
  <c r="T268" i="18"/>
  <c r="J268" i="18"/>
  <c r="A268" i="18"/>
  <c r="T267" i="18"/>
  <c r="J267" i="18"/>
  <c r="A267" i="18"/>
  <c r="T266" i="18"/>
  <c r="J266" i="18"/>
  <c r="A266" i="18"/>
  <c r="T265" i="18"/>
  <c r="J265" i="18"/>
  <c r="A265" i="18"/>
  <c r="T264" i="18"/>
  <c r="J264" i="18"/>
  <c r="A264" i="18"/>
  <c r="T263" i="18"/>
  <c r="J263" i="18"/>
  <c r="A263" i="18"/>
  <c r="T262" i="18"/>
  <c r="J262" i="18"/>
  <c r="A262" i="18"/>
  <c r="T261" i="18"/>
  <c r="J261" i="18"/>
  <c r="A261" i="18"/>
  <c r="T260" i="18"/>
  <c r="J260" i="18"/>
  <c r="A260" i="18"/>
  <c r="T259" i="18"/>
  <c r="J259" i="18"/>
  <c r="A259" i="18"/>
  <c r="T258" i="18"/>
  <c r="J258" i="18"/>
  <c r="A258" i="18"/>
  <c r="T257" i="18"/>
  <c r="J257" i="18"/>
  <c r="A257" i="18"/>
  <c r="T256" i="18"/>
  <c r="J256" i="18"/>
  <c r="A256" i="18"/>
  <c r="T255" i="18"/>
  <c r="J255" i="18"/>
  <c r="A255" i="18"/>
  <c r="X254" i="18"/>
  <c r="T254" i="18"/>
  <c r="J254" i="18"/>
  <c r="A254" i="18"/>
  <c r="T253" i="18"/>
  <c r="J253" i="18"/>
  <c r="A253" i="18"/>
  <c r="T252" i="18"/>
  <c r="J252" i="18"/>
  <c r="A252" i="18"/>
  <c r="T251" i="18"/>
  <c r="J251" i="18"/>
  <c r="A251" i="18"/>
  <c r="T250" i="18"/>
  <c r="J250" i="18"/>
  <c r="A250" i="18"/>
  <c r="T249" i="18"/>
  <c r="J249" i="18"/>
  <c r="A249" i="18"/>
  <c r="T248" i="18"/>
  <c r="J248" i="18"/>
  <c r="A248" i="18"/>
  <c r="T247" i="18"/>
  <c r="J247" i="18"/>
  <c r="A247" i="18"/>
  <c r="T246" i="18"/>
  <c r="J246" i="18"/>
  <c r="A246" i="18"/>
  <c r="T245" i="18"/>
  <c r="J245" i="18"/>
  <c r="A245" i="18"/>
  <c r="T244" i="18"/>
  <c r="J244" i="18"/>
  <c r="A244" i="18"/>
  <c r="T243" i="18"/>
  <c r="J243" i="18"/>
  <c r="A243" i="18"/>
  <c r="T242" i="18"/>
  <c r="J242" i="18"/>
  <c r="A242" i="18"/>
  <c r="X241" i="18"/>
  <c r="T241" i="18"/>
  <c r="J241" i="18"/>
  <c r="A241" i="18"/>
  <c r="T240" i="18"/>
  <c r="J240" i="18"/>
  <c r="A240" i="18"/>
  <c r="T239" i="18"/>
  <c r="J239" i="18"/>
  <c r="A239" i="18"/>
  <c r="X238" i="18"/>
  <c r="T238" i="18"/>
  <c r="J238" i="18"/>
  <c r="A238" i="18"/>
  <c r="T237" i="18"/>
  <c r="J237" i="18"/>
  <c r="A237" i="18"/>
  <c r="T236" i="18"/>
  <c r="U236" i="18" s="1"/>
  <c r="S236" i="18" s="1"/>
  <c r="X236" i="18" s="1"/>
  <c r="J236" i="18"/>
  <c r="A236" i="18"/>
  <c r="T235" i="18"/>
  <c r="J235" i="18"/>
  <c r="A235" i="18"/>
  <c r="X234" i="18"/>
  <c r="T234" i="18"/>
  <c r="J234" i="18"/>
  <c r="A234" i="18"/>
  <c r="T233" i="18"/>
  <c r="J233" i="18"/>
  <c r="A233" i="18"/>
  <c r="T232" i="18"/>
  <c r="J232" i="18"/>
  <c r="A232" i="18"/>
  <c r="T231" i="18"/>
  <c r="J231" i="18"/>
  <c r="A231" i="18"/>
  <c r="T230" i="18"/>
  <c r="J230" i="18"/>
  <c r="A230" i="18"/>
  <c r="T229" i="18"/>
  <c r="J229" i="18"/>
  <c r="A229" i="18"/>
  <c r="T228" i="18"/>
  <c r="J228" i="18"/>
  <c r="A228" i="18"/>
  <c r="T227" i="18"/>
  <c r="J227" i="18"/>
  <c r="A227" i="18"/>
  <c r="T226" i="18"/>
  <c r="J226" i="18"/>
  <c r="A226" i="18"/>
  <c r="T225" i="18"/>
  <c r="J225" i="18"/>
  <c r="A225" i="18"/>
  <c r="T224" i="18"/>
  <c r="J224" i="18"/>
  <c r="A224" i="18"/>
  <c r="T223" i="18"/>
  <c r="J223" i="18"/>
  <c r="A223" i="18"/>
  <c r="X222" i="18"/>
  <c r="T222" i="18"/>
  <c r="J222" i="18"/>
  <c r="A222" i="18"/>
  <c r="X221" i="18"/>
  <c r="T221" i="18"/>
  <c r="J221" i="18"/>
  <c r="A221" i="18"/>
  <c r="T220" i="18"/>
  <c r="J220" i="18"/>
  <c r="A220" i="18"/>
  <c r="T219" i="18"/>
  <c r="J219" i="18"/>
  <c r="A219" i="18"/>
  <c r="T218" i="18"/>
  <c r="J218" i="18"/>
  <c r="A218" i="18"/>
  <c r="X217" i="18"/>
  <c r="T217" i="18"/>
  <c r="J217" i="18"/>
  <c r="A217" i="18"/>
  <c r="T216" i="18"/>
  <c r="J216" i="18"/>
  <c r="A216" i="18"/>
  <c r="T215" i="18"/>
  <c r="J215" i="18"/>
  <c r="A215" i="18"/>
  <c r="T214" i="18"/>
  <c r="J214" i="18"/>
  <c r="A214" i="18"/>
  <c r="T213" i="18"/>
  <c r="J213" i="18"/>
  <c r="A213" i="18"/>
  <c r="T212" i="18"/>
  <c r="J212" i="18"/>
  <c r="A212" i="18"/>
  <c r="T211" i="18"/>
  <c r="J211" i="18"/>
  <c r="A211" i="18"/>
  <c r="T210" i="18"/>
  <c r="J210" i="18"/>
  <c r="A210" i="18"/>
  <c r="T209" i="18"/>
  <c r="J209" i="18"/>
  <c r="A209" i="18"/>
  <c r="T208" i="18"/>
  <c r="J208" i="18"/>
  <c r="A208" i="18"/>
  <c r="T207" i="18"/>
  <c r="J207" i="18"/>
  <c r="A207" i="18"/>
  <c r="T206" i="18"/>
  <c r="J206" i="18"/>
  <c r="A206" i="18"/>
  <c r="T205" i="18"/>
  <c r="J205" i="18"/>
  <c r="A205" i="18"/>
  <c r="T204" i="18"/>
  <c r="J204" i="18"/>
  <c r="A204" i="18"/>
  <c r="T203" i="18"/>
  <c r="J203" i="18"/>
  <c r="A203" i="18"/>
  <c r="T202" i="18"/>
  <c r="J202" i="18"/>
  <c r="A202" i="18"/>
  <c r="T201" i="18"/>
  <c r="J201" i="18"/>
  <c r="A201" i="18"/>
  <c r="T200" i="18"/>
  <c r="J200" i="18"/>
  <c r="A200" i="18"/>
  <c r="T199" i="18"/>
  <c r="J199" i="18"/>
  <c r="A199" i="18"/>
  <c r="T198" i="18"/>
  <c r="J198" i="18"/>
  <c r="A198" i="18"/>
  <c r="T197" i="18"/>
  <c r="U197" i="18" s="1"/>
  <c r="S197" i="18" s="1"/>
  <c r="X197" i="18" s="1"/>
  <c r="J197" i="18"/>
  <c r="A197" i="18"/>
  <c r="T196" i="18"/>
  <c r="U196" i="18" s="1"/>
  <c r="S196" i="18" s="1"/>
  <c r="X196" i="18" s="1"/>
  <c r="J196" i="18"/>
  <c r="A196" i="18"/>
  <c r="T195" i="18"/>
  <c r="U195" i="18" s="1"/>
  <c r="S195" i="18" s="1"/>
  <c r="X195" i="18" s="1"/>
  <c r="J195" i="18"/>
  <c r="A195" i="18"/>
  <c r="T194" i="18"/>
  <c r="U194" i="18" s="1"/>
  <c r="S194" i="18" s="1"/>
  <c r="X194" i="18" s="1"/>
  <c r="J194" i="18"/>
  <c r="A194" i="18"/>
  <c r="T193" i="18"/>
  <c r="U193" i="18" s="1"/>
  <c r="S193" i="18" s="1"/>
  <c r="X193" i="18" s="1"/>
  <c r="J193" i="18"/>
  <c r="A193" i="18"/>
  <c r="T192" i="18"/>
  <c r="U192" i="18" s="1"/>
  <c r="S192" i="18" s="1"/>
  <c r="X192" i="18" s="1"/>
  <c r="J192" i="18"/>
  <c r="A192" i="18"/>
  <c r="T191" i="18"/>
  <c r="U191" i="18" s="1"/>
  <c r="S191" i="18" s="1"/>
  <c r="X191" i="18" s="1"/>
  <c r="J191" i="18"/>
  <c r="A191" i="18"/>
  <c r="T190" i="18"/>
  <c r="U190" i="18" s="1"/>
  <c r="S190" i="18" s="1"/>
  <c r="X190" i="18" s="1"/>
  <c r="J190" i="18"/>
  <c r="A190" i="18"/>
  <c r="T189" i="18"/>
  <c r="U189" i="18" s="1"/>
  <c r="S189" i="18" s="1"/>
  <c r="X189" i="18" s="1"/>
  <c r="J189" i="18"/>
  <c r="A189" i="18"/>
  <c r="T188" i="18"/>
  <c r="U188" i="18" s="1"/>
  <c r="S188" i="18" s="1"/>
  <c r="X188" i="18" s="1"/>
  <c r="J188" i="18"/>
  <c r="A188" i="18"/>
  <c r="T187" i="18"/>
  <c r="U187" i="18" s="1"/>
  <c r="S187" i="18" s="1"/>
  <c r="X187" i="18" s="1"/>
  <c r="J187" i="18"/>
  <c r="A187" i="18"/>
  <c r="T186" i="18"/>
  <c r="U186" i="18" s="1"/>
  <c r="S186" i="18" s="1"/>
  <c r="X186" i="18" s="1"/>
  <c r="J186" i="18"/>
  <c r="A186" i="18"/>
  <c r="T185" i="18"/>
  <c r="U185" i="18" s="1"/>
  <c r="S185" i="18" s="1"/>
  <c r="X185" i="18" s="1"/>
  <c r="J185" i="18"/>
  <c r="A185" i="18"/>
  <c r="T184" i="18"/>
  <c r="U184" i="18" s="1"/>
  <c r="S184" i="18" s="1"/>
  <c r="X184" i="18" s="1"/>
  <c r="J184" i="18"/>
  <c r="A184" i="18"/>
  <c r="T183" i="18"/>
  <c r="U183" i="18" s="1"/>
  <c r="S183" i="18" s="1"/>
  <c r="X183" i="18" s="1"/>
  <c r="J183" i="18"/>
  <c r="A183" i="18"/>
  <c r="T182" i="18"/>
  <c r="U182" i="18" s="1"/>
  <c r="S182" i="18" s="1"/>
  <c r="X182" i="18" s="1"/>
  <c r="J182" i="18"/>
  <c r="A182" i="18"/>
  <c r="T181" i="18"/>
  <c r="U181" i="18" s="1"/>
  <c r="S181" i="18" s="1"/>
  <c r="X181" i="18" s="1"/>
  <c r="J181" i="18"/>
  <c r="A181" i="18"/>
  <c r="T180" i="18"/>
  <c r="U180" i="18" s="1"/>
  <c r="S180" i="18" s="1"/>
  <c r="X180" i="18" s="1"/>
  <c r="J180" i="18"/>
  <c r="A180" i="18"/>
  <c r="T179" i="18"/>
  <c r="U179" i="18" s="1"/>
  <c r="S179" i="18" s="1"/>
  <c r="X179" i="18" s="1"/>
  <c r="J179" i="18"/>
  <c r="A179" i="18"/>
  <c r="T178" i="18"/>
  <c r="U178" i="18" s="1"/>
  <c r="S178" i="18" s="1"/>
  <c r="X178" i="18" s="1"/>
  <c r="J178" i="18"/>
  <c r="A178" i="18"/>
  <c r="T177" i="18"/>
  <c r="U177" i="18" s="1"/>
  <c r="S177" i="18" s="1"/>
  <c r="X177" i="18" s="1"/>
  <c r="J177" i="18"/>
  <c r="A177" i="18"/>
  <c r="T176" i="18"/>
  <c r="U176" i="18" s="1"/>
  <c r="S176" i="18" s="1"/>
  <c r="X176" i="18" s="1"/>
  <c r="J176" i="18"/>
  <c r="A176" i="18"/>
  <c r="T175" i="18"/>
  <c r="U175" i="18" s="1"/>
  <c r="S175" i="18" s="1"/>
  <c r="X175" i="18" s="1"/>
  <c r="J175" i="18"/>
  <c r="A175" i="18"/>
  <c r="T174" i="18"/>
  <c r="U174" i="18" s="1"/>
  <c r="S174" i="18" s="1"/>
  <c r="X174" i="18" s="1"/>
  <c r="J174" i="18"/>
  <c r="A174" i="18"/>
  <c r="T173" i="18"/>
  <c r="U173" i="18" s="1"/>
  <c r="S173" i="18" s="1"/>
  <c r="X173" i="18" s="1"/>
  <c r="J173" i="18"/>
  <c r="A173" i="18"/>
  <c r="T172" i="18"/>
  <c r="U172" i="18" s="1"/>
  <c r="S172" i="18" s="1"/>
  <c r="X172" i="18" s="1"/>
  <c r="J172" i="18"/>
  <c r="A172" i="18"/>
  <c r="T171" i="18"/>
  <c r="U171" i="18" s="1"/>
  <c r="S171" i="18" s="1"/>
  <c r="X171" i="18" s="1"/>
  <c r="J171" i="18"/>
  <c r="A171" i="18"/>
  <c r="T170" i="18"/>
  <c r="U170" i="18" s="1"/>
  <c r="S170" i="18" s="1"/>
  <c r="X170" i="18" s="1"/>
  <c r="J170" i="18"/>
  <c r="A170" i="18"/>
  <c r="T169" i="18"/>
  <c r="U169" i="18" s="1"/>
  <c r="S169" i="18" s="1"/>
  <c r="X169" i="18" s="1"/>
  <c r="J169" i="18"/>
  <c r="A169" i="18"/>
  <c r="T168" i="18"/>
  <c r="U168" i="18" s="1"/>
  <c r="S168" i="18" s="1"/>
  <c r="X168" i="18" s="1"/>
  <c r="J168" i="18"/>
  <c r="A168" i="18"/>
  <c r="T167" i="18"/>
  <c r="U167" i="18" s="1"/>
  <c r="S167" i="18" s="1"/>
  <c r="X167" i="18" s="1"/>
  <c r="J167" i="18"/>
  <c r="A167" i="18"/>
  <c r="T166" i="18"/>
  <c r="U166" i="18" s="1"/>
  <c r="S166" i="18" s="1"/>
  <c r="X166" i="18" s="1"/>
  <c r="J166" i="18"/>
  <c r="A166" i="18"/>
  <c r="T165" i="18"/>
  <c r="U165" i="18" s="1"/>
  <c r="S165" i="18" s="1"/>
  <c r="X165" i="18" s="1"/>
  <c r="J165" i="18"/>
  <c r="A165" i="18"/>
  <c r="T164" i="18"/>
  <c r="U164" i="18" s="1"/>
  <c r="S164" i="18" s="1"/>
  <c r="X164" i="18" s="1"/>
  <c r="J164" i="18"/>
  <c r="A164" i="18"/>
  <c r="T163" i="18"/>
  <c r="U163" i="18" s="1"/>
  <c r="S163" i="18" s="1"/>
  <c r="X163" i="18" s="1"/>
  <c r="J163" i="18"/>
  <c r="A163" i="18"/>
  <c r="T162" i="18"/>
  <c r="U162" i="18" s="1"/>
  <c r="S162" i="18" s="1"/>
  <c r="X162" i="18" s="1"/>
  <c r="J162" i="18"/>
  <c r="A162" i="18"/>
  <c r="T161" i="18"/>
  <c r="U161" i="18" s="1"/>
  <c r="S161" i="18" s="1"/>
  <c r="X161" i="18" s="1"/>
  <c r="J161" i="18"/>
  <c r="A161" i="18"/>
  <c r="T160" i="18"/>
  <c r="U160" i="18" s="1"/>
  <c r="S160" i="18" s="1"/>
  <c r="X160" i="18" s="1"/>
  <c r="J160" i="18"/>
  <c r="A160" i="18"/>
  <c r="T159" i="18"/>
  <c r="U159" i="18" s="1"/>
  <c r="S159" i="18" s="1"/>
  <c r="X159" i="18" s="1"/>
  <c r="J159" i="18"/>
  <c r="A159" i="18"/>
  <c r="T158" i="18"/>
  <c r="U158" i="18" s="1"/>
  <c r="S158" i="18" s="1"/>
  <c r="X158" i="18" s="1"/>
  <c r="J158" i="18"/>
  <c r="A158" i="18"/>
  <c r="T157" i="18"/>
  <c r="U157" i="18" s="1"/>
  <c r="S157" i="18" s="1"/>
  <c r="X157" i="18" s="1"/>
  <c r="J157" i="18"/>
  <c r="A157" i="18"/>
  <c r="T156" i="18"/>
  <c r="U156" i="18" s="1"/>
  <c r="S156" i="18" s="1"/>
  <c r="X156" i="18" s="1"/>
  <c r="J156" i="18"/>
  <c r="A156" i="18"/>
  <c r="T155" i="18"/>
  <c r="U155" i="18" s="1"/>
  <c r="S155" i="18" s="1"/>
  <c r="X155" i="18" s="1"/>
  <c r="J155" i="18"/>
  <c r="A155" i="18"/>
  <c r="T154" i="18"/>
  <c r="U154" i="18" s="1"/>
  <c r="S154" i="18" s="1"/>
  <c r="X154" i="18" s="1"/>
  <c r="J154" i="18"/>
  <c r="A154" i="18"/>
  <c r="T153" i="18"/>
  <c r="U153" i="18" s="1"/>
  <c r="S153" i="18" s="1"/>
  <c r="X153" i="18" s="1"/>
  <c r="J153" i="18"/>
  <c r="A153" i="18"/>
  <c r="T152" i="18"/>
  <c r="U152" i="18" s="1"/>
  <c r="S152" i="18" s="1"/>
  <c r="X152" i="18" s="1"/>
  <c r="J152" i="18"/>
  <c r="A152" i="18"/>
  <c r="T151" i="18"/>
  <c r="U151" i="18" s="1"/>
  <c r="S151" i="18" s="1"/>
  <c r="X151" i="18" s="1"/>
  <c r="J151" i="18"/>
  <c r="A151" i="18"/>
  <c r="X150" i="18"/>
  <c r="T150" i="18"/>
  <c r="U150" i="18" s="1"/>
  <c r="S150" i="18" s="1"/>
  <c r="J150" i="18"/>
  <c r="A150" i="18"/>
  <c r="T149" i="18"/>
  <c r="U149" i="18" s="1"/>
  <c r="S149" i="18" s="1"/>
  <c r="X149" i="18" s="1"/>
  <c r="J149" i="18"/>
  <c r="A149" i="18"/>
  <c r="T148" i="18"/>
  <c r="U148" i="18" s="1"/>
  <c r="S148" i="18" s="1"/>
  <c r="X148" i="18" s="1"/>
  <c r="J148" i="18"/>
  <c r="A148" i="18"/>
  <c r="T147" i="18"/>
  <c r="U147" i="18" s="1"/>
  <c r="S147" i="18" s="1"/>
  <c r="X147" i="18" s="1"/>
  <c r="J147" i="18"/>
  <c r="A147" i="18"/>
  <c r="T146" i="18"/>
  <c r="U146" i="18" s="1"/>
  <c r="S146" i="18" s="1"/>
  <c r="X146" i="18" s="1"/>
  <c r="J146" i="18"/>
  <c r="A146" i="18"/>
  <c r="T145" i="18"/>
  <c r="U145" i="18" s="1"/>
  <c r="S145" i="18" s="1"/>
  <c r="X145" i="18" s="1"/>
  <c r="J145" i="18"/>
  <c r="A145" i="18"/>
  <c r="T144" i="18"/>
  <c r="U144" i="18" s="1"/>
  <c r="S144" i="18" s="1"/>
  <c r="X144" i="18" s="1"/>
  <c r="J144" i="18"/>
  <c r="A144" i="18"/>
  <c r="T143" i="18"/>
  <c r="U143" i="18" s="1"/>
  <c r="S143" i="18" s="1"/>
  <c r="X143" i="18" s="1"/>
  <c r="J143" i="18"/>
  <c r="A143" i="18"/>
  <c r="T142" i="18"/>
  <c r="U142" i="18" s="1"/>
  <c r="S142" i="18" s="1"/>
  <c r="X142" i="18" s="1"/>
  <c r="J142" i="18"/>
  <c r="A142" i="18"/>
  <c r="T141" i="18"/>
  <c r="U141" i="18" s="1"/>
  <c r="S141" i="18" s="1"/>
  <c r="X141" i="18" s="1"/>
  <c r="J141" i="18"/>
  <c r="A141" i="18"/>
  <c r="T140" i="18"/>
  <c r="U140" i="18" s="1"/>
  <c r="S140" i="18" s="1"/>
  <c r="X140" i="18" s="1"/>
  <c r="J140" i="18"/>
  <c r="A140" i="18"/>
  <c r="T139" i="18"/>
  <c r="U139" i="18" s="1"/>
  <c r="S139" i="18" s="1"/>
  <c r="X139" i="18" s="1"/>
  <c r="J139" i="18"/>
  <c r="A139" i="18"/>
  <c r="T138" i="18"/>
  <c r="U138" i="18" s="1"/>
  <c r="S138" i="18" s="1"/>
  <c r="X138" i="18" s="1"/>
  <c r="J138" i="18"/>
  <c r="A138" i="18"/>
  <c r="T137" i="18"/>
  <c r="U137" i="18" s="1"/>
  <c r="S137" i="18" s="1"/>
  <c r="X137" i="18" s="1"/>
  <c r="J137" i="18"/>
  <c r="A137" i="18"/>
  <c r="T136" i="18"/>
  <c r="U136" i="18" s="1"/>
  <c r="S136" i="18" s="1"/>
  <c r="X136" i="18" s="1"/>
  <c r="J136" i="18"/>
  <c r="A136" i="18"/>
  <c r="T135" i="18"/>
  <c r="U135" i="18" s="1"/>
  <c r="S135" i="18" s="1"/>
  <c r="X135" i="18" s="1"/>
  <c r="J135" i="18"/>
  <c r="A135" i="18"/>
  <c r="T134" i="18"/>
  <c r="U134" i="18" s="1"/>
  <c r="S134" i="18" s="1"/>
  <c r="X134" i="18" s="1"/>
  <c r="J134" i="18"/>
  <c r="A134" i="18"/>
  <c r="T133" i="18"/>
  <c r="U133" i="18" s="1"/>
  <c r="S133" i="18" s="1"/>
  <c r="X133" i="18" s="1"/>
  <c r="J133" i="18"/>
  <c r="A133" i="18"/>
  <c r="T132" i="18"/>
  <c r="U132" i="18" s="1"/>
  <c r="S132" i="18" s="1"/>
  <c r="X132" i="18" s="1"/>
  <c r="J132" i="18"/>
  <c r="A132" i="18"/>
  <c r="T131" i="18"/>
  <c r="U131" i="18" s="1"/>
  <c r="S131" i="18" s="1"/>
  <c r="X131" i="18" s="1"/>
  <c r="J131" i="18"/>
  <c r="A131" i="18"/>
  <c r="T130" i="18"/>
  <c r="U130" i="18" s="1"/>
  <c r="S130" i="18" s="1"/>
  <c r="X130" i="18" s="1"/>
  <c r="J130" i="18"/>
  <c r="A130" i="18"/>
  <c r="T129" i="18"/>
  <c r="U129" i="18" s="1"/>
  <c r="S129" i="18" s="1"/>
  <c r="X129" i="18" s="1"/>
  <c r="J129" i="18"/>
  <c r="A129" i="18"/>
  <c r="T128" i="18"/>
  <c r="U128" i="18" s="1"/>
  <c r="S128" i="18" s="1"/>
  <c r="X128" i="18" s="1"/>
  <c r="J128" i="18"/>
  <c r="A128" i="18"/>
  <c r="T127" i="18"/>
  <c r="U127" i="18" s="1"/>
  <c r="S127" i="18" s="1"/>
  <c r="X127" i="18" s="1"/>
  <c r="J127" i="18"/>
  <c r="A127" i="18"/>
  <c r="T126" i="18"/>
  <c r="U126" i="18" s="1"/>
  <c r="S126" i="18" s="1"/>
  <c r="X126" i="18" s="1"/>
  <c r="J126" i="18"/>
  <c r="A126" i="18"/>
  <c r="T125" i="18"/>
  <c r="U125" i="18" s="1"/>
  <c r="S125" i="18" s="1"/>
  <c r="X125" i="18" s="1"/>
  <c r="J125" i="18"/>
  <c r="A125" i="18"/>
  <c r="T124" i="18"/>
  <c r="U124" i="18" s="1"/>
  <c r="S124" i="18" s="1"/>
  <c r="X124" i="18" s="1"/>
  <c r="J124" i="18"/>
  <c r="A124" i="18"/>
  <c r="T123" i="18"/>
  <c r="U123" i="18" s="1"/>
  <c r="S123" i="18" s="1"/>
  <c r="X123" i="18" s="1"/>
  <c r="J123" i="18"/>
  <c r="A123" i="18"/>
  <c r="T122" i="18"/>
  <c r="U122" i="18" s="1"/>
  <c r="S122" i="18" s="1"/>
  <c r="X122" i="18" s="1"/>
  <c r="J122" i="18"/>
  <c r="A122" i="18"/>
  <c r="T121" i="18"/>
  <c r="U121" i="18" s="1"/>
  <c r="S121" i="18" s="1"/>
  <c r="X121" i="18" s="1"/>
  <c r="J121" i="18"/>
  <c r="A121" i="18"/>
  <c r="T120" i="18"/>
  <c r="U120" i="18" s="1"/>
  <c r="S120" i="18" s="1"/>
  <c r="X120" i="18" s="1"/>
  <c r="J120" i="18"/>
  <c r="A120" i="18"/>
  <c r="T119" i="18"/>
  <c r="U119" i="18" s="1"/>
  <c r="S119" i="18" s="1"/>
  <c r="X119" i="18" s="1"/>
  <c r="J119" i="18"/>
  <c r="A119" i="18"/>
  <c r="T118" i="18"/>
  <c r="U118" i="18" s="1"/>
  <c r="S118" i="18" s="1"/>
  <c r="X118" i="18" s="1"/>
  <c r="J118" i="18"/>
  <c r="A118" i="18"/>
  <c r="T117" i="18"/>
  <c r="U117" i="18" s="1"/>
  <c r="S117" i="18" s="1"/>
  <c r="X117" i="18" s="1"/>
  <c r="J117" i="18"/>
  <c r="A117" i="18"/>
  <c r="T116" i="18"/>
  <c r="U116" i="18" s="1"/>
  <c r="S116" i="18" s="1"/>
  <c r="X116" i="18" s="1"/>
  <c r="J116" i="18"/>
  <c r="A116" i="18"/>
  <c r="T115" i="18"/>
  <c r="U115" i="18" s="1"/>
  <c r="S115" i="18" s="1"/>
  <c r="X115" i="18" s="1"/>
  <c r="J115" i="18"/>
  <c r="A115" i="18"/>
  <c r="T114" i="18"/>
  <c r="U114" i="18" s="1"/>
  <c r="S114" i="18" s="1"/>
  <c r="X114" i="18" s="1"/>
  <c r="J114" i="18"/>
  <c r="A114" i="18"/>
  <c r="X113" i="18"/>
  <c r="T113" i="18"/>
  <c r="U113" i="18" s="1"/>
  <c r="S113" i="18" s="1"/>
  <c r="J113" i="18"/>
  <c r="A113" i="18"/>
  <c r="X112" i="18"/>
  <c r="T112" i="18"/>
  <c r="U112" i="18" s="1"/>
  <c r="S112" i="18" s="1"/>
  <c r="J112" i="18"/>
  <c r="A112" i="18"/>
  <c r="T111" i="18"/>
  <c r="U111" i="18" s="1"/>
  <c r="S111" i="18" s="1"/>
  <c r="X111" i="18" s="1"/>
  <c r="J111" i="18"/>
  <c r="A111" i="18"/>
  <c r="T110" i="18"/>
  <c r="U110" i="18" s="1"/>
  <c r="S110" i="18" s="1"/>
  <c r="X110" i="18" s="1"/>
  <c r="J110" i="18"/>
  <c r="A110" i="18"/>
  <c r="T109" i="18"/>
  <c r="U109" i="18" s="1"/>
  <c r="S109" i="18" s="1"/>
  <c r="X109" i="18" s="1"/>
  <c r="J109" i="18"/>
  <c r="A109" i="18"/>
  <c r="T108" i="18"/>
  <c r="U108" i="18" s="1"/>
  <c r="S108" i="18" s="1"/>
  <c r="X108" i="18" s="1"/>
  <c r="J108" i="18"/>
  <c r="A108" i="18"/>
  <c r="T107" i="18"/>
  <c r="U107" i="18" s="1"/>
  <c r="S107" i="18" s="1"/>
  <c r="X107" i="18" s="1"/>
  <c r="J107" i="18"/>
  <c r="A107" i="18"/>
  <c r="T106" i="18"/>
  <c r="U106" i="18" s="1"/>
  <c r="S106" i="18" s="1"/>
  <c r="X106" i="18" s="1"/>
  <c r="J106" i="18"/>
  <c r="A106" i="18"/>
  <c r="T105" i="18"/>
  <c r="U105" i="18" s="1"/>
  <c r="S105" i="18" s="1"/>
  <c r="X105" i="18" s="1"/>
  <c r="J105" i="18"/>
  <c r="A105" i="18"/>
  <c r="T104" i="18"/>
  <c r="U104" i="18" s="1"/>
  <c r="S104" i="18" s="1"/>
  <c r="X104" i="18" s="1"/>
  <c r="J104" i="18"/>
  <c r="A104" i="18"/>
  <c r="T103" i="18"/>
  <c r="U103" i="18" s="1"/>
  <c r="S103" i="18" s="1"/>
  <c r="X103" i="18" s="1"/>
  <c r="J103" i="18"/>
  <c r="A103" i="18"/>
  <c r="T102" i="18"/>
  <c r="U102" i="18" s="1"/>
  <c r="S102" i="18" s="1"/>
  <c r="X102" i="18" s="1"/>
  <c r="J102" i="18"/>
  <c r="A102" i="18"/>
  <c r="T101" i="18"/>
  <c r="U101" i="18" s="1"/>
  <c r="S101" i="18" s="1"/>
  <c r="X101" i="18" s="1"/>
  <c r="J101" i="18"/>
  <c r="A101" i="18"/>
  <c r="T100" i="18"/>
  <c r="U100" i="18" s="1"/>
  <c r="S100" i="18" s="1"/>
  <c r="X100" i="18" s="1"/>
  <c r="J100" i="18"/>
  <c r="A100" i="18"/>
  <c r="T99" i="18"/>
  <c r="U99" i="18" s="1"/>
  <c r="S99" i="18" s="1"/>
  <c r="X99" i="18" s="1"/>
  <c r="J99" i="18"/>
  <c r="A99" i="18"/>
  <c r="T98" i="18"/>
  <c r="U98" i="18" s="1"/>
  <c r="S98" i="18" s="1"/>
  <c r="X98" i="18" s="1"/>
  <c r="J98" i="18"/>
  <c r="A98" i="18"/>
  <c r="T97" i="18"/>
  <c r="U97" i="18" s="1"/>
  <c r="S97" i="18" s="1"/>
  <c r="X97" i="18" s="1"/>
  <c r="J97" i="18"/>
  <c r="A97" i="18"/>
  <c r="T96" i="18"/>
  <c r="U96" i="18" s="1"/>
  <c r="S96" i="18" s="1"/>
  <c r="X96" i="18" s="1"/>
  <c r="J96" i="18"/>
  <c r="A96" i="18"/>
  <c r="T95" i="18"/>
  <c r="U95" i="18" s="1"/>
  <c r="S95" i="18" s="1"/>
  <c r="X95" i="18" s="1"/>
  <c r="J95" i="18"/>
  <c r="A95" i="18"/>
  <c r="T94" i="18"/>
  <c r="U94" i="18" s="1"/>
  <c r="S94" i="18" s="1"/>
  <c r="X94" i="18" s="1"/>
  <c r="J94" i="18"/>
  <c r="A94" i="18"/>
  <c r="T93" i="18"/>
  <c r="U93" i="18" s="1"/>
  <c r="S93" i="18" s="1"/>
  <c r="X93" i="18" s="1"/>
  <c r="J93" i="18"/>
  <c r="A93" i="18"/>
  <c r="T92" i="18"/>
  <c r="U92" i="18" s="1"/>
  <c r="S92" i="18" s="1"/>
  <c r="X92" i="18" s="1"/>
  <c r="J92" i="18"/>
  <c r="A92" i="18"/>
  <c r="T91" i="18"/>
  <c r="U91" i="18" s="1"/>
  <c r="S91" i="18" s="1"/>
  <c r="X91" i="18" s="1"/>
  <c r="J91" i="18"/>
  <c r="A91" i="18"/>
  <c r="T90" i="18"/>
  <c r="U90" i="18" s="1"/>
  <c r="S90" i="18" s="1"/>
  <c r="X90" i="18" s="1"/>
  <c r="J90" i="18"/>
  <c r="A90" i="18"/>
  <c r="T89" i="18"/>
  <c r="U89" i="18" s="1"/>
  <c r="S89" i="18" s="1"/>
  <c r="X89" i="18" s="1"/>
  <c r="J89" i="18"/>
  <c r="A89" i="18"/>
  <c r="T88" i="18"/>
  <c r="U88" i="18" s="1"/>
  <c r="S88" i="18" s="1"/>
  <c r="X88" i="18" s="1"/>
  <c r="J88" i="18"/>
  <c r="A88" i="18"/>
  <c r="T87" i="18"/>
  <c r="U87" i="18" s="1"/>
  <c r="S87" i="18" s="1"/>
  <c r="X87" i="18" s="1"/>
  <c r="J87" i="18"/>
  <c r="A87" i="18"/>
  <c r="T86" i="18"/>
  <c r="U86" i="18" s="1"/>
  <c r="S86" i="18" s="1"/>
  <c r="X86" i="18" s="1"/>
  <c r="J86" i="18"/>
  <c r="A86" i="18"/>
  <c r="T85" i="18"/>
  <c r="U85" i="18" s="1"/>
  <c r="S85" i="18" s="1"/>
  <c r="X85" i="18" s="1"/>
  <c r="J85" i="18"/>
  <c r="A85" i="18"/>
  <c r="T84" i="18"/>
  <c r="U84" i="18" s="1"/>
  <c r="S84" i="18" s="1"/>
  <c r="X84" i="18" s="1"/>
  <c r="J84" i="18"/>
  <c r="A84" i="18"/>
  <c r="T83" i="18"/>
  <c r="U83" i="18" s="1"/>
  <c r="S83" i="18" s="1"/>
  <c r="X83" i="18" s="1"/>
  <c r="J83" i="18"/>
  <c r="A83" i="18"/>
  <c r="T82" i="18"/>
  <c r="U82" i="18" s="1"/>
  <c r="S82" i="18" s="1"/>
  <c r="X82" i="18" s="1"/>
  <c r="J82" i="18"/>
  <c r="A82" i="18"/>
  <c r="T81" i="18"/>
  <c r="U81" i="18" s="1"/>
  <c r="S81" i="18" s="1"/>
  <c r="X81" i="18" s="1"/>
  <c r="J81" i="18"/>
  <c r="A81" i="18"/>
  <c r="T80" i="18"/>
  <c r="U80" i="18" s="1"/>
  <c r="S80" i="18" s="1"/>
  <c r="X80" i="18" s="1"/>
  <c r="J80" i="18"/>
  <c r="A80" i="18"/>
  <c r="T79" i="18"/>
  <c r="J79" i="18"/>
  <c r="A79" i="18"/>
  <c r="T78" i="18"/>
  <c r="U78" i="18" s="1"/>
  <c r="S78" i="18" s="1"/>
  <c r="X78" i="18" s="1"/>
  <c r="J78" i="18"/>
  <c r="A78" i="18"/>
  <c r="T77" i="18"/>
  <c r="U77" i="18" s="1"/>
  <c r="S77" i="18" s="1"/>
  <c r="X77" i="18" s="1"/>
  <c r="J77" i="18"/>
  <c r="A77" i="18"/>
  <c r="T76" i="18"/>
  <c r="U76" i="18" s="1"/>
  <c r="S76" i="18" s="1"/>
  <c r="X76" i="18" s="1"/>
  <c r="J76" i="18"/>
  <c r="A76" i="18"/>
  <c r="T75" i="18"/>
  <c r="U75" i="18" s="1"/>
  <c r="S75" i="18" s="1"/>
  <c r="X75" i="18" s="1"/>
  <c r="J75" i="18"/>
  <c r="A75" i="18"/>
  <c r="T74" i="18"/>
  <c r="U74" i="18" s="1"/>
  <c r="S74" i="18" s="1"/>
  <c r="X74" i="18" s="1"/>
  <c r="J74" i="18"/>
  <c r="A74" i="18"/>
  <c r="T73" i="18"/>
  <c r="U73" i="18" s="1"/>
  <c r="S73" i="18" s="1"/>
  <c r="X73" i="18" s="1"/>
  <c r="J73" i="18"/>
  <c r="A73" i="18"/>
  <c r="T72" i="18"/>
  <c r="U72" i="18" s="1"/>
  <c r="S72" i="18" s="1"/>
  <c r="X72" i="18" s="1"/>
  <c r="J72" i="18"/>
  <c r="A72" i="18"/>
  <c r="T71" i="18"/>
  <c r="U71" i="18" s="1"/>
  <c r="S71" i="18" s="1"/>
  <c r="X71" i="18" s="1"/>
  <c r="J71" i="18"/>
  <c r="A71" i="18"/>
  <c r="T70" i="18"/>
  <c r="U70" i="18" s="1"/>
  <c r="S70" i="18" s="1"/>
  <c r="X70" i="18" s="1"/>
  <c r="J70" i="18"/>
  <c r="A70" i="18"/>
  <c r="T69" i="18"/>
  <c r="U69" i="18" s="1"/>
  <c r="S69" i="18" s="1"/>
  <c r="X69" i="18" s="1"/>
  <c r="J69" i="18"/>
  <c r="A69" i="18"/>
  <c r="T68" i="18"/>
  <c r="U68" i="18" s="1"/>
  <c r="S68" i="18" s="1"/>
  <c r="X68" i="18" s="1"/>
  <c r="J68" i="18"/>
  <c r="A68" i="18"/>
  <c r="T67" i="18"/>
  <c r="U67" i="18" s="1"/>
  <c r="S67" i="18" s="1"/>
  <c r="X67" i="18" s="1"/>
  <c r="J67" i="18"/>
  <c r="A67" i="18"/>
  <c r="T66" i="18"/>
  <c r="U66" i="18" s="1"/>
  <c r="S66" i="18" s="1"/>
  <c r="X66" i="18" s="1"/>
  <c r="J66" i="18"/>
  <c r="A66" i="18"/>
  <c r="T65" i="18"/>
  <c r="U65" i="18" s="1"/>
  <c r="S65" i="18" s="1"/>
  <c r="X65" i="18" s="1"/>
  <c r="J65" i="18"/>
  <c r="A65" i="18"/>
  <c r="T64" i="18"/>
  <c r="U64" i="18" s="1"/>
  <c r="S64" i="18" s="1"/>
  <c r="X64" i="18" s="1"/>
  <c r="J64" i="18"/>
  <c r="A64" i="18"/>
  <c r="T63" i="18"/>
  <c r="U63" i="18" s="1"/>
  <c r="S63" i="18" s="1"/>
  <c r="X63" i="18" s="1"/>
  <c r="J63" i="18"/>
  <c r="A63" i="18"/>
  <c r="T62" i="18"/>
  <c r="U62" i="18" s="1"/>
  <c r="S62" i="18" s="1"/>
  <c r="X62" i="18" s="1"/>
  <c r="J62" i="18"/>
  <c r="A62" i="18"/>
  <c r="T61" i="18"/>
  <c r="U61" i="18" s="1"/>
  <c r="S61" i="18" s="1"/>
  <c r="X61" i="18" s="1"/>
  <c r="J61" i="18"/>
  <c r="A61" i="18"/>
  <c r="T60" i="18"/>
  <c r="U60" i="18" s="1"/>
  <c r="S60" i="18" s="1"/>
  <c r="X60" i="18" s="1"/>
  <c r="J60" i="18"/>
  <c r="A60" i="18"/>
  <c r="T59" i="18"/>
  <c r="U59" i="18" s="1"/>
  <c r="S59" i="18" s="1"/>
  <c r="X59" i="18" s="1"/>
  <c r="J59" i="18"/>
  <c r="A59" i="18"/>
  <c r="T58" i="18"/>
  <c r="U58" i="18" s="1"/>
  <c r="S58" i="18" s="1"/>
  <c r="X58" i="18" s="1"/>
  <c r="J58" i="18"/>
  <c r="A58" i="18"/>
  <c r="T57" i="18"/>
  <c r="U57" i="18" s="1"/>
  <c r="S57" i="18" s="1"/>
  <c r="X57" i="18" s="1"/>
  <c r="J57" i="18"/>
  <c r="A57" i="18"/>
  <c r="T56" i="18"/>
  <c r="U56" i="18" s="1"/>
  <c r="S56" i="18" s="1"/>
  <c r="X56" i="18" s="1"/>
  <c r="J56" i="18"/>
  <c r="A56" i="18"/>
  <c r="T55" i="18"/>
  <c r="U55" i="18" s="1"/>
  <c r="S55" i="18" s="1"/>
  <c r="X55" i="18" s="1"/>
  <c r="J55" i="18"/>
  <c r="A55" i="18"/>
  <c r="T54" i="18"/>
  <c r="U54" i="18" s="1"/>
  <c r="S54" i="18" s="1"/>
  <c r="X54" i="18" s="1"/>
  <c r="J54" i="18"/>
  <c r="A54" i="18"/>
  <c r="T53" i="18"/>
  <c r="U53" i="18" s="1"/>
  <c r="S53" i="18" s="1"/>
  <c r="X53" i="18" s="1"/>
  <c r="J53" i="18"/>
  <c r="A53" i="18"/>
  <c r="T52" i="18"/>
  <c r="U52" i="18" s="1"/>
  <c r="S52" i="18" s="1"/>
  <c r="X52" i="18" s="1"/>
  <c r="J52" i="18"/>
  <c r="A52" i="18"/>
  <c r="X51" i="18"/>
  <c r="T51" i="18"/>
  <c r="U51" i="18" s="1"/>
  <c r="S51" i="18" s="1"/>
  <c r="J51" i="18"/>
  <c r="A51" i="18"/>
  <c r="T50" i="18"/>
  <c r="U50" i="18" s="1"/>
  <c r="S50" i="18" s="1"/>
  <c r="X50" i="18" s="1"/>
  <c r="J50" i="18"/>
  <c r="A50" i="18"/>
  <c r="T49" i="18"/>
  <c r="U49" i="18" s="1"/>
  <c r="S49" i="18" s="1"/>
  <c r="X49" i="18" s="1"/>
  <c r="J49" i="18"/>
  <c r="A49" i="18"/>
  <c r="T48" i="18"/>
  <c r="U48" i="18" s="1"/>
  <c r="S48" i="18" s="1"/>
  <c r="X48" i="18" s="1"/>
  <c r="J48" i="18"/>
  <c r="A48" i="18"/>
  <c r="T47" i="18"/>
  <c r="U47" i="18" s="1"/>
  <c r="S47" i="18" s="1"/>
  <c r="X47" i="18" s="1"/>
  <c r="J47" i="18"/>
  <c r="A47" i="18"/>
  <c r="T46" i="18"/>
  <c r="U46" i="18" s="1"/>
  <c r="S46" i="18" s="1"/>
  <c r="X46" i="18" s="1"/>
  <c r="J46" i="18"/>
  <c r="A46" i="18"/>
  <c r="T45" i="18"/>
  <c r="U45" i="18" s="1"/>
  <c r="S45" i="18" s="1"/>
  <c r="X45" i="18" s="1"/>
  <c r="J45" i="18"/>
  <c r="A45" i="18"/>
  <c r="T44" i="18"/>
  <c r="J44" i="18"/>
  <c r="A44" i="18"/>
  <c r="T43" i="18"/>
  <c r="J43" i="18"/>
  <c r="A43" i="18"/>
  <c r="T42" i="18"/>
  <c r="J42" i="18"/>
  <c r="A42" i="18"/>
  <c r="T41" i="18"/>
  <c r="J41" i="18"/>
  <c r="A41" i="18"/>
  <c r="T40" i="18"/>
  <c r="J40" i="18"/>
  <c r="A40" i="18"/>
  <c r="T39" i="18"/>
  <c r="U39" i="18" s="1"/>
  <c r="S39" i="18" s="1"/>
  <c r="X39" i="18" s="1"/>
  <c r="J39" i="18"/>
  <c r="A39" i="18"/>
  <c r="X38" i="18"/>
  <c r="T38" i="18"/>
  <c r="J38" i="18"/>
  <c r="A38" i="18"/>
  <c r="T37" i="18"/>
  <c r="J37" i="18"/>
  <c r="A37" i="18"/>
  <c r="T36" i="18"/>
  <c r="J36" i="18"/>
  <c r="A36" i="18"/>
  <c r="T35" i="18"/>
  <c r="J35" i="18"/>
  <c r="A35" i="18"/>
  <c r="T34" i="18"/>
  <c r="J34" i="18"/>
  <c r="A34" i="18"/>
  <c r="T33" i="18"/>
  <c r="J33" i="18"/>
  <c r="A33" i="18"/>
  <c r="T32" i="18"/>
  <c r="J32" i="18"/>
  <c r="A32" i="18"/>
  <c r="T31" i="18"/>
  <c r="J31" i="18"/>
  <c r="A31" i="18"/>
  <c r="T30" i="18"/>
  <c r="J30" i="18"/>
  <c r="A30" i="18"/>
  <c r="T29" i="18"/>
  <c r="J29" i="18"/>
  <c r="A29" i="18"/>
  <c r="T28" i="18"/>
  <c r="J28" i="18"/>
  <c r="A28" i="18"/>
  <c r="T27" i="18"/>
  <c r="J27" i="18"/>
  <c r="A27" i="18"/>
  <c r="T26" i="18"/>
  <c r="J26" i="18"/>
  <c r="A26" i="18"/>
  <c r="T25" i="18"/>
  <c r="J25" i="18"/>
  <c r="A25" i="18"/>
  <c r="T24" i="18"/>
  <c r="J24" i="18"/>
  <c r="A24" i="18"/>
  <c r="T23" i="18"/>
  <c r="J23" i="18"/>
  <c r="A23" i="18"/>
  <c r="T22" i="18"/>
  <c r="U22" i="18" s="1"/>
  <c r="S22" i="18" s="1"/>
  <c r="X22" i="18" s="1"/>
  <c r="J22" i="18"/>
  <c r="A22" i="18"/>
  <c r="T21" i="18"/>
  <c r="J21" i="18"/>
  <c r="A21" i="18"/>
  <c r="T20" i="18"/>
  <c r="J20" i="18"/>
  <c r="A20" i="18"/>
  <c r="T19" i="18"/>
  <c r="U19" i="18" s="1"/>
  <c r="S19" i="18" s="1"/>
  <c r="X19" i="18" s="1"/>
  <c r="J19" i="18"/>
  <c r="A19" i="18"/>
  <c r="T18" i="18"/>
  <c r="U18" i="18" s="1"/>
  <c r="S18" i="18" s="1"/>
  <c r="X18" i="18" s="1"/>
  <c r="J18" i="18"/>
  <c r="A18" i="18"/>
  <c r="T17" i="18"/>
  <c r="U17" i="18" s="1"/>
  <c r="S17" i="18" s="1"/>
  <c r="X17" i="18" s="1"/>
  <c r="J17" i="18"/>
  <c r="A17" i="18"/>
  <c r="T16" i="18"/>
  <c r="U16" i="18" s="1"/>
  <c r="S16" i="18" s="1"/>
  <c r="X16" i="18" s="1"/>
  <c r="J16" i="18"/>
  <c r="A16" i="18"/>
  <c r="T15" i="18"/>
  <c r="U15" i="18" s="1"/>
  <c r="S15" i="18" s="1"/>
  <c r="X15" i="18" s="1"/>
  <c r="J15" i="18"/>
  <c r="A15" i="18"/>
  <c r="T14" i="18"/>
  <c r="U14" i="18" s="1"/>
  <c r="S14" i="18" s="1"/>
  <c r="X14" i="18" s="1"/>
  <c r="J14" i="18"/>
  <c r="A14" i="18"/>
  <c r="T13" i="18"/>
  <c r="U13" i="18" s="1"/>
  <c r="S13" i="18" s="1"/>
  <c r="X13" i="18" s="1"/>
  <c r="J13" i="18"/>
  <c r="A13" i="18"/>
  <c r="T12" i="18"/>
  <c r="U12" i="18" s="1"/>
  <c r="S12" i="18" s="1"/>
  <c r="X12" i="18" s="1"/>
  <c r="J12" i="18"/>
  <c r="A12" i="18"/>
  <c r="T11" i="18"/>
  <c r="U11" i="18" s="1"/>
  <c r="S11" i="18" s="1"/>
  <c r="X11" i="18" s="1"/>
  <c r="J11" i="18"/>
  <c r="A11" i="18"/>
  <c r="T10" i="18"/>
  <c r="U10" i="18" s="1"/>
  <c r="S10" i="18" s="1"/>
  <c r="X10" i="18" s="1"/>
  <c r="J10" i="18"/>
  <c r="A10" i="18"/>
  <c r="T9" i="18"/>
  <c r="U9" i="18" s="1"/>
  <c r="S9" i="18" s="1"/>
  <c r="X9" i="18" s="1"/>
  <c r="J9" i="18"/>
  <c r="A9" i="18"/>
  <c r="T8" i="18"/>
  <c r="U8" i="18" s="1"/>
  <c r="S8" i="18" s="1"/>
  <c r="X8" i="18" s="1"/>
  <c r="J8" i="18"/>
  <c r="A8" i="18"/>
  <c r="T7" i="18"/>
  <c r="U7" i="18" s="1"/>
  <c r="S7" i="18" s="1"/>
  <c r="X7" i="18" s="1"/>
  <c r="J7" i="18"/>
  <c r="A7" i="18"/>
  <c r="T6" i="18"/>
  <c r="U6" i="18" s="1"/>
  <c r="S6" i="18" s="1"/>
  <c r="X6" i="18" s="1"/>
  <c r="J6" i="18"/>
  <c r="A6" i="18"/>
  <c r="T5" i="18"/>
  <c r="U5" i="18" s="1"/>
  <c r="S5" i="18" s="1"/>
  <c r="X5" i="18" s="1"/>
  <c r="J5" i="18"/>
  <c r="A5" i="18"/>
  <c r="T4" i="18"/>
  <c r="U4" i="18" s="1"/>
  <c r="S4" i="18" s="1"/>
  <c r="X4" i="18" s="1"/>
  <c r="J4" i="18"/>
  <c r="A4" i="18"/>
  <c r="X3" i="18"/>
  <c r="T3" i="18"/>
  <c r="U3" i="18" s="1"/>
  <c r="S3" i="18" s="1"/>
  <c r="J3" i="18"/>
  <c r="A3" i="18"/>
  <c r="T2" i="18"/>
  <c r="U2" i="18" s="1"/>
  <c r="J2" i="18"/>
  <c r="A2" i="18"/>
  <c r="I2" i="3" l="1"/>
  <c r="I3" i="3"/>
  <c r="I4" i="3"/>
  <c r="I5" i="3"/>
  <c r="Y5" i="3" s="1"/>
  <c r="I6" i="3"/>
  <c r="Y6" i="3" s="1"/>
  <c r="I8" i="3"/>
  <c r="I17" i="3"/>
  <c r="Y17" i="3" s="1"/>
  <c r="I25" i="3"/>
  <c r="I28" i="3"/>
  <c r="Y28" i="3" s="1"/>
  <c r="I32" i="3"/>
  <c r="Y32" i="3" s="1"/>
  <c r="I43" i="3"/>
  <c r="Y43" i="3" s="1"/>
  <c r="I52" i="3"/>
  <c r="Y52" i="3" s="1"/>
  <c r="I60" i="3"/>
  <c r="Y60" i="3" s="1"/>
  <c r="I64" i="3"/>
  <c r="Y64" i="3" s="1"/>
  <c r="I66" i="3"/>
  <c r="I75" i="3"/>
  <c r="Y75" i="3" s="1"/>
  <c r="I88" i="3"/>
  <c r="I96" i="3"/>
  <c r="Y96" i="3" s="1"/>
  <c r="I125" i="3"/>
  <c r="Y125" i="3" s="1"/>
  <c r="I145" i="3"/>
  <c r="Y145" i="3" s="1"/>
  <c r="I164" i="3"/>
  <c r="Y164" i="3" s="1"/>
  <c r="I169" i="3"/>
  <c r="Y169" i="3" s="1"/>
  <c r="I190" i="3"/>
  <c r="Y190" i="3" s="1"/>
  <c r="I197" i="3"/>
  <c r="Y197" i="3" s="1"/>
  <c r="I218" i="3"/>
  <c r="Y218" i="3" s="1"/>
  <c r="I221" i="3"/>
  <c r="Y221" i="3" s="1"/>
  <c r="I224" i="3"/>
  <c r="Y224" i="3" s="1"/>
  <c r="I225" i="3"/>
  <c r="Y225" i="3" s="1"/>
  <c r="I230" i="3"/>
  <c r="Y230" i="3" s="1"/>
  <c r="I254" i="3"/>
  <c r="I259" i="3"/>
  <c r="Y259" i="3" s="1"/>
  <c r="I267" i="3"/>
  <c r="Y267" i="3" s="1"/>
  <c r="I271" i="3"/>
  <c r="Y271" i="3" s="1"/>
  <c r="I280" i="3"/>
  <c r="Y280" i="3" s="1"/>
  <c r="I74" i="3"/>
  <c r="Y74" i="3" s="1"/>
  <c r="I91" i="3"/>
  <c r="Y91" i="3" s="1"/>
  <c r="I101" i="3"/>
  <c r="Y101" i="3" s="1"/>
  <c r="I106" i="3"/>
  <c r="Y106" i="3" s="1"/>
  <c r="I110" i="3"/>
  <c r="Y110" i="3" s="1"/>
  <c r="I126" i="3"/>
  <c r="Y126" i="3" s="1"/>
  <c r="I131" i="3"/>
  <c r="Y131" i="3" s="1"/>
  <c r="I136" i="3"/>
  <c r="Y136" i="3" s="1"/>
  <c r="I148" i="3"/>
  <c r="Y148" i="3" s="1"/>
  <c r="I149" i="3"/>
  <c r="Y149" i="3" s="1"/>
  <c r="I158" i="3"/>
  <c r="Y158" i="3" s="1"/>
  <c r="I165" i="3"/>
  <c r="Y165" i="3" s="1"/>
  <c r="I173" i="3"/>
  <c r="Y173" i="3" s="1"/>
  <c r="I181" i="3"/>
  <c r="Y181" i="3" s="1"/>
  <c r="I187" i="3"/>
  <c r="Y187" i="3" s="1"/>
  <c r="I204" i="3"/>
  <c r="Y204" i="3" s="1"/>
  <c r="I210" i="3"/>
  <c r="Y210" i="3" s="1"/>
  <c r="I220" i="3"/>
  <c r="Y220" i="3" s="1"/>
  <c r="I228" i="3"/>
  <c r="Y228" i="3" s="1"/>
  <c r="I235" i="3"/>
  <c r="Y235" i="3" s="1"/>
  <c r="I253" i="3"/>
  <c r="Y253" i="3" s="1"/>
  <c r="I255" i="3"/>
  <c r="I9" i="3"/>
  <c r="Y9" i="3" s="1"/>
  <c r="I15" i="3"/>
  <c r="Y15" i="3" s="1"/>
  <c r="I27" i="3"/>
  <c r="I30" i="3"/>
  <c r="Y30" i="3" s="1"/>
  <c r="I42" i="3"/>
  <c r="Y42" i="3" s="1"/>
  <c r="I44" i="3"/>
  <c r="Y44" i="3" s="1"/>
  <c r="I51" i="3"/>
  <c r="Y51" i="3" s="1"/>
  <c r="I54" i="3"/>
  <c r="Y54" i="3" s="1"/>
  <c r="I81" i="3"/>
  <c r="Y81" i="3" s="1"/>
  <c r="I85" i="3"/>
  <c r="Y85" i="3" s="1"/>
  <c r="I87" i="3"/>
  <c r="I93" i="3"/>
  <c r="Y93" i="3" s="1"/>
  <c r="I100" i="3"/>
  <c r="Y100" i="3" s="1"/>
  <c r="I102" i="3"/>
  <c r="Y102" i="3" s="1"/>
  <c r="I108" i="3"/>
  <c r="Y108" i="3" s="1"/>
  <c r="I117" i="3"/>
  <c r="Y117" i="3" s="1"/>
  <c r="I128" i="3"/>
  <c r="Y128" i="3" s="1"/>
  <c r="I132" i="3"/>
  <c r="Y132" i="3" s="1"/>
  <c r="I143" i="3"/>
  <c r="Y143" i="3" s="1"/>
  <c r="I157" i="3"/>
  <c r="Y157" i="3" s="1"/>
  <c r="I170" i="3"/>
  <c r="Y170" i="3" s="1"/>
  <c r="I174" i="3"/>
  <c r="Y174" i="3" s="1"/>
  <c r="I184" i="3"/>
  <c r="Y184" i="3" s="1"/>
  <c r="I192" i="3"/>
  <c r="Y192" i="3" s="1"/>
  <c r="I202" i="3"/>
  <c r="Y202" i="3" s="1"/>
  <c r="I212" i="3"/>
  <c r="Y212" i="3" s="1"/>
  <c r="I214" i="3"/>
  <c r="Y214" i="3" s="1"/>
  <c r="I227" i="3"/>
  <c r="Y227" i="3" s="1"/>
  <c r="I229" i="3"/>
  <c r="Y229" i="3" s="1"/>
  <c r="I247" i="3"/>
  <c r="Y247" i="3" s="1"/>
  <c r="I262" i="3"/>
  <c r="Y262" i="3" s="1"/>
  <c r="I274" i="3"/>
  <c r="I278" i="3"/>
  <c r="Y278" i="3" s="1"/>
  <c r="I281" i="3"/>
  <c r="Y281" i="3" s="1"/>
  <c r="I10" i="3"/>
  <c r="Y10" i="3" s="1"/>
  <c r="I11" i="3"/>
  <c r="I12" i="3"/>
  <c r="Y12" i="3" s="1"/>
  <c r="I19" i="3"/>
  <c r="Y19" i="3" s="1"/>
  <c r="I20" i="3"/>
  <c r="Y20" i="3" s="1"/>
  <c r="I22" i="3"/>
  <c r="Y22" i="3" s="1"/>
  <c r="I35" i="3"/>
  <c r="Y35" i="3" s="1"/>
  <c r="I37" i="3"/>
  <c r="Y37" i="3" s="1"/>
  <c r="I39" i="3"/>
  <c r="Y39" i="3" s="1"/>
  <c r="I45" i="3"/>
  <c r="I46" i="3"/>
  <c r="Y46" i="3" s="1"/>
  <c r="I56" i="3"/>
  <c r="I62" i="3"/>
  <c r="Y62" i="3" s="1"/>
  <c r="I72" i="3"/>
  <c r="Y72" i="3" s="1"/>
  <c r="I80" i="3"/>
  <c r="Y80" i="3" s="1"/>
  <c r="I86" i="3"/>
  <c r="Y86" i="3" s="1"/>
  <c r="I94" i="3"/>
  <c r="Y94" i="3" s="1"/>
  <c r="I97" i="3"/>
  <c r="Y97" i="3" s="1"/>
  <c r="I99" i="3"/>
  <c r="Y99" i="3" s="1"/>
  <c r="I107" i="3"/>
  <c r="Y107" i="3" s="1"/>
  <c r="I116" i="3"/>
  <c r="Y116" i="3" s="1"/>
  <c r="I122" i="3"/>
  <c r="Y122" i="3" s="1"/>
  <c r="I123" i="3"/>
  <c r="Y123" i="3" s="1"/>
  <c r="I124" i="3"/>
  <c r="Y124" i="3" s="1"/>
  <c r="I129" i="3"/>
  <c r="Y129" i="3" s="1"/>
  <c r="I133" i="3"/>
  <c r="Y133" i="3" s="1"/>
  <c r="I139" i="3"/>
  <c r="Y139" i="3" s="1"/>
  <c r="I140" i="3"/>
  <c r="Y140" i="3" s="1"/>
  <c r="I154" i="3"/>
  <c r="Y154" i="3" s="1"/>
  <c r="I159" i="3"/>
  <c r="Y159" i="3" s="1"/>
  <c r="I168" i="3"/>
  <c r="Y168" i="3" s="1"/>
  <c r="I171" i="3"/>
  <c r="Y171" i="3" s="1"/>
  <c r="I175" i="3"/>
  <c r="Y175" i="3" s="1"/>
  <c r="I177" i="3"/>
  <c r="Y177" i="3" s="1"/>
  <c r="I178" i="3"/>
  <c r="Y178" i="3" s="1"/>
  <c r="I182" i="3"/>
  <c r="Y182" i="3" s="1"/>
  <c r="I183" i="3"/>
  <c r="Y183" i="3" s="1"/>
  <c r="I188" i="3"/>
  <c r="Y188" i="3" s="1"/>
  <c r="I191" i="3"/>
  <c r="Y191" i="3" s="1"/>
  <c r="I193" i="3"/>
  <c r="Y193" i="3" s="1"/>
  <c r="I194" i="3"/>
  <c r="Y194" i="3" s="1"/>
  <c r="I195" i="3"/>
  <c r="Y195" i="3" s="1"/>
  <c r="I200" i="3"/>
  <c r="Y200" i="3" s="1"/>
  <c r="I217" i="3"/>
  <c r="Y217" i="3" s="1"/>
  <c r="I222" i="3"/>
  <c r="Y222" i="3" s="1"/>
  <c r="I237" i="3"/>
  <c r="Y237" i="3" s="1"/>
  <c r="I238" i="3"/>
  <c r="Y238" i="3" s="1"/>
  <c r="I243" i="3"/>
  <c r="Y243" i="3" s="1"/>
  <c r="I248" i="3"/>
  <c r="Y248" i="3" s="1"/>
  <c r="I249" i="3"/>
  <c r="Y249" i="3" s="1"/>
  <c r="I250" i="3"/>
  <c r="Y250" i="3" s="1"/>
  <c r="I252" i="3"/>
  <c r="Y252" i="3" s="1"/>
  <c r="I256" i="3"/>
  <c r="Y256" i="3" s="1"/>
  <c r="I265" i="3"/>
  <c r="I268" i="3"/>
  <c r="Y268" i="3" s="1"/>
  <c r="I270" i="3"/>
  <c r="Y270" i="3" s="1"/>
  <c r="I272" i="3"/>
  <c r="Y272" i="3" s="1"/>
  <c r="I276" i="3"/>
  <c r="Y276" i="3" s="1"/>
  <c r="I14" i="3"/>
  <c r="I18" i="3"/>
  <c r="I29" i="3"/>
  <c r="Y29" i="3" s="1"/>
  <c r="I33" i="3"/>
  <c r="Y33" i="3" s="1"/>
  <c r="I34" i="3"/>
  <c r="Y34" i="3" s="1"/>
  <c r="I38" i="3"/>
  <c r="Y38" i="3" s="1"/>
  <c r="I40" i="3"/>
  <c r="Y40" i="3" s="1"/>
  <c r="I41" i="3"/>
  <c r="Y41" i="3" s="1"/>
  <c r="I48" i="3"/>
  <c r="Y48" i="3" s="1"/>
  <c r="I50" i="3"/>
  <c r="Y50" i="3" s="1"/>
  <c r="I53" i="3"/>
  <c r="Y53" i="3" s="1"/>
  <c r="I58" i="3"/>
  <c r="I59" i="3"/>
  <c r="I61" i="3"/>
  <c r="Y61" i="3" s="1"/>
  <c r="I63" i="3"/>
  <c r="Y63" i="3" s="1"/>
  <c r="I65" i="3"/>
  <c r="Y65" i="3" s="1"/>
  <c r="I68" i="3"/>
  <c r="Y68" i="3" s="1"/>
  <c r="I70" i="3"/>
  <c r="Y70" i="3" s="1"/>
  <c r="I71" i="3"/>
  <c r="Y71" i="3" s="1"/>
  <c r="I73" i="3"/>
  <c r="Y73" i="3" s="1"/>
  <c r="I78" i="3"/>
  <c r="Y78" i="3" s="1"/>
  <c r="I82" i="3"/>
  <c r="Y82" i="3" s="1"/>
  <c r="I83" i="3"/>
  <c r="Y83" i="3" s="1"/>
  <c r="I84" i="3"/>
  <c r="Y84" i="3" s="1"/>
  <c r="I89" i="3"/>
  <c r="Y89" i="3" s="1"/>
  <c r="I92" i="3"/>
  <c r="Y92" i="3" s="1"/>
  <c r="I98" i="3"/>
  <c r="Y98" i="3" s="1"/>
  <c r="I105" i="3"/>
  <c r="Y105" i="3" s="1"/>
  <c r="I109" i="3"/>
  <c r="Y109" i="3" s="1"/>
  <c r="I112" i="3"/>
  <c r="Y112" i="3" s="1"/>
  <c r="I113" i="3"/>
  <c r="Y113" i="3" s="1"/>
  <c r="I114" i="3"/>
  <c r="Y114" i="3" s="1"/>
  <c r="I118" i="3"/>
  <c r="Y118" i="3" s="1"/>
  <c r="I121" i="3"/>
  <c r="Y121" i="3" s="1"/>
  <c r="I127" i="3"/>
  <c r="Y127" i="3" s="1"/>
  <c r="I130" i="3"/>
  <c r="Y130" i="3" s="1"/>
  <c r="I134" i="3"/>
  <c r="Y134" i="3" s="1"/>
  <c r="I135" i="3"/>
  <c r="Y135" i="3" s="1"/>
  <c r="I137" i="3"/>
  <c r="Y137" i="3" s="1"/>
  <c r="I138" i="3"/>
  <c r="Y138" i="3" s="1"/>
  <c r="I141" i="3"/>
  <c r="Y141" i="3" s="1"/>
  <c r="I142" i="3"/>
  <c r="Y142" i="3" s="1"/>
  <c r="I146" i="3"/>
  <c r="Y146" i="3" s="1"/>
  <c r="I147" i="3"/>
  <c r="Y147" i="3" s="1"/>
  <c r="I151" i="3"/>
  <c r="Y151" i="3" s="1"/>
  <c r="I152" i="3"/>
  <c r="Y152" i="3" s="1"/>
  <c r="I153" i="3"/>
  <c r="Y153" i="3" s="1"/>
  <c r="I167" i="3"/>
  <c r="Y167" i="3" s="1"/>
  <c r="I176" i="3"/>
  <c r="Y176" i="3" s="1"/>
  <c r="I189" i="3"/>
  <c r="Y189" i="3" s="1"/>
  <c r="I196" i="3"/>
  <c r="Y196" i="3" s="1"/>
  <c r="I199" i="3"/>
  <c r="Y199" i="3" s="1"/>
  <c r="I201" i="3"/>
  <c r="Y201" i="3" s="1"/>
  <c r="I203" i="3"/>
  <c r="Y203" i="3" s="1"/>
  <c r="I205" i="3"/>
  <c r="Y205" i="3" s="1"/>
  <c r="I206" i="3"/>
  <c r="Y206" i="3" s="1"/>
  <c r="I209" i="3"/>
  <c r="Y209" i="3" s="1"/>
  <c r="I211" i="3"/>
  <c r="Y211" i="3" s="1"/>
  <c r="I215" i="3"/>
  <c r="Y215" i="3" s="1"/>
  <c r="I219" i="3"/>
  <c r="Y219" i="3" s="1"/>
  <c r="I223" i="3"/>
  <c r="Y223" i="3" s="1"/>
  <c r="I226" i="3"/>
  <c r="Y226" i="3" s="1"/>
  <c r="I236" i="3"/>
  <c r="Y236" i="3" s="1"/>
  <c r="I240" i="3"/>
  <c r="Y240" i="3" s="1"/>
  <c r="I242" i="3"/>
  <c r="Y242" i="3" s="1"/>
  <c r="I245" i="3"/>
  <c r="Y245" i="3" s="1"/>
  <c r="I251" i="3"/>
  <c r="Y251" i="3" s="1"/>
  <c r="I257" i="3"/>
  <c r="I258" i="3"/>
  <c r="Y258" i="3" s="1"/>
  <c r="I260" i="3"/>
  <c r="Y260" i="3" s="1"/>
  <c r="I263" i="3"/>
  <c r="I264" i="3"/>
  <c r="Y264" i="3" s="1"/>
  <c r="I266" i="3"/>
  <c r="Y266" i="3" s="1"/>
  <c r="I269" i="3"/>
  <c r="Y269" i="3" s="1"/>
  <c r="I273" i="3"/>
  <c r="Y273" i="3" s="1"/>
  <c r="I275" i="3"/>
  <c r="Y275" i="3" s="1"/>
  <c r="I277" i="3"/>
  <c r="Y277" i="3" s="1"/>
  <c r="I279" i="3"/>
  <c r="Y279" i="3" s="1"/>
  <c r="I7" i="3"/>
  <c r="Y7" i="3" s="1"/>
  <c r="I13" i="3"/>
  <c r="Y13" i="3" s="1"/>
  <c r="I16" i="3"/>
  <c r="I21" i="3"/>
  <c r="Y21" i="3" s="1"/>
  <c r="I23" i="3"/>
  <c r="Y23" i="3" s="1"/>
  <c r="I24" i="3"/>
  <c r="Y24" i="3" s="1"/>
  <c r="I26" i="3"/>
  <c r="Y26" i="3" s="1"/>
  <c r="I31" i="3"/>
  <c r="Y31" i="3" s="1"/>
  <c r="I36" i="3"/>
  <c r="Y36" i="3" s="1"/>
  <c r="I47" i="3"/>
  <c r="Y47" i="3" s="1"/>
  <c r="I49" i="3"/>
  <c r="Y49" i="3" s="1"/>
  <c r="I55" i="3"/>
  <c r="I57" i="3"/>
  <c r="Y57" i="3" s="1"/>
  <c r="I67" i="3"/>
  <c r="Y67" i="3" s="1"/>
  <c r="I69" i="3"/>
  <c r="Y69" i="3" s="1"/>
  <c r="I76" i="3"/>
  <c r="Y76" i="3" s="1"/>
  <c r="I77" i="3"/>
  <c r="Y77" i="3" s="1"/>
  <c r="I79" i="3"/>
  <c r="Y79" i="3" s="1"/>
  <c r="I90" i="3"/>
  <c r="Y90" i="3" s="1"/>
  <c r="I95" i="3"/>
  <c r="Y95" i="3" s="1"/>
  <c r="I103" i="3"/>
  <c r="Y103" i="3" s="1"/>
  <c r="I104" i="3"/>
  <c r="Y104" i="3" s="1"/>
  <c r="I111" i="3"/>
  <c r="Y111" i="3" s="1"/>
  <c r="I115" i="3"/>
  <c r="Y115" i="3" s="1"/>
  <c r="I119" i="3"/>
  <c r="Y119" i="3" s="1"/>
  <c r="I120" i="3"/>
  <c r="Y120" i="3" s="1"/>
  <c r="I144" i="3"/>
  <c r="Y144" i="3" s="1"/>
  <c r="I150" i="3"/>
  <c r="Y150" i="3" s="1"/>
  <c r="I155" i="3"/>
  <c r="Y155" i="3" s="1"/>
  <c r="I156" i="3"/>
  <c r="Y156" i="3" s="1"/>
  <c r="I160" i="3"/>
  <c r="Y160" i="3" s="1"/>
  <c r="I161" i="3"/>
  <c r="Y161" i="3" s="1"/>
  <c r="I162" i="3"/>
  <c r="Y162" i="3" s="1"/>
  <c r="I163" i="3"/>
  <c r="Y163" i="3" s="1"/>
  <c r="I166" i="3"/>
  <c r="Y166" i="3" s="1"/>
  <c r="I172" i="3"/>
  <c r="Y172" i="3" s="1"/>
  <c r="I179" i="3"/>
  <c r="Y179" i="3" s="1"/>
  <c r="I180" i="3"/>
  <c r="Y180" i="3" s="1"/>
  <c r="I185" i="3"/>
  <c r="Y185" i="3" s="1"/>
  <c r="I186" i="3"/>
  <c r="Y186" i="3" s="1"/>
  <c r="I198" i="3"/>
  <c r="Y198" i="3" s="1"/>
  <c r="I207" i="3"/>
  <c r="Y207" i="3" s="1"/>
  <c r="I208" i="3"/>
  <c r="Y208" i="3" s="1"/>
  <c r="I213" i="3"/>
  <c r="Y213" i="3" s="1"/>
  <c r="I216" i="3"/>
  <c r="Y216" i="3" s="1"/>
  <c r="I231" i="3"/>
  <c r="Y231" i="3" s="1"/>
  <c r="I232" i="3"/>
  <c r="Y232" i="3" s="1"/>
  <c r="I233" i="3"/>
  <c r="Y233" i="3" s="1"/>
  <c r="I234" i="3"/>
  <c r="Y234" i="3" s="1"/>
  <c r="I239" i="3"/>
  <c r="Y239" i="3" s="1"/>
  <c r="I241" i="3"/>
  <c r="Y241" i="3" s="1"/>
  <c r="I244" i="3"/>
  <c r="Y244" i="3" s="1"/>
  <c r="I246" i="3"/>
  <c r="Y246" i="3" s="1"/>
  <c r="I261" i="3"/>
  <c r="Y261" i="3" s="1"/>
  <c r="M2" i="24"/>
  <c r="E2" i="24"/>
  <c r="M3" i="24"/>
  <c r="E3" i="24"/>
  <c r="M4" i="24"/>
  <c r="E4" i="24"/>
  <c r="M5" i="24"/>
  <c r="E5" i="24"/>
  <c r="M6" i="24"/>
  <c r="E6" i="24"/>
  <c r="M7" i="24"/>
  <c r="E7" i="24"/>
  <c r="M8" i="24"/>
  <c r="E8" i="24"/>
  <c r="M9" i="24"/>
  <c r="E9" i="24"/>
  <c r="M10" i="24"/>
  <c r="E10" i="24"/>
  <c r="L11" i="24"/>
  <c r="M11" i="24"/>
  <c r="M12" i="24"/>
  <c r="L12" i="24"/>
  <c r="M13" i="24"/>
  <c r="L13" i="24"/>
  <c r="M14" i="24"/>
  <c r="L14" i="24"/>
  <c r="M15" i="24"/>
  <c r="L15" i="24"/>
  <c r="M16" i="24"/>
  <c r="L16" i="24"/>
  <c r="M17" i="24"/>
  <c r="E17" i="24"/>
  <c r="M18" i="24"/>
  <c r="L18" i="24"/>
  <c r="L19" i="24"/>
  <c r="M19" i="24"/>
  <c r="M20" i="24"/>
  <c r="L20" i="24"/>
  <c r="M21" i="24"/>
  <c r="L21" i="24"/>
  <c r="M22" i="24"/>
  <c r="L22" i="24"/>
  <c r="L23" i="24"/>
  <c r="M23" i="24"/>
  <c r="L24" i="24"/>
  <c r="M24" i="24"/>
  <c r="L25" i="24"/>
  <c r="M25" i="24"/>
  <c r="M26" i="24"/>
  <c r="L26" i="24"/>
  <c r="L27" i="24"/>
  <c r="M27" i="24"/>
  <c r="L28" i="24"/>
  <c r="M28" i="24"/>
  <c r="L29" i="24"/>
  <c r="M29" i="24"/>
  <c r="L30" i="24"/>
  <c r="M30" i="24"/>
  <c r="L31" i="24"/>
  <c r="M31" i="24"/>
  <c r="L32" i="24"/>
  <c r="M32" i="24"/>
  <c r="M33" i="24"/>
  <c r="L33" i="24"/>
  <c r="M34" i="24"/>
  <c r="L34" i="24"/>
  <c r="M35" i="24"/>
  <c r="L35" i="24"/>
  <c r="L36" i="24"/>
  <c r="M36" i="24"/>
  <c r="L37" i="24"/>
  <c r="M37" i="24"/>
  <c r="M38" i="24"/>
  <c r="E38" i="24"/>
  <c r="M39" i="24"/>
  <c r="L39" i="24"/>
  <c r="L40" i="24"/>
  <c r="M40" i="24"/>
  <c r="M41" i="24"/>
  <c r="L41" i="24"/>
  <c r="L42" i="24"/>
  <c r="M42" i="24"/>
  <c r="M43" i="24"/>
  <c r="L43" i="24"/>
  <c r="M44" i="24"/>
  <c r="L44" i="24"/>
  <c r="L45" i="24"/>
  <c r="M45" i="24"/>
  <c r="L46" i="24"/>
  <c r="M46" i="24"/>
  <c r="L47" i="24"/>
  <c r="M47" i="24"/>
  <c r="M48" i="24"/>
  <c r="L48" i="24"/>
  <c r="L49" i="24"/>
  <c r="M49" i="24"/>
  <c r="M50" i="24"/>
  <c r="L50" i="24"/>
  <c r="L51" i="24"/>
  <c r="M51" i="24"/>
  <c r="M52" i="24"/>
  <c r="L52" i="24"/>
  <c r="M53" i="24"/>
  <c r="L53" i="24"/>
  <c r="M54" i="24"/>
  <c r="L54" i="24"/>
  <c r="L55" i="24"/>
  <c r="M55" i="24"/>
  <c r="L56" i="24"/>
  <c r="M56" i="24"/>
  <c r="L57" i="24"/>
  <c r="M57" i="24"/>
  <c r="L58" i="24"/>
  <c r="M58" i="24"/>
  <c r="L59" i="24"/>
  <c r="M59" i="24"/>
  <c r="M60" i="24"/>
  <c r="L60" i="24"/>
  <c r="L61" i="24"/>
  <c r="M61" i="24"/>
  <c r="L62" i="24"/>
  <c r="M62" i="24"/>
  <c r="L63" i="24"/>
  <c r="M63" i="24"/>
  <c r="L64" i="24"/>
  <c r="M64" i="24"/>
  <c r="M65" i="24"/>
  <c r="L65" i="24"/>
  <c r="L66" i="24"/>
  <c r="M66" i="24"/>
  <c r="L67" i="24"/>
  <c r="M67" i="24"/>
  <c r="L68" i="24"/>
  <c r="M68" i="24"/>
  <c r="L69" i="24"/>
  <c r="M69" i="24"/>
  <c r="L70" i="24"/>
  <c r="M70" i="24"/>
  <c r="M71" i="24"/>
  <c r="L71" i="24"/>
  <c r="L72" i="24"/>
  <c r="M72" i="24"/>
  <c r="M73" i="24"/>
  <c r="L73" i="24"/>
  <c r="M74" i="24"/>
  <c r="L74" i="24"/>
  <c r="L75" i="24"/>
  <c r="M75" i="24"/>
  <c r="M76" i="24"/>
  <c r="L76" i="24"/>
  <c r="M77" i="24"/>
  <c r="L77" i="24"/>
  <c r="M78" i="24"/>
  <c r="L78" i="24"/>
  <c r="L79" i="24"/>
  <c r="M79" i="24"/>
  <c r="L80" i="24"/>
  <c r="M80" i="24"/>
  <c r="M81" i="24"/>
  <c r="L81" i="24"/>
  <c r="L82" i="24"/>
  <c r="M82" i="24"/>
  <c r="L83" i="24"/>
  <c r="M83" i="24"/>
  <c r="L84" i="24"/>
  <c r="M84" i="24"/>
  <c r="M85" i="24"/>
  <c r="L85" i="24"/>
  <c r="L86" i="24"/>
  <c r="M86" i="24"/>
  <c r="M87" i="24"/>
  <c r="L87" i="24"/>
  <c r="L88" i="24"/>
  <c r="M88" i="24"/>
  <c r="L89" i="24"/>
  <c r="M89" i="24"/>
  <c r="M90" i="24"/>
  <c r="L90" i="24"/>
  <c r="M91" i="24"/>
  <c r="L91" i="24"/>
  <c r="L92" i="24"/>
  <c r="M92" i="24"/>
  <c r="M93" i="24"/>
  <c r="L93" i="24"/>
  <c r="L94" i="24"/>
  <c r="M94" i="24"/>
  <c r="M95" i="24"/>
  <c r="L95" i="24"/>
  <c r="M96" i="24"/>
  <c r="L96" i="24"/>
  <c r="L97" i="24"/>
  <c r="M97" i="24"/>
  <c r="M98" i="24"/>
  <c r="L98" i="24"/>
  <c r="M99" i="24"/>
  <c r="L99" i="24"/>
  <c r="L100" i="24"/>
  <c r="M100" i="24"/>
  <c r="L101" i="24"/>
  <c r="M101" i="24"/>
  <c r="M102" i="24"/>
  <c r="L102" i="24"/>
  <c r="L103" i="24"/>
  <c r="M103" i="24"/>
  <c r="L104" i="24"/>
  <c r="M104" i="24"/>
  <c r="M105" i="24"/>
  <c r="L105" i="24"/>
  <c r="M106" i="24"/>
  <c r="L106" i="24"/>
  <c r="M107" i="24"/>
  <c r="L107" i="24"/>
  <c r="L108" i="24"/>
  <c r="M108" i="24"/>
  <c r="L109" i="24"/>
  <c r="M109" i="24"/>
  <c r="M110" i="24"/>
  <c r="L110" i="24"/>
  <c r="M111" i="24"/>
  <c r="L111" i="24"/>
  <c r="M112" i="24"/>
  <c r="L112" i="24"/>
  <c r="M113" i="24"/>
  <c r="L113" i="24"/>
  <c r="M114" i="24"/>
  <c r="L114" i="24"/>
  <c r="L115" i="24"/>
  <c r="M115" i="24"/>
  <c r="M116" i="24"/>
  <c r="L116" i="24"/>
  <c r="M117" i="24"/>
  <c r="L117" i="24"/>
  <c r="M118" i="24"/>
  <c r="L118" i="24"/>
  <c r="M119" i="24"/>
  <c r="L119" i="24"/>
  <c r="M120" i="24"/>
  <c r="L120" i="24"/>
  <c r="L121" i="24"/>
  <c r="M121" i="24"/>
  <c r="M122" i="24"/>
  <c r="L122" i="24"/>
  <c r="L123" i="24"/>
  <c r="M123" i="24"/>
  <c r="M124" i="24"/>
  <c r="L124" i="24"/>
  <c r="L125" i="24"/>
  <c r="M125" i="24"/>
  <c r="M126" i="24"/>
  <c r="L126" i="24"/>
  <c r="L127" i="24"/>
  <c r="M127" i="24"/>
  <c r="L128" i="24"/>
  <c r="M128" i="24"/>
  <c r="M129" i="24"/>
  <c r="L129" i="24"/>
  <c r="M130" i="24"/>
  <c r="L130" i="24"/>
  <c r="M131" i="24"/>
  <c r="L131" i="24"/>
  <c r="L132" i="24"/>
  <c r="M132" i="24"/>
  <c r="L133" i="24"/>
  <c r="M133" i="24"/>
  <c r="M134" i="24"/>
  <c r="L134" i="24"/>
  <c r="L135" i="24"/>
  <c r="M135" i="24"/>
  <c r="L136" i="24"/>
  <c r="M136" i="24"/>
  <c r="L137" i="24"/>
  <c r="M137" i="24"/>
  <c r="M138" i="24"/>
  <c r="L138" i="24"/>
  <c r="L139" i="24"/>
  <c r="M139" i="24"/>
  <c r="M140" i="24"/>
  <c r="L140" i="24"/>
  <c r="L141" i="24"/>
  <c r="M141" i="24"/>
  <c r="L142" i="24"/>
  <c r="M142" i="24"/>
  <c r="L143" i="24"/>
  <c r="M143" i="24"/>
  <c r="L144" i="24"/>
  <c r="M144" i="24"/>
  <c r="L145" i="24"/>
  <c r="M145" i="24"/>
  <c r="M146" i="24"/>
  <c r="L146" i="24"/>
  <c r="M147" i="24"/>
  <c r="L147" i="24"/>
  <c r="L148" i="24"/>
  <c r="M148" i="24"/>
  <c r="L149" i="24"/>
  <c r="M149" i="24"/>
  <c r="M150" i="24"/>
  <c r="L150" i="24"/>
  <c r="M151" i="24"/>
  <c r="L151" i="24"/>
  <c r="M152" i="24"/>
  <c r="L152" i="24"/>
  <c r="L153" i="24"/>
  <c r="M153" i="24"/>
  <c r="L154" i="24"/>
  <c r="M154" i="24"/>
  <c r="M155" i="24"/>
  <c r="L155" i="24"/>
  <c r="L156" i="24"/>
  <c r="M156" i="24"/>
  <c r="L157" i="24"/>
  <c r="M157" i="24"/>
  <c r="M158" i="24"/>
  <c r="L158" i="24"/>
  <c r="L159" i="24"/>
  <c r="M159" i="24"/>
  <c r="L160" i="24"/>
  <c r="M160" i="24"/>
  <c r="M161" i="24"/>
  <c r="L161" i="24"/>
  <c r="L162" i="24"/>
  <c r="M162" i="24"/>
  <c r="L163" i="24"/>
  <c r="M163" i="24"/>
  <c r="L164" i="24"/>
  <c r="M164" i="24"/>
  <c r="M165" i="24"/>
  <c r="L165" i="24"/>
  <c r="M166" i="24"/>
  <c r="L166" i="24"/>
  <c r="L167" i="24"/>
  <c r="M167" i="24"/>
  <c r="M168" i="24"/>
  <c r="L168" i="24"/>
  <c r="M169" i="24"/>
  <c r="L169" i="24"/>
  <c r="L170" i="24"/>
  <c r="M170" i="24"/>
  <c r="M171" i="24"/>
  <c r="L171" i="24"/>
  <c r="M172" i="24"/>
  <c r="L172" i="24"/>
  <c r="L173" i="24"/>
  <c r="M173" i="24"/>
  <c r="M174" i="24"/>
  <c r="L174" i="24"/>
  <c r="M175" i="24"/>
  <c r="L175" i="24"/>
  <c r="M176" i="24"/>
  <c r="L176" i="24"/>
  <c r="L177" i="24"/>
  <c r="M177" i="24"/>
  <c r="L178" i="24"/>
  <c r="M178" i="24"/>
  <c r="L179" i="24"/>
  <c r="M179" i="24"/>
  <c r="M180" i="24"/>
  <c r="L180" i="24"/>
  <c r="L181" i="24"/>
  <c r="M181" i="24"/>
  <c r="L182" i="24"/>
  <c r="M182" i="24"/>
  <c r="L183" i="24"/>
  <c r="M183" i="24"/>
  <c r="L184" i="24"/>
  <c r="M184" i="24"/>
  <c r="L185" i="24"/>
  <c r="M185" i="24"/>
  <c r="M186" i="24"/>
  <c r="L186" i="24"/>
  <c r="M187" i="24"/>
  <c r="L187" i="24"/>
  <c r="L188" i="24"/>
  <c r="M188" i="24"/>
  <c r="L189" i="24"/>
  <c r="M189" i="24"/>
  <c r="M190" i="24"/>
  <c r="L190" i="24"/>
  <c r="L191" i="24"/>
  <c r="M191" i="24"/>
  <c r="M192" i="24"/>
  <c r="L192" i="24"/>
  <c r="M193" i="24"/>
  <c r="L193" i="24"/>
  <c r="L194" i="24"/>
  <c r="M194" i="24"/>
  <c r="L195" i="24"/>
  <c r="M195" i="24"/>
  <c r="M196" i="24"/>
  <c r="L196" i="24"/>
  <c r="L197" i="24"/>
  <c r="M197" i="24"/>
  <c r="L198" i="24"/>
  <c r="M198" i="24"/>
  <c r="L199" i="24"/>
  <c r="M199" i="24"/>
  <c r="M200" i="24"/>
  <c r="L200" i="24"/>
  <c r="L201" i="24"/>
  <c r="M201" i="24"/>
  <c r="L202" i="24"/>
  <c r="M202" i="24"/>
  <c r="L203" i="24"/>
  <c r="M203" i="24"/>
  <c r="L204" i="24"/>
  <c r="M204" i="24"/>
  <c r="M205" i="24"/>
  <c r="L205" i="24"/>
  <c r="L206" i="24"/>
  <c r="M206" i="24"/>
  <c r="L207" i="24"/>
  <c r="M207" i="24"/>
  <c r="L208" i="24"/>
  <c r="M208" i="24"/>
  <c r="L209" i="24"/>
  <c r="M209" i="24"/>
  <c r="L210" i="24"/>
  <c r="M210" i="24"/>
  <c r="L211" i="24"/>
  <c r="M211" i="24"/>
  <c r="L212" i="24"/>
  <c r="M212" i="24"/>
  <c r="L213" i="24"/>
  <c r="M213" i="24"/>
  <c r="M214" i="24"/>
  <c r="L214" i="24"/>
  <c r="M215" i="24"/>
  <c r="L215" i="24"/>
  <c r="M216" i="24"/>
  <c r="L216" i="24"/>
  <c r="M217" i="24"/>
  <c r="L217" i="24"/>
  <c r="M218" i="24"/>
  <c r="L218" i="24"/>
  <c r="L219" i="24"/>
  <c r="M219" i="24"/>
  <c r="M220" i="24"/>
  <c r="L220" i="24"/>
  <c r="L221" i="24"/>
  <c r="M221" i="24"/>
  <c r="L222" i="24"/>
  <c r="M222" i="24"/>
  <c r="M223" i="24"/>
  <c r="L223" i="24"/>
  <c r="L224" i="24"/>
  <c r="M224" i="24"/>
  <c r="L225" i="24"/>
  <c r="M225" i="24"/>
  <c r="M226" i="24"/>
  <c r="L226" i="24"/>
  <c r="L227" i="24"/>
  <c r="M227" i="24"/>
  <c r="L228" i="24"/>
  <c r="M228" i="24"/>
  <c r="M229" i="24"/>
  <c r="L229" i="24"/>
  <c r="M230" i="24"/>
  <c r="L230" i="24"/>
  <c r="M231" i="24"/>
  <c r="L231" i="24"/>
  <c r="M232" i="24"/>
  <c r="L232" i="24"/>
  <c r="M233" i="24"/>
  <c r="L233" i="24"/>
  <c r="M234" i="24"/>
  <c r="L234" i="24"/>
  <c r="L235" i="24"/>
  <c r="M235" i="24"/>
  <c r="L236" i="24"/>
  <c r="M236" i="24"/>
  <c r="M237" i="24"/>
  <c r="L237" i="24"/>
  <c r="L238" i="24"/>
  <c r="M238" i="24"/>
  <c r="M239" i="24"/>
  <c r="L239" i="24"/>
  <c r="L240" i="24"/>
  <c r="M240" i="24"/>
  <c r="L241" i="24"/>
  <c r="M241" i="24"/>
  <c r="M242" i="24"/>
  <c r="L242" i="24"/>
  <c r="M243" i="24"/>
  <c r="L243" i="24"/>
  <c r="L244" i="24"/>
  <c r="M244" i="24"/>
  <c r="L245" i="24"/>
  <c r="M245" i="24"/>
  <c r="L246" i="24"/>
  <c r="M246" i="24"/>
  <c r="M247" i="24"/>
  <c r="E247" i="24"/>
  <c r="M248" i="24"/>
  <c r="L248" i="24"/>
  <c r="L249" i="24"/>
  <c r="M249" i="24"/>
  <c r="M250" i="24"/>
  <c r="L250" i="24"/>
  <c r="L251" i="24"/>
  <c r="M251" i="24"/>
  <c r="M252" i="24"/>
  <c r="L252" i="24"/>
  <c r="M253" i="24"/>
  <c r="L253" i="24"/>
  <c r="M254" i="24"/>
  <c r="L254" i="24"/>
  <c r="M255" i="24"/>
  <c r="L255" i="24"/>
  <c r="L256" i="24"/>
  <c r="M256" i="24"/>
  <c r="L257" i="24"/>
  <c r="M257" i="24"/>
  <c r="L258" i="24"/>
  <c r="M258" i="24"/>
  <c r="M259" i="24"/>
  <c r="L259" i="24"/>
  <c r="M260" i="24"/>
  <c r="L260" i="24"/>
  <c r="L261" i="24"/>
  <c r="M261" i="24"/>
  <c r="L262" i="24"/>
  <c r="M262" i="24"/>
  <c r="M263" i="24"/>
  <c r="L263" i="24"/>
  <c r="M264" i="24"/>
  <c r="L264" i="24"/>
  <c r="M265" i="24"/>
  <c r="L265" i="24"/>
  <c r="L266" i="24"/>
  <c r="M266" i="24"/>
  <c r="L267" i="24"/>
  <c r="M267" i="24"/>
  <c r="M268" i="24"/>
  <c r="L268" i="24"/>
  <c r="M269" i="24"/>
  <c r="L269" i="24"/>
  <c r="M270" i="24"/>
  <c r="L270" i="24"/>
  <c r="L271" i="24"/>
  <c r="M271" i="24"/>
  <c r="L272" i="24"/>
  <c r="M272" i="24"/>
  <c r="M273" i="24"/>
  <c r="L273" i="24"/>
  <c r="L274" i="24"/>
  <c r="M274" i="24"/>
  <c r="M275" i="24"/>
  <c r="L275" i="24"/>
  <c r="M276" i="24"/>
  <c r="L276" i="24"/>
  <c r="L277" i="24"/>
  <c r="M277" i="24"/>
  <c r="L278" i="24"/>
  <c r="M278" i="24"/>
  <c r="L279" i="24"/>
  <c r="M279" i="24"/>
  <c r="M280" i="24"/>
  <c r="L280" i="24"/>
  <c r="L281" i="24"/>
  <c r="M281" i="24"/>
  <c r="M282" i="24"/>
  <c r="M283" i="24"/>
  <c r="M284" i="24"/>
  <c r="M285" i="24"/>
  <c r="M286" i="24"/>
  <c r="M287" i="24"/>
  <c r="M288" i="24"/>
  <c r="M289" i="24"/>
  <c r="M290" i="24"/>
  <c r="M291" i="24"/>
  <c r="M292" i="24"/>
  <c r="M293" i="24"/>
  <c r="M294" i="24"/>
  <c r="M295" i="24"/>
  <c r="M296" i="24"/>
  <c r="M297" i="24"/>
  <c r="M298" i="24"/>
  <c r="M299" i="24"/>
  <c r="M300" i="24"/>
  <c r="M301" i="24"/>
  <c r="M302" i="24"/>
  <c r="M303" i="24"/>
  <c r="M304" i="24"/>
  <c r="M305" i="24"/>
  <c r="M306" i="24"/>
  <c r="M307" i="24"/>
  <c r="L286" i="24"/>
  <c r="L287" i="24"/>
  <c r="L288" i="24"/>
  <c r="L289" i="24"/>
  <c r="L290" i="24"/>
  <c r="L291" i="24"/>
  <c r="L292" i="24"/>
  <c r="L293" i="24"/>
  <c r="L294" i="24"/>
  <c r="L295" i="24"/>
  <c r="L296" i="24"/>
  <c r="L297" i="24"/>
  <c r="L298" i="24"/>
  <c r="L299" i="24"/>
  <c r="L300" i="24"/>
  <c r="L301" i="24"/>
  <c r="L302" i="24"/>
  <c r="L303" i="24"/>
  <c r="L304" i="24"/>
  <c r="L305" i="24"/>
  <c r="L306" i="24"/>
  <c r="L307" i="24"/>
  <c r="I282" i="3"/>
  <c r="Y282" i="3" s="1"/>
  <c r="I283" i="3"/>
  <c r="Y283" i="3" s="1"/>
  <c r="I284" i="3"/>
  <c r="Y284" i="3" s="1"/>
  <c r="I285" i="3"/>
  <c r="Y285" i="3" s="1"/>
  <c r="I286" i="3"/>
  <c r="Y286" i="3" s="1"/>
  <c r="I287" i="3"/>
  <c r="Y287" i="3" s="1"/>
  <c r="I288" i="3"/>
  <c r="Y288" i="3" s="1"/>
  <c r="I289" i="3"/>
  <c r="Y289" i="3" s="1"/>
  <c r="I290" i="3"/>
  <c r="Y290" i="3" s="1"/>
  <c r="I291" i="3"/>
  <c r="Y291" i="3" s="1"/>
  <c r="I292" i="3"/>
  <c r="Y292" i="3" s="1"/>
  <c r="I293" i="3"/>
  <c r="Y293" i="3" s="1"/>
  <c r="I294" i="3"/>
  <c r="Y294" i="3" s="1"/>
  <c r="I295" i="3"/>
  <c r="Y295" i="3" s="1"/>
  <c r="I296" i="3"/>
  <c r="Y296" i="3" s="1"/>
  <c r="I297" i="3"/>
  <c r="Y297" i="3" s="1"/>
  <c r="I298" i="3"/>
  <c r="Y298" i="3" s="1"/>
  <c r="I299" i="3"/>
  <c r="Y299" i="3" s="1"/>
  <c r="I300" i="3"/>
  <c r="Y300" i="3" s="1"/>
  <c r="I301" i="3"/>
  <c r="Y301" i="3" s="1"/>
  <c r="I302" i="3"/>
  <c r="Y302" i="3" s="1"/>
  <c r="I303" i="3"/>
  <c r="Y303" i="3" s="1"/>
  <c r="I304" i="3"/>
  <c r="Y304" i="3" s="1"/>
  <c r="I305" i="3"/>
  <c r="Y305" i="3" s="1"/>
  <c r="I306" i="3"/>
  <c r="Y306" i="3" s="1"/>
  <c r="I307" i="3"/>
  <c r="Y307" i="3" s="1"/>
  <c r="I308" i="3"/>
  <c r="Y308" i="3" s="1"/>
  <c r="I309" i="3"/>
  <c r="I310" i="3"/>
  <c r="I311" i="3"/>
  <c r="Y311" i="3" s="1"/>
  <c r="I312" i="3"/>
  <c r="I313" i="3"/>
  <c r="Y313" i="3" s="1"/>
  <c r="I314" i="3"/>
  <c r="Y314" i="3" s="1"/>
  <c r="I315" i="3"/>
  <c r="I316" i="3"/>
  <c r="Y316" i="3" s="1"/>
  <c r="I317" i="3"/>
  <c r="I318" i="3"/>
  <c r="I319" i="3"/>
  <c r="Y319" i="3" s="1"/>
  <c r="I320" i="3"/>
  <c r="Y320" i="3" s="1"/>
  <c r="I321" i="3"/>
  <c r="Y321" i="3" s="1"/>
  <c r="I322" i="3"/>
  <c r="Y322" i="3" s="1"/>
  <c r="I323" i="3"/>
  <c r="I324" i="3"/>
  <c r="Y324" i="3" s="1"/>
  <c r="I325" i="3"/>
  <c r="Y325" i="3" s="1"/>
  <c r="I326" i="3"/>
  <c r="Y326" i="3" s="1"/>
  <c r="I327" i="3"/>
  <c r="I328" i="3"/>
  <c r="I329" i="3"/>
  <c r="Y329" i="3" s="1"/>
  <c r="I330" i="3"/>
  <c r="I331" i="3"/>
  <c r="Y331" i="3" s="1"/>
  <c r="I332" i="3"/>
  <c r="Y332" i="3" s="1"/>
  <c r="I333" i="3"/>
  <c r="Y333" i="3" s="1"/>
  <c r="I334" i="3"/>
  <c r="Y334" i="3" s="1"/>
  <c r="I335" i="3"/>
  <c r="Y335" i="3" s="1"/>
  <c r="I336" i="3"/>
  <c r="Y336" i="3" s="1"/>
  <c r="I337" i="3"/>
  <c r="Y337" i="3" s="1"/>
  <c r="I338" i="3"/>
  <c r="Y338" i="3" s="1"/>
  <c r="I339" i="3"/>
  <c r="Y339" i="3" s="1"/>
  <c r="I340" i="3"/>
  <c r="Y340" i="3" s="1"/>
  <c r="I341" i="3"/>
  <c r="Y341" i="3" s="1"/>
  <c r="I342" i="3"/>
  <c r="Y342" i="3" s="1"/>
  <c r="I343" i="3"/>
  <c r="Y343" i="3" s="1"/>
  <c r="I344" i="3"/>
  <c r="Y344" i="3" s="1"/>
  <c r="I345" i="3"/>
  <c r="Y345" i="3" s="1"/>
  <c r="I346" i="3"/>
  <c r="I347" i="3"/>
  <c r="Y347" i="3" s="1"/>
  <c r="I348" i="3"/>
  <c r="I349" i="3"/>
  <c r="Y349" i="3" s="1"/>
  <c r="I350" i="3"/>
  <c r="I351" i="3"/>
  <c r="I352" i="3"/>
  <c r="I353" i="3"/>
  <c r="Y353" i="3" s="1"/>
  <c r="I354" i="3"/>
  <c r="Y354" i="3" s="1"/>
  <c r="I355" i="3"/>
  <c r="Y355" i="3" s="1"/>
  <c r="I356" i="3"/>
  <c r="I357" i="3"/>
  <c r="I358" i="3"/>
  <c r="Y358" i="3" s="1"/>
  <c r="I359" i="3"/>
  <c r="Y359" i="3" s="1"/>
  <c r="I360" i="3"/>
  <c r="Y360" i="3" s="1"/>
  <c r="I361" i="3"/>
  <c r="Y361" i="3" s="1"/>
  <c r="I362" i="3"/>
  <c r="Y362" i="3" s="1"/>
  <c r="I363" i="3"/>
  <c r="Y363" i="3" s="1"/>
  <c r="I364" i="3"/>
  <c r="Y364" i="3" s="1"/>
  <c r="I365" i="3"/>
  <c r="Y365" i="3" s="1"/>
  <c r="I366" i="3"/>
  <c r="Y366" i="3" s="1"/>
  <c r="I367" i="3"/>
  <c r="Y367" i="3" s="1"/>
  <c r="I368" i="3"/>
  <c r="Y368" i="3" s="1"/>
  <c r="I369" i="3"/>
  <c r="Y369" i="3" s="1"/>
  <c r="I370" i="3"/>
  <c r="Y370" i="3" s="1"/>
  <c r="I371" i="3"/>
  <c r="Y371" i="3" s="1"/>
  <c r="I372" i="3"/>
  <c r="Y372" i="3" s="1"/>
  <c r="I373" i="3"/>
  <c r="Y373" i="3" s="1"/>
  <c r="I374" i="3"/>
  <c r="Y374" i="3" s="1"/>
  <c r="I375" i="3"/>
  <c r="Y375" i="3" s="1"/>
  <c r="I376" i="3"/>
  <c r="Y376" i="3" s="1"/>
  <c r="I377" i="3"/>
  <c r="Y377" i="3" s="1"/>
  <c r="I378" i="3"/>
  <c r="Y378" i="3" s="1"/>
  <c r="I379" i="3"/>
  <c r="Y379" i="3" s="1"/>
  <c r="I380" i="3"/>
  <c r="Y380" i="3" s="1"/>
  <c r="I381" i="3"/>
  <c r="Y381" i="3" s="1"/>
  <c r="I382" i="3"/>
  <c r="Y382" i="3" s="1"/>
  <c r="I383" i="3"/>
  <c r="Y383" i="3" s="1"/>
  <c r="I384" i="3"/>
  <c r="Y384" i="3" s="1"/>
  <c r="I385" i="3"/>
  <c r="Y385" i="3" s="1"/>
  <c r="I386" i="3"/>
  <c r="Y386" i="3" s="1"/>
  <c r="I387" i="3"/>
  <c r="Y387" i="3" s="1"/>
  <c r="I388" i="3"/>
  <c r="Y388" i="3" s="1"/>
  <c r="I389" i="3"/>
  <c r="Y389" i="3" s="1"/>
  <c r="I390" i="3"/>
  <c r="Y390" i="3" s="1"/>
  <c r="I391" i="3"/>
  <c r="Y391" i="3" s="1"/>
  <c r="I392" i="3"/>
  <c r="Y392" i="3" s="1"/>
  <c r="I393" i="3"/>
  <c r="Y393" i="3" s="1"/>
  <c r="I394" i="3"/>
  <c r="Y394" i="3" s="1"/>
  <c r="I395" i="3"/>
  <c r="Y395" i="3" s="1"/>
  <c r="I396" i="3"/>
  <c r="Y396" i="3" s="1"/>
  <c r="I397" i="3"/>
  <c r="Y397" i="3" s="1"/>
  <c r="I398" i="3"/>
  <c r="Y398" i="3" s="1"/>
  <c r="I399" i="3"/>
  <c r="Y399" i="3" s="1"/>
  <c r="I400" i="3"/>
  <c r="Y400" i="3" s="1"/>
  <c r="I401" i="3"/>
  <c r="Y401" i="3" s="1"/>
  <c r="I402" i="3"/>
  <c r="Y402" i="3" s="1"/>
  <c r="C2" i="26"/>
  <c r="C3" i="26"/>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3" i="26"/>
  <c r="C44" i="26"/>
  <c r="E282" i="24"/>
  <c r="E283" i="24"/>
  <c r="E284" i="24"/>
  <c r="E285" i="24"/>
  <c r="E287" i="24"/>
  <c r="E288" i="24"/>
  <c r="E289" i="24"/>
  <c r="E291" i="24"/>
  <c r="E292" i="24"/>
  <c r="E294" i="24"/>
  <c r="E295" i="24"/>
  <c r="E296" i="24"/>
  <c r="E297" i="24"/>
  <c r="E298" i="24"/>
  <c r="E299" i="24"/>
  <c r="E302" i="24"/>
  <c r="E303" i="24"/>
  <c r="E304" i="24"/>
  <c r="E305" i="24"/>
  <c r="E306" i="24"/>
  <c r="E307" i="24"/>
  <c r="U312" i="18"/>
  <c r="V311" i="18"/>
  <c r="S311" i="18"/>
  <c r="U310" i="18"/>
  <c r="U309" i="18"/>
  <c r="U308" i="18"/>
  <c r="S308" i="18" s="1"/>
  <c r="U307" i="18"/>
  <c r="U306" i="18"/>
  <c r="U305" i="18"/>
  <c r="U304" i="18"/>
  <c r="U303" i="18"/>
  <c r="U302" i="18"/>
  <c r="U301" i="18"/>
  <c r="U300" i="18"/>
  <c r="U299" i="18"/>
  <c r="U298" i="18"/>
  <c r="U297" i="18"/>
  <c r="U296" i="18"/>
  <c r="U295" i="18"/>
  <c r="U294" i="18"/>
  <c r="U293" i="18"/>
  <c r="S293" i="18" s="1"/>
  <c r="U292" i="18"/>
  <c r="U291" i="18"/>
  <c r="U290" i="18"/>
  <c r="U289" i="18"/>
  <c r="U288" i="18"/>
  <c r="U287" i="18"/>
  <c r="U286" i="18"/>
  <c r="S286" i="18" s="1"/>
  <c r="U285" i="18"/>
  <c r="U284" i="18"/>
  <c r="U283" i="18"/>
  <c r="U282" i="18"/>
  <c r="S282" i="18" s="1"/>
  <c r="X282" i="18" s="1"/>
  <c r="U281" i="18"/>
  <c r="S281" i="18" s="1"/>
  <c r="X281" i="18" s="1"/>
  <c r="U280" i="18"/>
  <c r="S280" i="18" s="1"/>
  <c r="X280" i="18" s="1"/>
  <c r="U279" i="18"/>
  <c r="S279" i="18" s="1"/>
  <c r="X279" i="18" s="1"/>
  <c r="U278" i="18"/>
  <c r="S278" i="18" s="1"/>
  <c r="U277" i="18"/>
  <c r="S277" i="18" s="1"/>
  <c r="X277" i="18" s="1"/>
  <c r="U276" i="18"/>
  <c r="S276" i="18" s="1"/>
  <c r="X276" i="18" s="1"/>
  <c r="U275" i="18"/>
  <c r="S275" i="18" s="1"/>
  <c r="X275" i="18" s="1"/>
  <c r="U274" i="18"/>
  <c r="S274" i="18" s="1"/>
  <c r="U273" i="18"/>
  <c r="S273" i="18" s="1"/>
  <c r="X273" i="18" s="1"/>
  <c r="U272" i="18"/>
  <c r="S272" i="18" s="1"/>
  <c r="X272" i="18" s="1"/>
  <c r="U271" i="18"/>
  <c r="S271" i="18" s="1"/>
  <c r="X271" i="18" s="1"/>
  <c r="U270" i="18"/>
  <c r="S270" i="18" s="1"/>
  <c r="X270" i="18" s="1"/>
  <c r="U269" i="18"/>
  <c r="S269" i="18" s="1"/>
  <c r="X269" i="18" s="1"/>
  <c r="U268" i="18"/>
  <c r="S268" i="18" s="1"/>
  <c r="X268" i="18" s="1"/>
  <c r="U267" i="18"/>
  <c r="S267" i="18" s="1"/>
  <c r="X267" i="18" s="1"/>
  <c r="U266" i="18"/>
  <c r="S266" i="18" s="1"/>
  <c r="X266" i="18" s="1"/>
  <c r="U265" i="18"/>
  <c r="S265" i="18" s="1"/>
  <c r="X265" i="18" s="1"/>
  <c r="U264" i="18"/>
  <c r="S264" i="18" s="1"/>
  <c r="X264" i="18" s="1"/>
  <c r="U263" i="18"/>
  <c r="S263" i="18" s="1"/>
  <c r="X263" i="18" s="1"/>
  <c r="U262" i="18"/>
  <c r="S262" i="18" s="1"/>
  <c r="X262" i="18" s="1"/>
  <c r="U261" i="18"/>
  <c r="S261" i="18" s="1"/>
  <c r="X261" i="18" s="1"/>
  <c r="U260" i="18"/>
  <c r="S260" i="18" s="1"/>
  <c r="X260" i="18" s="1"/>
  <c r="U259" i="18"/>
  <c r="S259" i="18" s="1"/>
  <c r="X259" i="18" s="1"/>
  <c r="U258" i="18"/>
  <c r="S258" i="18" s="1"/>
  <c r="X258" i="18" s="1"/>
  <c r="U257" i="18"/>
  <c r="S257" i="18" s="1"/>
  <c r="X257" i="18" s="1"/>
  <c r="U256" i="18"/>
  <c r="S256" i="18" s="1"/>
  <c r="X256" i="18" s="1"/>
  <c r="U255" i="18"/>
  <c r="S255" i="18" s="1"/>
  <c r="X255" i="18" s="1"/>
  <c r="U254" i="18"/>
  <c r="S254" i="18" s="1"/>
  <c r="U253" i="18"/>
  <c r="S253" i="18" s="1"/>
  <c r="X253" i="18" s="1"/>
  <c r="U252" i="18"/>
  <c r="S252" i="18" s="1"/>
  <c r="X252" i="18" s="1"/>
  <c r="U251" i="18"/>
  <c r="S251" i="18" s="1"/>
  <c r="X251" i="18" s="1"/>
  <c r="U250" i="18"/>
  <c r="S250" i="18" s="1"/>
  <c r="X250" i="18" s="1"/>
  <c r="U249" i="18"/>
  <c r="S249" i="18" s="1"/>
  <c r="X249" i="18" s="1"/>
  <c r="U248" i="18"/>
  <c r="S248" i="18" s="1"/>
  <c r="X248" i="18" s="1"/>
  <c r="U247" i="18"/>
  <c r="S247" i="18" s="1"/>
  <c r="X247" i="18" s="1"/>
  <c r="U246" i="18"/>
  <c r="S246" i="18" s="1"/>
  <c r="X246" i="18" s="1"/>
  <c r="U245" i="18"/>
  <c r="S245" i="18" s="1"/>
  <c r="X245" i="18" s="1"/>
  <c r="U244" i="18"/>
  <c r="S244" i="18" s="1"/>
  <c r="X244" i="18" s="1"/>
  <c r="U243" i="18"/>
  <c r="S243" i="18" s="1"/>
  <c r="X243" i="18" s="1"/>
  <c r="U242" i="18"/>
  <c r="S242" i="18" s="1"/>
  <c r="X242" i="18" s="1"/>
  <c r="U241" i="18"/>
  <c r="S241" i="18" s="1"/>
  <c r="U240" i="18"/>
  <c r="S240" i="18" s="1"/>
  <c r="X240" i="18" s="1"/>
  <c r="U239" i="18"/>
  <c r="S239" i="18" s="1"/>
  <c r="X239" i="18" s="1"/>
  <c r="U238" i="18"/>
  <c r="S238" i="18" s="1"/>
  <c r="U237" i="18"/>
  <c r="S237" i="18" s="1"/>
  <c r="X237" i="18" s="1"/>
  <c r="U235" i="18"/>
  <c r="S235" i="18" s="1"/>
  <c r="X235" i="18" s="1"/>
  <c r="U234" i="18"/>
  <c r="S234" i="18" s="1"/>
  <c r="U233" i="18"/>
  <c r="S233" i="18" s="1"/>
  <c r="X233" i="18" s="1"/>
  <c r="U232" i="18"/>
  <c r="S232" i="18" s="1"/>
  <c r="X232" i="18" s="1"/>
  <c r="U231" i="18"/>
  <c r="S231" i="18" s="1"/>
  <c r="X231" i="18" s="1"/>
  <c r="U230" i="18"/>
  <c r="S230" i="18" s="1"/>
  <c r="X230" i="18" s="1"/>
  <c r="U229" i="18"/>
  <c r="S229" i="18" s="1"/>
  <c r="X229" i="18" s="1"/>
  <c r="U228" i="18"/>
  <c r="S228" i="18" s="1"/>
  <c r="X228" i="18" s="1"/>
  <c r="U227" i="18"/>
  <c r="S227" i="18" s="1"/>
  <c r="X227" i="18" s="1"/>
  <c r="U226" i="18"/>
  <c r="S226" i="18" s="1"/>
  <c r="X226" i="18" s="1"/>
  <c r="U225" i="18"/>
  <c r="S225" i="18" s="1"/>
  <c r="X225" i="18" s="1"/>
  <c r="U224" i="18"/>
  <c r="S224" i="18" s="1"/>
  <c r="X224" i="18" s="1"/>
  <c r="U223" i="18"/>
  <c r="S223" i="18" s="1"/>
  <c r="X223" i="18" s="1"/>
  <c r="U222" i="18"/>
  <c r="S222" i="18" s="1"/>
  <c r="U221" i="18"/>
  <c r="S221" i="18" s="1"/>
  <c r="U220" i="18"/>
  <c r="S220" i="18" s="1"/>
  <c r="X220" i="18" s="1"/>
  <c r="U219" i="18"/>
  <c r="S219" i="18" s="1"/>
  <c r="X219" i="18" s="1"/>
  <c r="U218" i="18"/>
  <c r="S218" i="18" s="1"/>
  <c r="X218" i="18" s="1"/>
  <c r="U217" i="18"/>
  <c r="S217" i="18" s="1"/>
  <c r="U216" i="18"/>
  <c r="S216" i="18" s="1"/>
  <c r="X216" i="18" s="1"/>
  <c r="U215" i="18"/>
  <c r="S215" i="18" s="1"/>
  <c r="X215" i="18" s="1"/>
  <c r="U214" i="18"/>
  <c r="S214" i="18" s="1"/>
  <c r="X214" i="18" s="1"/>
  <c r="U213" i="18"/>
  <c r="S213" i="18" s="1"/>
  <c r="X213" i="18" s="1"/>
  <c r="U212" i="18"/>
  <c r="S212" i="18" s="1"/>
  <c r="X212" i="18" s="1"/>
  <c r="U211" i="18"/>
  <c r="S211" i="18" s="1"/>
  <c r="X211" i="18" s="1"/>
  <c r="U210" i="18"/>
  <c r="S210" i="18" s="1"/>
  <c r="X210" i="18" s="1"/>
  <c r="U209" i="18"/>
  <c r="S209" i="18" s="1"/>
  <c r="X209" i="18" s="1"/>
  <c r="U208" i="18"/>
  <c r="S208" i="18" s="1"/>
  <c r="X208" i="18" s="1"/>
  <c r="U207" i="18"/>
  <c r="S207" i="18" s="1"/>
  <c r="X207" i="18" s="1"/>
  <c r="U206" i="18"/>
  <c r="S206" i="18" s="1"/>
  <c r="X206" i="18" s="1"/>
  <c r="U205" i="18"/>
  <c r="S205" i="18" s="1"/>
  <c r="X205" i="18" s="1"/>
  <c r="U204" i="18"/>
  <c r="S204" i="18" s="1"/>
  <c r="X204" i="18" s="1"/>
  <c r="U203" i="18"/>
  <c r="S203" i="18" s="1"/>
  <c r="X203" i="18" s="1"/>
  <c r="U202" i="18"/>
  <c r="S202" i="18" s="1"/>
  <c r="X202" i="18" s="1"/>
  <c r="U201" i="18"/>
  <c r="S201" i="18" s="1"/>
  <c r="X201" i="18" s="1"/>
  <c r="U200" i="18"/>
  <c r="S200" i="18" s="1"/>
  <c r="X200" i="18" s="1"/>
  <c r="U199" i="18"/>
  <c r="S199" i="18" s="1"/>
  <c r="X199" i="18" s="1"/>
  <c r="U198" i="18"/>
  <c r="S198" i="18" s="1"/>
  <c r="X198" i="18" s="1"/>
  <c r="U79" i="18"/>
  <c r="S79" i="18" s="1"/>
  <c r="X79" i="18" s="1"/>
  <c r="U44" i="18"/>
  <c r="S44" i="18" s="1"/>
  <c r="X44" i="18" s="1"/>
  <c r="U43" i="18"/>
  <c r="S43" i="18" s="1"/>
  <c r="X43" i="18" s="1"/>
  <c r="U42" i="18"/>
  <c r="S42" i="18" s="1"/>
  <c r="X42" i="18" s="1"/>
  <c r="U41" i="18"/>
  <c r="S41" i="18" s="1"/>
  <c r="X41" i="18" s="1"/>
  <c r="U40" i="18"/>
  <c r="S40" i="18" s="1"/>
  <c r="X40" i="18" s="1"/>
  <c r="U38" i="18"/>
  <c r="S38" i="18" s="1"/>
  <c r="U37" i="18"/>
  <c r="S37" i="18" s="1"/>
  <c r="X37" i="18" s="1"/>
  <c r="U36" i="18"/>
  <c r="S36" i="18" s="1"/>
  <c r="X36" i="18" s="1"/>
  <c r="U35" i="18"/>
  <c r="S35" i="18" s="1"/>
  <c r="X35" i="18" s="1"/>
  <c r="U34" i="18"/>
  <c r="S34" i="18" s="1"/>
  <c r="X34" i="18" s="1"/>
  <c r="U33" i="18"/>
  <c r="S33" i="18" s="1"/>
  <c r="X33" i="18" s="1"/>
  <c r="U32" i="18"/>
  <c r="S32" i="18" s="1"/>
  <c r="X32" i="18" s="1"/>
  <c r="U31" i="18"/>
  <c r="S31" i="18" s="1"/>
  <c r="X31" i="18" s="1"/>
  <c r="U30" i="18"/>
  <c r="S30" i="18" s="1"/>
  <c r="X30" i="18" s="1"/>
  <c r="U29" i="18"/>
  <c r="S29" i="18" s="1"/>
  <c r="X29" i="18" s="1"/>
  <c r="U28" i="18"/>
  <c r="S28" i="18" s="1"/>
  <c r="X28" i="18" s="1"/>
  <c r="U27" i="18"/>
  <c r="S27" i="18" s="1"/>
  <c r="X27" i="18" s="1"/>
  <c r="U26" i="18"/>
  <c r="S26" i="18" s="1"/>
  <c r="X26" i="18" s="1"/>
  <c r="U25" i="18"/>
  <c r="S25" i="18" s="1"/>
  <c r="X25" i="18" s="1"/>
  <c r="U24" i="18"/>
  <c r="S24" i="18" s="1"/>
  <c r="X24" i="18" s="1"/>
  <c r="U23" i="18"/>
  <c r="S23" i="18" s="1"/>
  <c r="X23" i="18" s="1"/>
  <c r="U21" i="18"/>
  <c r="S21" i="18" s="1"/>
  <c r="X21" i="18" s="1"/>
  <c r="U20" i="18"/>
  <c r="S20" i="18" s="1"/>
  <c r="X20" i="18" s="1"/>
  <c r="S2" i="18"/>
  <c r="X2" i="18" s="1"/>
  <c r="E293" i="24" l="1"/>
  <c r="E300" i="24"/>
  <c r="E286" i="24"/>
  <c r="E290" i="24"/>
  <c r="E301" i="24"/>
  <c r="V304" i="18"/>
  <c r="S304" i="18"/>
  <c r="V301" i="18"/>
  <c r="S301" i="18"/>
  <c r="V306" i="18"/>
  <c r="S306" i="18"/>
  <c r="V303" i="18"/>
  <c r="S303" i="18"/>
  <c r="V290" i="18"/>
  <c r="S290" i="18"/>
  <c r="V307" i="18"/>
  <c r="S307" i="18"/>
  <c r="V299" i="18"/>
  <c r="S299" i="18"/>
  <c r="V294" i="18"/>
  <c r="S294" i="18"/>
  <c r="V289" i="18"/>
  <c r="S289" i="18"/>
  <c r="V287" i="18"/>
  <c r="S287" i="18"/>
  <c r="V284" i="18"/>
  <c r="S284" i="18"/>
  <c r="X311" i="18"/>
  <c r="V312" i="18"/>
  <c r="S312" i="18"/>
  <c r="V310" i="18"/>
  <c r="S310" i="18"/>
  <c r="V309" i="18"/>
  <c r="S309" i="18"/>
  <c r="V305" i="18"/>
  <c r="S305" i="18"/>
  <c r="V302" i="18"/>
  <c r="S302" i="18"/>
  <c r="V300" i="18"/>
  <c r="S300" i="18"/>
  <c r="V298" i="18"/>
  <c r="S298" i="18"/>
  <c r="V297" i="18"/>
  <c r="S297" i="18"/>
  <c r="V296" i="18"/>
  <c r="S296" i="18"/>
  <c r="V295" i="18"/>
  <c r="S295" i="18"/>
  <c r="V292" i="18"/>
  <c r="S292" i="18"/>
  <c r="V291" i="18"/>
  <c r="S291" i="18"/>
  <c r="V288" i="18"/>
  <c r="S288" i="18"/>
  <c r="V285" i="18"/>
  <c r="S285" i="18"/>
  <c r="V283" i="18"/>
  <c r="S283" i="18"/>
  <c r="X290" i="18" l="1"/>
  <c r="X284" i="18"/>
  <c r="X287" i="18"/>
  <c r="X294" i="18"/>
  <c r="X304" i="18"/>
  <c r="X301" i="18"/>
  <c r="X306" i="18"/>
  <c r="X302" i="18"/>
  <c r="X312" i="18"/>
  <c r="X307" i="18"/>
  <c r="X303" i="18"/>
  <c r="X288" i="18"/>
  <c r="X310" i="18"/>
  <c r="X292" i="18"/>
  <c r="X285" i="18"/>
  <c r="X289" i="18"/>
  <c r="X297" i="18"/>
  <c r="X309" i="18"/>
  <c r="X291" i="18"/>
  <c r="X298" i="18"/>
  <c r="X299" i="18"/>
  <c r="X296" i="18"/>
  <c r="X300" i="18"/>
  <c r="X295" i="18"/>
  <c r="X305" i="18"/>
  <c r="X283"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<sst xmlns="http://schemas.openxmlformats.org/spreadsheetml/2006/main" count="17165" uniqueCount="3966">
  <si>
    <t>Employee Number</t>
  </si>
  <si>
    <t>National ID Number (NIK)</t>
  </si>
  <si>
    <t>Family Card Number (KK)</t>
  </si>
  <si>
    <t>Full Name</t>
  </si>
  <si>
    <t>Gender</t>
  </si>
  <si>
    <t>Place of Birth</t>
  </si>
  <si>
    <t>Date of Birth</t>
  </si>
  <si>
    <t>Age</t>
  </si>
  <si>
    <t>Religion</t>
  </si>
  <si>
    <t>Marital Status</t>
  </si>
  <si>
    <t>Blood Type</t>
  </si>
  <si>
    <t>Nationality</t>
  </si>
  <si>
    <t>Email</t>
  </si>
  <si>
    <t>Current Address</t>
  </si>
  <si>
    <t>Join Date</t>
  </si>
  <si>
    <t>Employment Status</t>
  </si>
  <si>
    <t>Division</t>
  </si>
  <si>
    <t>Job Title</t>
  </si>
  <si>
    <t>Education</t>
  </si>
  <si>
    <t>Tax ID Number (NPWP)</t>
  </si>
  <si>
    <t>BPJS-KPJ</t>
  </si>
  <si>
    <t>BPJS-JKN</t>
  </si>
  <si>
    <t>Bank</t>
  </si>
  <si>
    <t>Bank Account Number</t>
  </si>
  <si>
    <t>Job Level</t>
  </si>
  <si>
    <t>9724027143268662</t>
  </si>
  <si>
    <t>1319927713057730</t>
  </si>
  <si>
    <t>0852705160988180</t>
  </si>
  <si>
    <t>4137252650863604</t>
  </si>
  <si>
    <t>9237184536117948</t>
  </si>
  <si>
    <t>7134371159410775</t>
  </si>
  <si>
    <t>9782076164222303</t>
  </si>
  <si>
    <t>9083339653697797</t>
  </si>
  <si>
    <t>2407510482879145</t>
  </si>
  <si>
    <t>5108388085833704</t>
  </si>
  <si>
    <t>7044680841843920</t>
  </si>
  <si>
    <t>8966425293284516</t>
  </si>
  <si>
    <t>3885473725425308</t>
  </si>
  <si>
    <t>4359687242906699</t>
  </si>
  <si>
    <t>3354905626089120</t>
  </si>
  <si>
    <t>4835203106873085</t>
  </si>
  <si>
    <t>3131320329661947</t>
  </si>
  <si>
    <t>5907354978466590</t>
  </si>
  <si>
    <t>6180654192165864</t>
  </si>
  <si>
    <t>4734850393035724</t>
  </si>
  <si>
    <t>2635757445617873</t>
  </si>
  <si>
    <t>7184140215954258</t>
  </si>
  <si>
    <t>8953780020319290</t>
  </si>
  <si>
    <t>2508163100662630</t>
  </si>
  <si>
    <t>7224481878566736</t>
  </si>
  <si>
    <t>0320996696887233</t>
  </si>
  <si>
    <t>5964054130178706</t>
  </si>
  <si>
    <t>2304456778264317</t>
  </si>
  <si>
    <t>8270091757844010</t>
  </si>
  <si>
    <t>2338251524100155</t>
  </si>
  <si>
    <t>8628846092214915</t>
  </si>
  <si>
    <t>4395464990903556</t>
  </si>
  <si>
    <t>2517196805439571</t>
  </si>
  <si>
    <t>5157201582796516</t>
  </si>
  <si>
    <t>9964177721912332</t>
  </si>
  <si>
    <t>5322130789845038</t>
  </si>
  <si>
    <t>8497101319935159</t>
  </si>
  <si>
    <t>3784399302361858</t>
  </si>
  <si>
    <t>0685320109630851</t>
  </si>
  <si>
    <t>4056204832021363</t>
  </si>
  <si>
    <t>9626289820706461</t>
  </si>
  <si>
    <t>9513891984353357</t>
  </si>
  <si>
    <t>7074521815591706</t>
  </si>
  <si>
    <t>0865000522658401</t>
  </si>
  <si>
    <t>1704869632385522</t>
  </si>
  <si>
    <t>1641203662345718</t>
  </si>
  <si>
    <t>1693422781672131</t>
  </si>
  <si>
    <t>2427589308136896</t>
  </si>
  <si>
    <t>4643725124743335</t>
  </si>
  <si>
    <t>5857745349964183</t>
  </si>
  <si>
    <t>4108960729480398</t>
  </si>
  <si>
    <t>0721414249399351</t>
  </si>
  <si>
    <t>9311046115432387</t>
  </si>
  <si>
    <t>4917954340013273</t>
  </si>
  <si>
    <t>2715407782759011</t>
  </si>
  <si>
    <t>6692393006276193</t>
  </si>
  <si>
    <t>3673261338071485</t>
  </si>
  <si>
    <t>7290990647659812</t>
  </si>
  <si>
    <t>4901950672851294</t>
  </si>
  <si>
    <t>0583642967094845</t>
  </si>
  <si>
    <t>6583433931378082</t>
  </si>
  <si>
    <t>0175033289319928</t>
  </si>
  <si>
    <t>4372642327668348</t>
  </si>
  <si>
    <t>1295034105715948</t>
  </si>
  <si>
    <t>6994535688750328</t>
  </si>
  <si>
    <t>8073565990990580</t>
  </si>
  <si>
    <t>0791421849566329</t>
  </si>
  <si>
    <t>6754370542100063</t>
  </si>
  <si>
    <t>7913666856775592</t>
  </si>
  <si>
    <t>1285573668109270</t>
  </si>
  <si>
    <t>0940279985020380</t>
  </si>
  <si>
    <t>8355332453862826</t>
  </si>
  <si>
    <t>9176392721630333</t>
  </si>
  <si>
    <t>2392019962189225</t>
  </si>
  <si>
    <t>3189555924673965</t>
  </si>
  <si>
    <t>1355956124799994</t>
  </si>
  <si>
    <t>3848323509854693</t>
  </si>
  <si>
    <t>2329496771686555</t>
  </si>
  <si>
    <t>0842958924190261</t>
  </si>
  <si>
    <t>6321032555540292</t>
  </si>
  <si>
    <t>7321429059065160</t>
  </si>
  <si>
    <t>0169868500176634</t>
  </si>
  <si>
    <t>1861038612862370</t>
  </si>
  <si>
    <t>9508902869302612</t>
  </si>
  <si>
    <t>6165108412426944</t>
  </si>
  <si>
    <t>3103831033928140</t>
  </si>
  <si>
    <t>7862406239040127</t>
  </si>
  <si>
    <t>1862902347555989</t>
  </si>
  <si>
    <t>9455398192192102</t>
  </si>
  <si>
    <t>5881819767226087</t>
  </si>
  <si>
    <t>1339022866059691</t>
  </si>
  <si>
    <t>8959147397370290</t>
  </si>
  <si>
    <t>7022425036210321</t>
  </si>
  <si>
    <t>3474843442719216</t>
  </si>
  <si>
    <t>7302165213126468</t>
  </si>
  <si>
    <t>6325717869069877</t>
  </si>
  <si>
    <t>5466657241139332</t>
  </si>
  <si>
    <t>0653548589918503</t>
  </si>
  <si>
    <t>3877001018943814</t>
  </si>
  <si>
    <t>7403172700086770</t>
  </si>
  <si>
    <t>1951868988437053</t>
  </si>
  <si>
    <t>8816524994934713</t>
  </si>
  <si>
    <t>2864405270891096</t>
  </si>
  <si>
    <t>2810026473048455</t>
  </si>
  <si>
    <t>8698033968323955</t>
  </si>
  <si>
    <t>2955052372617768</t>
  </si>
  <si>
    <t>8021787468525496</t>
  </si>
  <si>
    <t>5247883182896725</t>
  </si>
  <si>
    <t>2505422807798767</t>
  </si>
  <si>
    <t>5982503451061249</t>
  </si>
  <si>
    <t>1519301104783343</t>
  </si>
  <si>
    <t>8826988217568372</t>
  </si>
  <si>
    <t>9334227202863188</t>
  </si>
  <si>
    <t>0473824630353299</t>
  </si>
  <si>
    <t>5291622520708200</t>
  </si>
  <si>
    <t>2569196375513447</t>
  </si>
  <si>
    <t>0210359496236162</t>
  </si>
  <si>
    <t>0025429814937057</t>
  </si>
  <si>
    <t>5161798772753918</t>
  </si>
  <si>
    <t>6327749908912219</t>
  </si>
  <si>
    <t>1154420526768749</t>
  </si>
  <si>
    <t>2537623368823339</t>
  </si>
  <si>
    <t>8334022448732764</t>
  </si>
  <si>
    <t>6185899096866482</t>
  </si>
  <si>
    <t>7105839679661585</t>
  </si>
  <si>
    <t>4811430995627642</t>
  </si>
  <si>
    <t>5707066304454774</t>
  </si>
  <si>
    <t>3376305135887154</t>
  </si>
  <si>
    <t>2382969170350040</t>
  </si>
  <si>
    <t>6016950437026186</t>
  </si>
  <si>
    <t>9784476820785676</t>
  </si>
  <si>
    <t>7509803603208417</t>
  </si>
  <si>
    <t>7415306165346308</t>
  </si>
  <si>
    <t>2820290502353446</t>
  </si>
  <si>
    <t>9437108521823721</t>
  </si>
  <si>
    <t>3163093118599179</t>
  </si>
  <si>
    <t>6973822798543946</t>
  </si>
  <si>
    <t>9580001408070899</t>
  </si>
  <si>
    <t>4752176185887151</t>
  </si>
  <si>
    <t>8092982691525350</t>
  </si>
  <si>
    <t>0379144248287393</t>
  </si>
  <si>
    <t>9817415118981056</t>
  </si>
  <si>
    <t>8448893214172315</t>
  </si>
  <si>
    <t>6131654214931944</t>
  </si>
  <si>
    <t>0797537200301634</t>
  </si>
  <si>
    <t>3220029541592023</t>
  </si>
  <si>
    <t>4872098348239626</t>
  </si>
  <si>
    <t>3790450942408909</t>
  </si>
  <si>
    <t>5993341614580009</t>
  </si>
  <si>
    <t>0794845381384994</t>
  </si>
  <si>
    <t>3496496638576534</t>
  </si>
  <si>
    <t>9623697476481586</t>
  </si>
  <si>
    <t>1365702684592569</t>
  </si>
  <si>
    <t>7938862013006593</t>
  </si>
  <si>
    <t>2354000109505279</t>
  </si>
  <si>
    <t>2396431834956892</t>
  </si>
  <si>
    <t>3075390588565120</t>
  </si>
  <si>
    <t>7843747209341391</t>
  </si>
  <si>
    <t>7892092783217236</t>
  </si>
  <si>
    <t>7046351185862305</t>
  </si>
  <si>
    <t>4931443542582256</t>
  </si>
  <si>
    <t>9592944269454532</t>
  </si>
  <si>
    <t>2863966344936627</t>
  </si>
  <si>
    <t>9357104470892611</t>
  </si>
  <si>
    <t>2237620441081834</t>
  </si>
  <si>
    <t>3647434499587736</t>
  </si>
  <si>
    <t>7340237776193665</t>
  </si>
  <si>
    <t>1959432496441153</t>
  </si>
  <si>
    <t>9517875367326303</t>
  </si>
  <si>
    <t>1310199806954946</t>
  </si>
  <si>
    <t>6929659466034962</t>
  </si>
  <si>
    <t>6394987389503003</t>
  </si>
  <si>
    <t>3957605305883060</t>
  </si>
  <si>
    <t>9160452801959615</t>
  </si>
  <si>
    <t>2443479625063998</t>
  </si>
  <si>
    <t>5543783749403835</t>
  </si>
  <si>
    <t>1873476915236849</t>
  </si>
  <si>
    <t>5629496890865088</t>
  </si>
  <si>
    <t>6756449784102128</t>
  </si>
  <si>
    <t>1555234553415018</t>
  </si>
  <si>
    <t>5285585449523200</t>
  </si>
  <si>
    <t>6647046416508310</t>
  </si>
  <si>
    <t>0342775447189607</t>
  </si>
  <si>
    <t>1164671285472335</t>
  </si>
  <si>
    <t>1620500422570080</t>
  </si>
  <si>
    <t>5995011732001160</t>
  </si>
  <si>
    <t>6017530935799129</t>
  </si>
  <si>
    <t>7888533908614606</t>
  </si>
  <si>
    <t>9850842040085733</t>
  </si>
  <si>
    <t>9640926484738211</t>
  </si>
  <si>
    <t>8391828523321861</t>
  </si>
  <si>
    <t>0335298473304103</t>
  </si>
  <si>
    <t>2461732181760316</t>
  </si>
  <si>
    <t>4501534551042708</t>
  </si>
  <si>
    <t>0356355813953671</t>
  </si>
  <si>
    <t>8868713042755589</t>
  </si>
  <si>
    <t>5433919006616868</t>
  </si>
  <si>
    <t>3802820764098726</t>
  </si>
  <si>
    <t>7638445739321715</t>
  </si>
  <si>
    <t>3390132480979198</t>
  </si>
  <si>
    <t>7820303562542722</t>
  </si>
  <si>
    <t>3682503993384988</t>
  </si>
  <si>
    <t>9499049585519206</t>
  </si>
  <si>
    <t>3436593872850993</t>
  </si>
  <si>
    <t>2779054638312821</t>
  </si>
  <si>
    <t>4159282155023526</t>
  </si>
  <si>
    <t>5196055810265711</t>
  </si>
  <si>
    <t>9621823781760710</t>
  </si>
  <si>
    <t>0525199537179373</t>
  </si>
  <si>
    <t>8670785871787502</t>
  </si>
  <si>
    <t>0021182811245545</t>
  </si>
  <si>
    <t>1114736441675886</t>
  </si>
  <si>
    <t>2463836531799488</t>
  </si>
  <si>
    <t>9620936265739804</t>
  </si>
  <si>
    <t>5202246939820205</t>
  </si>
  <si>
    <t>6542285951551805</t>
  </si>
  <si>
    <t>0952753256087345</t>
  </si>
  <si>
    <t>3061485360217420</t>
  </si>
  <si>
    <t>0548317562548392</t>
  </si>
  <si>
    <t>1262401913414951</t>
  </si>
  <si>
    <t>5474777847283019</t>
  </si>
  <si>
    <t>0717298336305891</t>
  </si>
  <si>
    <t>6208489535227313</t>
  </si>
  <si>
    <t>0417119065232199</t>
  </si>
  <si>
    <t>4830013967614969</t>
  </si>
  <si>
    <t>6898050111354868</t>
  </si>
  <si>
    <t>4874411048949839</t>
  </si>
  <si>
    <t>1978183490088290</t>
  </si>
  <si>
    <t>9639430530592652</t>
  </si>
  <si>
    <t>2536127388232229</t>
  </si>
  <si>
    <t>1475842572614788</t>
  </si>
  <si>
    <t>0318891500811845</t>
  </si>
  <si>
    <t>1662116209398589</t>
  </si>
  <si>
    <t>6573630844724199</t>
  </si>
  <si>
    <t>9618115434098907</t>
  </si>
  <si>
    <t>5643389930586969</t>
  </si>
  <si>
    <t>3777677092652411</t>
  </si>
  <si>
    <t>2103430328258333</t>
  </si>
  <si>
    <t>6879466711497989</t>
  </si>
  <si>
    <t>2562130481356797</t>
  </si>
  <si>
    <t>4888093008290270</t>
  </si>
  <si>
    <t>8212869237859707</t>
  </si>
  <si>
    <t>9763832461246165</t>
  </si>
  <si>
    <t>3925581962245732</t>
  </si>
  <si>
    <t>6066822057382880</t>
  </si>
  <si>
    <t>4247871899125265</t>
  </si>
  <si>
    <t>5458739022794273</t>
  </si>
  <si>
    <t>5347049884384806</t>
  </si>
  <si>
    <t>8546749958742581</t>
  </si>
  <si>
    <t>2173159165965906</t>
  </si>
  <si>
    <t>7582848418151749</t>
  </si>
  <si>
    <t>5541047009231791</t>
  </si>
  <si>
    <t>2924711406793736</t>
  </si>
  <si>
    <t>2567032277418617</t>
  </si>
  <si>
    <t>9648241861843912</t>
  </si>
  <si>
    <t>4359327474762986</t>
  </si>
  <si>
    <t>3859824657509058</t>
  </si>
  <si>
    <t>7380153756559837</t>
  </si>
  <si>
    <t>8704903334925991</t>
  </si>
  <si>
    <t>2904072459362088</t>
  </si>
  <si>
    <t>4024870709749381</t>
  </si>
  <si>
    <t>9166623819915548</t>
  </si>
  <si>
    <t>5728118943433613</t>
  </si>
  <si>
    <t>6739479691552944</t>
  </si>
  <si>
    <t>2569700081836758</t>
  </si>
  <si>
    <t>2145441655168441</t>
  </si>
  <si>
    <t>5119088522931083</t>
  </si>
  <si>
    <t>3525858943087447</t>
  </si>
  <si>
    <t>5798617338079313</t>
  </si>
  <si>
    <t>2428371589558866</t>
  </si>
  <si>
    <t>2554143721034794</t>
  </si>
  <si>
    <t>1373184487050306</t>
  </si>
  <si>
    <t>3492051085923581</t>
  </si>
  <si>
    <t>1825176604819172</t>
  </si>
  <si>
    <t>9816902626621420</t>
  </si>
  <si>
    <t>3854864315308681</t>
  </si>
  <si>
    <t>8900066893980552</t>
  </si>
  <si>
    <t>4576344194147583</t>
  </si>
  <si>
    <t>2041489941686343</t>
  </si>
  <si>
    <t>7695475942795952</t>
  </si>
  <si>
    <t>3839945762360325</t>
  </si>
  <si>
    <t>3736063466227673</t>
  </si>
  <si>
    <t>8747787556944401</t>
  </si>
  <si>
    <t>1049721316624738</t>
  </si>
  <si>
    <t>2681586103592001</t>
  </si>
  <si>
    <t>9179297091629184</t>
  </si>
  <si>
    <t>5964233920345582</t>
  </si>
  <si>
    <t>8816426738794801</t>
  </si>
  <si>
    <t>9675675698420301</t>
  </si>
  <si>
    <t>5789476962035847</t>
  </si>
  <si>
    <t>5711061632369852</t>
  </si>
  <si>
    <t>4002078001919777</t>
  </si>
  <si>
    <t>5351551497690578</t>
  </si>
  <si>
    <t>3596968878821610</t>
  </si>
  <si>
    <t>9494878400761267</t>
  </si>
  <si>
    <t>5147618433656994</t>
  </si>
  <si>
    <t>8785436994493408</t>
  </si>
  <si>
    <t>9011539627779671</t>
  </si>
  <si>
    <t>5628304238381508</t>
  </si>
  <si>
    <t>3324687788722404</t>
  </si>
  <si>
    <t>4346609203612168</t>
  </si>
  <si>
    <t>5343472913697847</t>
  </si>
  <si>
    <t>6885060727516967</t>
  </si>
  <si>
    <t>5618617050086686</t>
  </si>
  <si>
    <t>4895716905552367</t>
  </si>
  <si>
    <t>5289797329939373</t>
  </si>
  <si>
    <t>9631379592415442</t>
  </si>
  <si>
    <t>7165271312251010</t>
  </si>
  <si>
    <t>4879823425242053</t>
  </si>
  <si>
    <t>2064765380847595</t>
  </si>
  <si>
    <t>0666817882366781</t>
  </si>
  <si>
    <t>2496360035248341</t>
  </si>
  <si>
    <t>6712742096205780</t>
  </si>
  <si>
    <t>7635438031805205</t>
  </si>
  <si>
    <t>1415111111606982</t>
  </si>
  <si>
    <t>8616949168909269</t>
  </si>
  <si>
    <t>7257837349082723</t>
  </si>
  <si>
    <t>4485016280872613</t>
  </si>
  <si>
    <t>6513051105371010</t>
  </si>
  <si>
    <t>6379367309178858</t>
  </si>
  <si>
    <t>7730066736813181</t>
  </si>
  <si>
    <t>6529105927182681</t>
  </si>
  <si>
    <t>6444158298300135</t>
  </si>
  <si>
    <t>7068925847837895</t>
  </si>
  <si>
    <t>3619598676898943</t>
  </si>
  <si>
    <t>9854615684167321</t>
  </si>
  <si>
    <t>2066437528676965</t>
  </si>
  <si>
    <t>9255243207122333</t>
  </si>
  <si>
    <t>7178328812443132</t>
  </si>
  <si>
    <t>3960843975398212</t>
  </si>
  <si>
    <t>7644671232826738</t>
  </si>
  <si>
    <t>5380337354510766</t>
  </si>
  <si>
    <t>7744113089319337</t>
  </si>
  <si>
    <t>4815846507594164</t>
  </si>
  <si>
    <t>7369998525423015</t>
  </si>
  <si>
    <t>2794564114648111</t>
  </si>
  <si>
    <t>8975850746827978</t>
  </si>
  <si>
    <t>2413733347389957</t>
  </si>
  <si>
    <t>5153415616127595</t>
  </si>
  <si>
    <t>3224793982424427</t>
  </si>
  <si>
    <t>1985042518665965</t>
  </si>
  <si>
    <t>3398196116382853</t>
  </si>
  <si>
    <t>8829509739364332</t>
  </si>
  <si>
    <t>9584530999839852</t>
  </si>
  <si>
    <t>9463795218005823</t>
  </si>
  <si>
    <t>2008506307534749</t>
  </si>
  <si>
    <t>6153072484024273</t>
  </si>
  <si>
    <t>0197669065659725</t>
  </si>
  <si>
    <t>2535723676203132</t>
  </si>
  <si>
    <t>6198807385386196</t>
  </si>
  <si>
    <t>1444684841150491</t>
  </si>
  <si>
    <t>4792039667293099</t>
  </si>
  <si>
    <t>6595100018993041</t>
  </si>
  <si>
    <t>4788256102703483</t>
  </si>
  <si>
    <t>5339784715990609</t>
  </si>
  <si>
    <t>6342712616102585</t>
  </si>
  <si>
    <t>4630131291841621</t>
  </si>
  <si>
    <t>6297683498710681</t>
  </si>
  <si>
    <t>1505522920969456</t>
  </si>
  <si>
    <t>2993492494453336</t>
  </si>
  <si>
    <t>2141561672139967</t>
  </si>
  <si>
    <t>4490598474260364</t>
  </si>
  <si>
    <t>4109983467220732</t>
  </si>
  <si>
    <t>1282423837071414</t>
  </si>
  <si>
    <t>5982989810431084</t>
  </si>
  <si>
    <t>0137335151447948</t>
  </si>
  <si>
    <t>3563998240245750</t>
  </si>
  <si>
    <t>4271920405157968</t>
  </si>
  <si>
    <t>6598383403479966</t>
  </si>
  <si>
    <t>9749050973474001</t>
  </si>
  <si>
    <t>8242274765808210</t>
  </si>
  <si>
    <t>5074515261456100</t>
  </si>
  <si>
    <t>5520442228637766</t>
  </si>
  <si>
    <t>8617685180882309</t>
  </si>
  <si>
    <t>5782932783093382</t>
  </si>
  <si>
    <t>3752767456233787</t>
  </si>
  <si>
    <t>8888660849975061</t>
  </si>
  <si>
    <t>1951008860975905</t>
  </si>
  <si>
    <t>3024885725584197</t>
  </si>
  <si>
    <t>2780928903912879</t>
  </si>
  <si>
    <t>7108825544669347</t>
  </si>
  <si>
    <t>6572121056934328</t>
  </si>
  <si>
    <t>5841745763698831</t>
  </si>
  <si>
    <t>4160946139683242</t>
  </si>
  <si>
    <t>3239675092273477</t>
  </si>
  <si>
    <t>6628528609450282</t>
  </si>
  <si>
    <t>9756803375309701</t>
  </si>
  <si>
    <t>2636474072230777</t>
  </si>
  <si>
    <t>8037517371109425</t>
  </si>
  <si>
    <t>2027557138967484</t>
  </si>
  <si>
    <t>4877274786780922</t>
  </si>
  <si>
    <t>2795475433397483</t>
  </si>
  <si>
    <t>3166960795907938</t>
  </si>
  <si>
    <t>1608339902533444</t>
  </si>
  <si>
    <t>9061265736963339</t>
  </si>
  <si>
    <t>8036069344204140</t>
  </si>
  <si>
    <t>5183770246714878</t>
  </si>
  <si>
    <t>8878899300053875</t>
  </si>
  <si>
    <t>4653514411199416</t>
  </si>
  <si>
    <t>4709219038406169</t>
  </si>
  <si>
    <t>9213675037781406</t>
  </si>
  <si>
    <t>3222346826945359</t>
  </si>
  <si>
    <t>2829491068196691</t>
  </si>
  <si>
    <t>3460585707001565</t>
  </si>
  <si>
    <t>7120018545744113</t>
  </si>
  <si>
    <t>3217819719316922</t>
  </si>
  <si>
    <t>5842574341150316</t>
  </si>
  <si>
    <t>9630161641854481</t>
  </si>
  <si>
    <t>1696039419532972</t>
  </si>
  <si>
    <t>2206649275120289</t>
  </si>
  <si>
    <t>3533153524965294</t>
  </si>
  <si>
    <t>6333807636555146</t>
  </si>
  <si>
    <t>5313204453528030</t>
  </si>
  <si>
    <t>5012106483619561</t>
  </si>
  <si>
    <t>3986044438448019</t>
  </si>
  <si>
    <t>5246238651221120</t>
  </si>
  <si>
    <t>8308884190330878</t>
  </si>
  <si>
    <t>2198185199177133</t>
  </si>
  <si>
    <t>7520486332933022</t>
  </si>
  <si>
    <t>7213139227724855</t>
  </si>
  <si>
    <t>9725075839427925</t>
  </si>
  <si>
    <t>1418241359321232</t>
  </si>
  <si>
    <t>2196534076956270</t>
  </si>
  <si>
    <t>3586963884205365</t>
  </si>
  <si>
    <t>0919141542823420</t>
  </si>
  <si>
    <t>2473439042449944</t>
  </si>
  <si>
    <t>5523131890314821</t>
  </si>
  <si>
    <t>1526996537641057</t>
  </si>
  <si>
    <t>9872812099070686</t>
  </si>
  <si>
    <t>4551002570879752</t>
  </si>
  <si>
    <t>8982016058900821</t>
  </si>
  <si>
    <t>2366370605188285</t>
  </si>
  <si>
    <t>2467969718710905</t>
  </si>
  <si>
    <t>9510033473239496</t>
  </si>
  <si>
    <t>0000102341356182</t>
  </si>
  <si>
    <t>4072729111931520</t>
  </si>
  <si>
    <t>6622534146095148</t>
  </si>
  <si>
    <t>8828781563937789</t>
  </si>
  <si>
    <t>9763789239727901</t>
  </si>
  <si>
    <t>7106187998331466</t>
  </si>
  <si>
    <t>2808695458448564</t>
  </si>
  <si>
    <t>0292193703478534</t>
  </si>
  <si>
    <t>3315213603228498</t>
  </si>
  <si>
    <t>0671008012347717</t>
  </si>
  <si>
    <t>5379411953542881</t>
  </si>
  <si>
    <t>6527375053207841</t>
  </si>
  <si>
    <t>4310613431473501</t>
  </si>
  <si>
    <t>3280136393109323</t>
  </si>
  <si>
    <t>5435237321899800</t>
  </si>
  <si>
    <t>6232132117560140</t>
  </si>
  <si>
    <t>7738019845705712</t>
  </si>
  <si>
    <t>9498475624589123</t>
  </si>
  <si>
    <t>1791556384783341</t>
  </si>
  <si>
    <t>1969334358586716</t>
  </si>
  <si>
    <t>5503175085708991</t>
  </si>
  <si>
    <t>6598263530777036</t>
  </si>
  <si>
    <t>3901816078597068</t>
  </si>
  <si>
    <t>3242159196465553</t>
  </si>
  <si>
    <t>7776506529285781</t>
  </si>
  <si>
    <t>6803301750517023</t>
  </si>
  <si>
    <t>2914332576392327</t>
  </si>
  <si>
    <t>7959468099866577</t>
  </si>
  <si>
    <t>1082058755579316</t>
  </si>
  <si>
    <t>4163036908394398</t>
  </si>
  <si>
    <t>9293821270031290</t>
  </si>
  <si>
    <t>2379221298185111</t>
  </si>
  <si>
    <t>3474349954244480</t>
  </si>
  <si>
    <t>2385996078970310</t>
  </si>
  <si>
    <t>3301706418548260</t>
  </si>
  <si>
    <t>8482558623155840</t>
  </si>
  <si>
    <t>9459454797742185</t>
  </si>
  <si>
    <t>7187166526738898</t>
  </si>
  <si>
    <t>0119806461141714</t>
  </si>
  <si>
    <t>7481556366248163</t>
  </si>
  <si>
    <t>5396268764900697</t>
  </si>
  <si>
    <t>5695074118601775</t>
  </si>
  <si>
    <t>4139924922148524</t>
  </si>
  <si>
    <t>9143720146892514</t>
  </si>
  <si>
    <t>0841150766574320</t>
  </si>
  <si>
    <t>8174727723024306</t>
  </si>
  <si>
    <t>2734915019497956</t>
  </si>
  <si>
    <t>3619075271407520</t>
  </si>
  <si>
    <t>2823948242201454</t>
  </si>
  <si>
    <t>7601986664536922</t>
  </si>
  <si>
    <t>1981732621458966</t>
  </si>
  <si>
    <t>5260052675651565</t>
  </si>
  <si>
    <t>5479205758171740</t>
  </si>
  <si>
    <t>7909983589365354</t>
  </si>
  <si>
    <t>2796321002158135</t>
  </si>
  <si>
    <t>0832902389588048</t>
  </si>
  <si>
    <t>3008216976125990</t>
  </si>
  <si>
    <t>9469919393268893</t>
  </si>
  <si>
    <t>0917763698406869</t>
  </si>
  <si>
    <t>4860158273166791</t>
  </si>
  <si>
    <t>3030779647834132</t>
  </si>
  <si>
    <t>2878734248465833</t>
  </si>
  <si>
    <t>6989533581855561</t>
  </si>
  <si>
    <t>8803769731493999</t>
  </si>
  <si>
    <t>6588492277391341</t>
  </si>
  <si>
    <t>3247209749777825</t>
  </si>
  <si>
    <t>3085093696045186</t>
  </si>
  <si>
    <t>8468076419278285</t>
  </si>
  <si>
    <t>2665109498156153</t>
  </si>
  <si>
    <t>4849722960441078</t>
  </si>
  <si>
    <t>5503597730586360</t>
  </si>
  <si>
    <t>3260076619459365</t>
  </si>
  <si>
    <t>7700585616611204</t>
  </si>
  <si>
    <t>7977571063785652</t>
  </si>
  <si>
    <t>6230263546040597</t>
  </si>
  <si>
    <t>8668616642921596</t>
  </si>
  <si>
    <t>6856273758812235</t>
  </si>
  <si>
    <t>0549766391306443</t>
  </si>
  <si>
    <t>3784794058906662</t>
  </si>
  <si>
    <t>7336090485047921</t>
  </si>
  <si>
    <t>2433250722310176</t>
  </si>
  <si>
    <t>4584898048402282</t>
  </si>
  <si>
    <t>0195533281170012</t>
  </si>
  <si>
    <t>1490893612136505</t>
  </si>
  <si>
    <t>6767392721481063</t>
  </si>
  <si>
    <t>7168018036423765</t>
  </si>
  <si>
    <t>7422164456473144</t>
  </si>
  <si>
    <t>7336431308215926</t>
  </si>
  <si>
    <t>2462027223851864</t>
  </si>
  <si>
    <t>9678406480291727</t>
  </si>
  <si>
    <t>2753950614063132</t>
  </si>
  <si>
    <t>0076427352030788</t>
  </si>
  <si>
    <t>3343325731777384</t>
  </si>
  <si>
    <t>5060351608604102</t>
  </si>
  <si>
    <t>5592059614579362</t>
  </si>
  <si>
    <t>5245230852064504</t>
  </si>
  <si>
    <t>7727106293082942</t>
  </si>
  <si>
    <t>0832875023224252</t>
  </si>
  <si>
    <t>4413204743817581</t>
  </si>
  <si>
    <t>6029588815660053</t>
  </si>
  <si>
    <t>8329678128751848</t>
  </si>
  <si>
    <t>8397767332885057</t>
  </si>
  <si>
    <t>0069685671645996</t>
  </si>
  <si>
    <t>7247852454896329</t>
  </si>
  <si>
    <t>5198260555548699</t>
  </si>
  <si>
    <t>5346047982405043</t>
  </si>
  <si>
    <t>0235299435785120</t>
  </si>
  <si>
    <t>2983770176297221</t>
  </si>
  <si>
    <t>6252886937281379</t>
  </si>
  <si>
    <t>8214258388409993</t>
  </si>
  <si>
    <t>9798159305146066</t>
  </si>
  <si>
    <t>8289666117873440</t>
  </si>
  <si>
    <t>9062840109956534</t>
  </si>
  <si>
    <t>0564051400406331</t>
  </si>
  <si>
    <t>1116731449916532</t>
  </si>
  <si>
    <t>2256831335271184</t>
  </si>
  <si>
    <t>5518348379479844</t>
  </si>
  <si>
    <t>8449139281707252</t>
  </si>
  <si>
    <t>5572191666971911</t>
  </si>
  <si>
    <t>2171657844166987</t>
  </si>
  <si>
    <t>7797411903333494</t>
  </si>
  <si>
    <t>1654518842360613</t>
  </si>
  <si>
    <t>7444883367703655</t>
  </si>
  <si>
    <t>5128183397341910</t>
  </si>
  <si>
    <t>4992489172846821</t>
  </si>
  <si>
    <t>9364628743906587</t>
  </si>
  <si>
    <t>2072594701169996</t>
  </si>
  <si>
    <t>6338875466243290</t>
  </si>
  <si>
    <t>1673041150596269</t>
  </si>
  <si>
    <t>5415270243272780</t>
  </si>
  <si>
    <t>5799494432891861</t>
  </si>
  <si>
    <t>3357944284876435</t>
  </si>
  <si>
    <t>2287025074842751</t>
  </si>
  <si>
    <t>4017985505156077</t>
  </si>
  <si>
    <t>4002369205769959</t>
  </si>
  <si>
    <t>9675565287305857</t>
  </si>
  <si>
    <t>9062952394964476</t>
  </si>
  <si>
    <t>7272656753019484</t>
  </si>
  <si>
    <t>8228795445336476</t>
  </si>
  <si>
    <t>6956113246972637</t>
  </si>
  <si>
    <t>7181230340916283</t>
  </si>
  <si>
    <t>1217641947828083</t>
  </si>
  <si>
    <t>9280083721226353</t>
  </si>
  <si>
    <t>5332839755320470</t>
  </si>
  <si>
    <t>5499047027773277</t>
  </si>
  <si>
    <t>3647829132408864</t>
  </si>
  <si>
    <t>4541756273063347</t>
  </si>
  <si>
    <t>2028780613375904</t>
  </si>
  <si>
    <t>5054017722897369</t>
  </si>
  <si>
    <t>4215959911904678</t>
  </si>
  <si>
    <t>5839031077002594</t>
  </si>
  <si>
    <t>5309943362261814</t>
  </si>
  <si>
    <t>4948830292536172</t>
  </si>
  <si>
    <t>4299818772967840</t>
  </si>
  <si>
    <t>5657087861845613</t>
  </si>
  <si>
    <t>7008005612506468</t>
  </si>
  <si>
    <t>3576384228984278</t>
  </si>
  <si>
    <t>5484503241451972</t>
  </si>
  <si>
    <t>0685778306944719</t>
  </si>
  <si>
    <t>6983823595029265</t>
  </si>
  <si>
    <t>3876312460663168</t>
  </si>
  <si>
    <t>7905699668146765</t>
  </si>
  <si>
    <t>1009783596581448</t>
  </si>
  <si>
    <t>1463236461461236</t>
  </si>
  <si>
    <t>3204761041223093</t>
  </si>
  <si>
    <t>6176033764086747</t>
  </si>
  <si>
    <t>4155142859748113</t>
  </si>
  <si>
    <t>9037798456738500</t>
  </si>
  <si>
    <t>0953501545832019</t>
  </si>
  <si>
    <t>1409403554588831</t>
  </si>
  <si>
    <t>1290941556199667</t>
  </si>
  <si>
    <t>0243535604504282</t>
  </si>
  <si>
    <t>1518942608955194</t>
  </si>
  <si>
    <t>5861180074492022</t>
  </si>
  <si>
    <t>0940401704809732</t>
  </si>
  <si>
    <t>4872599858970939</t>
  </si>
  <si>
    <t>0686378389397759</t>
  </si>
  <si>
    <t>6657220513466009</t>
  </si>
  <si>
    <t>0493552594574343</t>
  </si>
  <si>
    <t>0510931504052978</t>
  </si>
  <si>
    <t>0942111413173870</t>
  </si>
  <si>
    <t>9805710017792075</t>
  </si>
  <si>
    <t>0117534894199761</t>
  </si>
  <si>
    <t>4052868049390727</t>
  </si>
  <si>
    <t>4892416814140436</t>
  </si>
  <si>
    <t>4932760115738116</t>
  </si>
  <si>
    <t>8522697536123844</t>
  </si>
  <si>
    <t>5900210986871894</t>
  </si>
  <si>
    <t>Yusuf Saputra</t>
  </si>
  <si>
    <t>Male</t>
  </si>
  <si>
    <t>Bandung</t>
  </si>
  <si>
    <t>Hindu</t>
  </si>
  <si>
    <t>Married</t>
  </si>
  <si>
    <t>O</t>
  </si>
  <si>
    <t>Indonesia</t>
  </si>
  <si>
    <t>086885613346</t>
  </si>
  <si>
    <t>yusuf.saputra@dumibumi.co.id</t>
  </si>
  <si>
    <t>Jakarta, Indonesia</t>
  </si>
  <si>
    <t>Manufacturing</t>
  </si>
  <si>
    <t>Production Administrator</t>
  </si>
  <si>
    <t>Staff</t>
  </si>
  <si>
    <t>74623006286</t>
  </si>
  <si>
    <t>6750136175908</t>
  </si>
  <si>
    <t>8679287773</t>
  </si>
  <si>
    <t>Bayu Utami</t>
  </si>
  <si>
    <t>Bekasi</t>
  </si>
  <si>
    <t>Catholic</t>
  </si>
  <si>
    <t>Single</t>
  </si>
  <si>
    <t>084700287265</t>
  </si>
  <si>
    <t>bayu.utami@dumibumi.co.id</t>
  </si>
  <si>
    <t>Production Operator</t>
  </si>
  <si>
    <t>Operator</t>
  </si>
  <si>
    <t>650364218433304</t>
  </si>
  <si>
    <t>68595819715</t>
  </si>
  <si>
    <t>3419178413554</t>
  </si>
  <si>
    <t>1917024454</t>
  </si>
  <si>
    <t>Aulia Pratama</t>
  </si>
  <si>
    <t>Female</t>
  </si>
  <si>
    <t>AB</t>
  </si>
  <si>
    <t>084092019210</t>
  </si>
  <si>
    <t>aulia.pratama@dumibumi.co.id</t>
  </si>
  <si>
    <t>Bogor, Indonesia</t>
  </si>
  <si>
    <t>Commercial &amp; Marketing</t>
  </si>
  <si>
    <t>Marketing Officer</t>
  </si>
  <si>
    <t>Officer</t>
  </si>
  <si>
    <t>855462077864713</t>
  </si>
  <si>
    <t>39227763842</t>
  </si>
  <si>
    <t>6156780811272</t>
  </si>
  <si>
    <t>0197375125</t>
  </si>
  <si>
    <t>Rizky Hidayat</t>
  </si>
  <si>
    <t>Jakarta</t>
  </si>
  <si>
    <t>Christian</t>
  </si>
  <si>
    <t>A</t>
  </si>
  <si>
    <t>085744498429</t>
  </si>
  <si>
    <t>rizky.hidayat@dumibumi.co.id</t>
  </si>
  <si>
    <t>Bandung, Indonesia</t>
  </si>
  <si>
    <t>Finance Officer</t>
  </si>
  <si>
    <t>597930620601057</t>
  </si>
  <si>
    <t>78480658327</t>
  </si>
  <si>
    <t>9002621247506</t>
  </si>
  <si>
    <t>7002852045</t>
  </si>
  <si>
    <t>Dedi Hidayat</t>
  </si>
  <si>
    <t>B</t>
  </si>
  <si>
    <t>088469960329</t>
  </si>
  <si>
    <t>dedi.hidayat@dumibumi.co.id</t>
  </si>
  <si>
    <t>Subang, Indonesia</t>
  </si>
  <si>
    <t>Line Leader</t>
  </si>
  <si>
    <t>Leader</t>
  </si>
  <si>
    <t>396420169754313</t>
  </si>
  <si>
    <t>44689751350</t>
  </si>
  <si>
    <t>2145516190184</t>
  </si>
  <si>
    <t>3825311340</t>
  </si>
  <si>
    <t>Nadia Pratama</t>
  </si>
  <si>
    <t>089416729767</t>
  </si>
  <si>
    <t>nadia.pratama@dumibumi.co.id</t>
  </si>
  <si>
    <t>Research &amp; Development</t>
  </si>
  <si>
    <t>Product Development Staff</t>
  </si>
  <si>
    <t>695365629362010</t>
  </si>
  <si>
    <t>45394320070</t>
  </si>
  <si>
    <t>0749322108059</t>
  </si>
  <si>
    <t>1582000195</t>
  </si>
  <si>
    <t>Dedi Kusuma</t>
  </si>
  <si>
    <t>Buddhist</t>
  </si>
  <si>
    <t>089342892178</t>
  </si>
  <si>
    <t>dedi.kusuma@dumibumi.co.id</t>
  </si>
  <si>
    <t>250210543264773</t>
  </si>
  <si>
    <t>60160076084</t>
  </si>
  <si>
    <t>1218658049593</t>
  </si>
  <si>
    <t>6240219974</t>
  </si>
  <si>
    <t>Aulia Permata</t>
  </si>
  <si>
    <t>085063958691</t>
  </si>
  <si>
    <t>aulia.permata@dumibumi.co.id</t>
  </si>
  <si>
    <t>Bekasi, Indonesia</t>
  </si>
  <si>
    <t>Information Technology</t>
  </si>
  <si>
    <t>IT Support</t>
  </si>
  <si>
    <t>983767810529223</t>
  </si>
  <si>
    <t>98210689429</t>
  </si>
  <si>
    <t>1918407141285</t>
  </si>
  <si>
    <t>3788927309</t>
  </si>
  <si>
    <t>Subang</t>
  </si>
  <si>
    <t>Human Resources</t>
  </si>
  <si>
    <t>HR Communications Officer</t>
  </si>
  <si>
    <t>Siti Maulana</t>
  </si>
  <si>
    <t>Depok</t>
  </si>
  <si>
    <t>088497523016</t>
  </si>
  <si>
    <t>siti.maulana@dumibumi.co.id</t>
  </si>
  <si>
    <t>024800614788436</t>
  </si>
  <si>
    <t>06508531356</t>
  </si>
  <si>
    <t>4750315762832</t>
  </si>
  <si>
    <t>0131387787</t>
  </si>
  <si>
    <t>Lina Permata</t>
  </si>
  <si>
    <t>085474863189</t>
  </si>
  <si>
    <t>lina.permata@dumibumi.co.id</t>
  </si>
  <si>
    <t>319831044725240</t>
  </si>
  <si>
    <t>47025422194</t>
  </si>
  <si>
    <t>9856192042673</t>
  </si>
  <si>
    <t>3810524184</t>
  </si>
  <si>
    <t>Budi Ramadhan</t>
  </si>
  <si>
    <t>082092848519</t>
  </si>
  <si>
    <t>budi.ramadhan@dumibumi.co.id</t>
  </si>
  <si>
    <t>Sales Executive</t>
  </si>
  <si>
    <t>310603730546415</t>
  </si>
  <si>
    <t>31185554810</t>
  </si>
  <si>
    <t>9058389079562</t>
  </si>
  <si>
    <t>9922545773</t>
  </si>
  <si>
    <t>Recruitment Staff</t>
  </si>
  <si>
    <t>Yoga Kusuma</t>
  </si>
  <si>
    <t>yoga.kusuma@dumibumi.co.id</t>
  </si>
  <si>
    <t>Budi Kusuma</t>
  </si>
  <si>
    <t>Tangerang</t>
  </si>
  <si>
    <t>081490623210</t>
  </si>
  <si>
    <t>budi.kusuma@dumibumi.co.id</t>
  </si>
  <si>
    <t>156422941044261</t>
  </si>
  <si>
    <t>50268051678</t>
  </si>
  <si>
    <t>9820190273042</t>
  </si>
  <si>
    <t>2862870575</t>
  </si>
  <si>
    <t>Yusuf Maulana</t>
  </si>
  <si>
    <t>087564520494</t>
  </si>
  <si>
    <t>yusuf.maulana@dumibumi.co.id</t>
  </si>
  <si>
    <t>Tangerang, Indonesia</t>
  </si>
  <si>
    <t>711071195769254</t>
  </si>
  <si>
    <t>73717795066</t>
  </si>
  <si>
    <t>3225506848332</t>
  </si>
  <si>
    <t>5313080539</t>
  </si>
  <si>
    <t>Yoga Kurniawan</t>
  </si>
  <si>
    <t>081949259478</t>
  </si>
  <si>
    <t>yoga.kurniawan@dumibumi.co.id</t>
  </si>
  <si>
    <t>628495068893968</t>
  </si>
  <si>
    <t>83013503701</t>
  </si>
  <si>
    <t>5938181069038</t>
  </si>
  <si>
    <t>8404936455</t>
  </si>
  <si>
    <t>Nadia Nugroho</t>
  </si>
  <si>
    <t>Islam</t>
  </si>
  <si>
    <t>087812363357</t>
  </si>
  <si>
    <t>nadia.nugroho@dumibumi.co.id</t>
  </si>
  <si>
    <t>Supply Chain Management</t>
  </si>
  <si>
    <t>Inventory Planning &amp; Control Administrator</t>
  </si>
  <si>
    <t>194431551664596</t>
  </si>
  <si>
    <t>97819365957</t>
  </si>
  <si>
    <t>7121418495480</t>
  </si>
  <si>
    <t>7807796911</t>
  </si>
  <si>
    <t>Fajar Wijaya</t>
  </si>
  <si>
    <t>089190643991</t>
  </si>
  <si>
    <t>fajar.wijaya@dumibumi.co.id</t>
  </si>
  <si>
    <t>Inventory Control &amp; Planning Officer</t>
  </si>
  <si>
    <t>527555342699053</t>
  </si>
  <si>
    <t>68325792438</t>
  </si>
  <si>
    <t>3133416353204</t>
  </si>
  <si>
    <t>4381756433</t>
  </si>
  <si>
    <t>Indah Hidayat</t>
  </si>
  <si>
    <t>Bogor</t>
  </si>
  <si>
    <t>087158154784</t>
  </si>
  <si>
    <t>indah.hidayat@dumibumi.co.id</t>
  </si>
  <si>
    <t>254472193793220</t>
  </si>
  <si>
    <t>57101939067</t>
  </si>
  <si>
    <t>3438953619177</t>
  </si>
  <si>
    <t>6259513618</t>
  </si>
  <si>
    <t>Andi Utami</t>
  </si>
  <si>
    <t>andi.utami@dumibumi.co.id</t>
  </si>
  <si>
    <t>Depok, Indonesia</t>
  </si>
  <si>
    <t>HR Operations &amp; General Affairs Staff</t>
  </si>
  <si>
    <t>Farhan Santoso</t>
  </si>
  <si>
    <t>081705915382</t>
  </si>
  <si>
    <t>farhan.santoso@dumibumi.co.id</t>
  </si>
  <si>
    <t>882828750159338</t>
  </si>
  <si>
    <t>72907907865</t>
  </si>
  <si>
    <t>6011320405446</t>
  </si>
  <si>
    <t>9467751653</t>
  </si>
  <si>
    <t>Nadia Maulana</t>
  </si>
  <si>
    <t>085719200179</t>
  </si>
  <si>
    <t>nadia.maulana@dumibumi.co.id</t>
  </si>
  <si>
    <t>091714599921052</t>
  </si>
  <si>
    <t>61820090206</t>
  </si>
  <si>
    <t>8103080985170</t>
  </si>
  <si>
    <t>5886035666</t>
  </si>
  <si>
    <t>Bayu Kurniawan</t>
  </si>
  <si>
    <t>088198909466</t>
  </si>
  <si>
    <t>bayu.kurniawan@dumibumi.co.id</t>
  </si>
  <si>
    <t>909320424652080</t>
  </si>
  <si>
    <t>40060980300</t>
  </si>
  <si>
    <t>0316622387515</t>
  </si>
  <si>
    <t>2772134362</t>
  </si>
  <si>
    <t>Payroll &amp; Benefits Officer</t>
  </si>
  <si>
    <t>Dewi Maulana</t>
  </si>
  <si>
    <t>081251561277</t>
  </si>
  <si>
    <t>dewi.maulana@dumibumi.co.id</t>
  </si>
  <si>
    <t>71329226083</t>
  </si>
  <si>
    <t>3461910354358</t>
  </si>
  <si>
    <t>BCA</t>
  </si>
  <si>
    <t>9568206368</t>
  </si>
  <si>
    <t>Lina Kurniawan</t>
  </si>
  <si>
    <t>082858265264</t>
  </si>
  <si>
    <t>lina.kurniawan@dumibumi.co.id</t>
  </si>
  <si>
    <t>454842782078015</t>
  </si>
  <si>
    <t>62363385285</t>
  </si>
  <si>
    <t>4954107409212</t>
  </si>
  <si>
    <t>7620560378</t>
  </si>
  <si>
    <t>Lina Ramadhan</t>
  </si>
  <si>
    <t>lina.ramadhan@dumibumi.co.id</t>
  </si>
  <si>
    <t>089431199635</t>
  </si>
  <si>
    <t>129700008201199</t>
  </si>
  <si>
    <t>13981758363</t>
  </si>
  <si>
    <t>4930864660084</t>
  </si>
  <si>
    <t>5074613365</t>
  </si>
  <si>
    <t>Budi Kurniawan</t>
  </si>
  <si>
    <t>budi.kurniawan@dumibumi.co.id</t>
  </si>
  <si>
    <t>Dewi Kusuma</t>
  </si>
  <si>
    <t>089880456410</t>
  </si>
  <si>
    <t>dewi.kusuma@dumibumi.co.id</t>
  </si>
  <si>
    <t>601586945032924</t>
  </si>
  <si>
    <t>62445806920</t>
  </si>
  <si>
    <t>4309803097372</t>
  </si>
  <si>
    <t>4147209039</t>
  </si>
  <si>
    <t>Farhan Sari</t>
  </si>
  <si>
    <t>086298054608</t>
  </si>
  <si>
    <t>farhan.sari@dumibumi.co.id</t>
  </si>
  <si>
    <t>676791160188610</t>
  </si>
  <si>
    <t>80544586070</t>
  </si>
  <si>
    <t>5907762254884</t>
  </si>
  <si>
    <t>4105124328</t>
  </si>
  <si>
    <t>Nadia Wijaya</t>
  </si>
  <si>
    <t>086097085665</t>
  </si>
  <si>
    <t>nadia.wijaya@dumibumi.co.id</t>
  </si>
  <si>
    <t>611782068952825</t>
  </si>
  <si>
    <t>32355111769</t>
  </si>
  <si>
    <t>3580119418707</t>
  </si>
  <si>
    <t>6095340079</t>
  </si>
  <si>
    <t>089946504480</t>
  </si>
  <si>
    <t>farhan.lestari@dumibumi.co.id</t>
  </si>
  <si>
    <t>992457558123751</t>
  </si>
  <si>
    <t>70344422273</t>
  </si>
  <si>
    <t>3717695019262</t>
  </si>
  <si>
    <t>9379803329</t>
  </si>
  <si>
    <t>Dedi Nugroho</t>
  </si>
  <si>
    <t>dedi.nugroho@dumibumi.co.id</t>
  </si>
  <si>
    <t>Lina Lestari</t>
  </si>
  <si>
    <t>088355921724</t>
  </si>
  <si>
    <t>lina.lestari@dumibumi.co.id</t>
  </si>
  <si>
    <t>475139940093285</t>
  </si>
  <si>
    <t>47842300804</t>
  </si>
  <si>
    <t>8486996833267</t>
  </si>
  <si>
    <t>2493032553</t>
  </si>
  <si>
    <t>Indah Wijaya</t>
  </si>
  <si>
    <t>indah.wijaya@dumibumi.co.id</t>
  </si>
  <si>
    <t>Accounting Staff</t>
  </si>
  <si>
    <t>Lina Utami</t>
  </si>
  <si>
    <t>lina.utami@dumibumi.co.id</t>
  </si>
  <si>
    <t>Rizky Ramadhan</t>
  </si>
  <si>
    <t>088211685405</t>
  </si>
  <si>
    <t>rizky.ramadhan@dumibumi.co.id</t>
  </si>
  <si>
    <t>350068970111503</t>
  </si>
  <si>
    <t>23771112995</t>
  </si>
  <si>
    <t>6212128900744</t>
  </si>
  <si>
    <t>9701057544</t>
  </si>
  <si>
    <t>Yusuf Kusuma</t>
  </si>
  <si>
    <t>081009300087</t>
  </si>
  <si>
    <t>yusuf.kusuma@dumibumi.co.id</t>
  </si>
  <si>
    <t>Quality Control Inspector</t>
  </si>
  <si>
    <t>133285889925131</t>
  </si>
  <si>
    <t>29395007235</t>
  </si>
  <si>
    <t>5174132105131</t>
  </si>
  <si>
    <t>1759262194</t>
  </si>
  <si>
    <t>Fajar Hidayat</t>
  </si>
  <si>
    <t>fajar.hidayat@dumibumi.co.id</t>
  </si>
  <si>
    <t>Farhan Utami</t>
  </si>
  <si>
    <t>089135814002</t>
  </si>
  <si>
    <t>farhan.utami@dumibumi.co.id</t>
  </si>
  <si>
    <t>269110330083334</t>
  </si>
  <si>
    <t>51075526539</t>
  </si>
  <si>
    <t>6341322555815</t>
  </si>
  <si>
    <t>9423475922</t>
  </si>
  <si>
    <t>087184535814</t>
  </si>
  <si>
    <t>638039538768990</t>
  </si>
  <si>
    <t>84894746959</t>
  </si>
  <si>
    <t>7887224001343</t>
  </si>
  <si>
    <t>9439069601</t>
  </si>
  <si>
    <t>Rudi Hidayat</t>
  </si>
  <si>
    <t>rudi.hidayat@dumibumi.co.id</t>
  </si>
  <si>
    <t>Lina Santoso</t>
  </si>
  <si>
    <t>081795402547</t>
  </si>
  <si>
    <t>lina.santoso@dumibumi.co.id</t>
  </si>
  <si>
    <t>282566242009362</t>
  </si>
  <si>
    <t>59505272413</t>
  </si>
  <si>
    <t>2006102574532</t>
  </si>
  <si>
    <t>3670684262</t>
  </si>
  <si>
    <t>Yusuf Nugroho</t>
  </si>
  <si>
    <t>yusuf.nugroho@dumibumi.co.id</t>
  </si>
  <si>
    <t>Budi Pangestu</t>
  </si>
  <si>
    <t>budi.pangestu@dumibumi.co.id</t>
  </si>
  <si>
    <t>Agus Maulana</t>
  </si>
  <si>
    <t>081141420095</t>
  </si>
  <si>
    <t>agus.maulana@dumibumi.co.id</t>
  </si>
  <si>
    <t>976637946449162</t>
  </si>
  <si>
    <t>91829165080</t>
  </si>
  <si>
    <t>7129556564910</t>
  </si>
  <si>
    <t>0536905546</t>
  </si>
  <si>
    <t>Bayu Santoso</t>
  </si>
  <si>
    <t>080595210902</t>
  </si>
  <si>
    <t>bayu.santoso@dumibumi.co.id</t>
  </si>
  <si>
    <t>199317952841093</t>
  </si>
  <si>
    <t>44115713928</t>
  </si>
  <si>
    <t>8483334572963</t>
  </si>
  <si>
    <t>0975713985</t>
  </si>
  <si>
    <t>080826191332</t>
  </si>
  <si>
    <t>500096061929032</t>
  </si>
  <si>
    <t>70235074213</t>
  </si>
  <si>
    <t>4747335239025</t>
  </si>
  <si>
    <t>1525322443</t>
  </si>
  <si>
    <t>Rudi Nugroho</t>
  </si>
  <si>
    <t>083952384227</t>
  </si>
  <si>
    <t>rudi.nugroho@dumibumi.co.id</t>
  </si>
  <si>
    <t>358552492655382</t>
  </si>
  <si>
    <t>57099509411</t>
  </si>
  <si>
    <t>2661899472091</t>
  </si>
  <si>
    <t>6415986560</t>
  </si>
  <si>
    <t>Andi Sari</t>
  </si>
  <si>
    <t>084333272377</t>
  </si>
  <si>
    <t>andi.sari@dumibumi.co.id</t>
  </si>
  <si>
    <t>253905918891918</t>
  </si>
  <si>
    <t>01285378396</t>
  </si>
  <si>
    <t>5190413512851</t>
  </si>
  <si>
    <t>4821411451</t>
  </si>
  <si>
    <t>Siti Kurniawan</t>
  </si>
  <si>
    <t>086996746442</t>
  </si>
  <si>
    <t>siti.kurniawan@dumibumi.co.id</t>
  </si>
  <si>
    <t>332232835364759</t>
  </si>
  <si>
    <t>61466077473</t>
  </si>
  <si>
    <t>3244200795939</t>
  </si>
  <si>
    <t>1851272766</t>
  </si>
  <si>
    <t>081326766416</t>
  </si>
  <si>
    <t>965972551011147</t>
  </si>
  <si>
    <t>99558694649</t>
  </si>
  <si>
    <t>2384854049745</t>
  </si>
  <si>
    <t>3301716355</t>
  </si>
  <si>
    <t>Putri Lestari</t>
  </si>
  <si>
    <t>putri.lestari@dumibumi.co.id</t>
  </si>
  <si>
    <t>Rizky Maulana</t>
  </si>
  <si>
    <t>rizky.maulana@dumibumi.co.id</t>
  </si>
  <si>
    <t>Bayu Maulana</t>
  </si>
  <si>
    <t>bayu.maulana@dumibumi.co.id</t>
  </si>
  <si>
    <t>Dewi Nugroho</t>
  </si>
  <si>
    <t>089801319282</t>
  </si>
  <si>
    <t>dewi.nugroho@dumibumi.co.id</t>
  </si>
  <si>
    <t>00092053057</t>
  </si>
  <si>
    <t>4886520762863</t>
  </si>
  <si>
    <t>3641476558</t>
  </si>
  <si>
    <t>Rudi Wijaya</t>
  </si>
  <si>
    <t>087667878636</t>
  </si>
  <si>
    <t>rudi.wijaya@dumibumi.co.id</t>
  </si>
  <si>
    <t>221080475812696</t>
  </si>
  <si>
    <t>11498446225</t>
  </si>
  <si>
    <t>6818673946119</t>
  </si>
  <si>
    <t>6494758086</t>
  </si>
  <si>
    <t>Putri Saputra</t>
  </si>
  <si>
    <t>putri.saputra@dumibumi.co.id</t>
  </si>
  <si>
    <t>Yusuf Ramadhan</t>
  </si>
  <si>
    <t>083391277436</t>
  </si>
  <si>
    <t>yusuf.ramadhan@dumibumi.co.id</t>
  </si>
  <si>
    <t>Production Planning Analyst</t>
  </si>
  <si>
    <t>833172374746193</t>
  </si>
  <si>
    <t>72806010360</t>
  </si>
  <si>
    <t>2389391318480</t>
  </si>
  <si>
    <t>3231675365</t>
  </si>
  <si>
    <t>Nadia Ramadhan</t>
  </si>
  <si>
    <t>nadia.ramadhan@dumibumi.co.id</t>
  </si>
  <si>
    <t>Employer Branding Staff</t>
  </si>
  <si>
    <t>080706802656</t>
  </si>
  <si>
    <t>451424592928880</t>
  </si>
  <si>
    <t>95824318614</t>
  </si>
  <si>
    <t>4668981162955</t>
  </si>
  <si>
    <t>4793555014</t>
  </si>
  <si>
    <t>Agus Wijaya</t>
  </si>
  <si>
    <t>084153448642</t>
  </si>
  <si>
    <t>agus.wijaya@dumibumi.co.id</t>
  </si>
  <si>
    <t>767358183361406</t>
  </si>
  <si>
    <t>56546426194</t>
  </si>
  <si>
    <t>5864362883339</t>
  </si>
  <si>
    <t>1500812816</t>
  </si>
  <si>
    <t>Putri Ramadhan</t>
  </si>
  <si>
    <t>085093968164</t>
  </si>
  <si>
    <t>putri.ramadhan@dumibumi.co.id</t>
  </si>
  <si>
    <t>155058597700709</t>
  </si>
  <si>
    <t>11885951137</t>
  </si>
  <si>
    <t>2735238535208</t>
  </si>
  <si>
    <t>1619300215</t>
  </si>
  <si>
    <t>Dedi Permata</t>
  </si>
  <si>
    <t>081075935793</t>
  </si>
  <si>
    <t>dedi.permata@dumibumi.co.id</t>
  </si>
  <si>
    <t>761373300266873</t>
  </si>
  <si>
    <t>71401237162</t>
  </si>
  <si>
    <t>1682486458067</t>
  </si>
  <si>
    <t>6054335163</t>
  </si>
  <si>
    <t>Andi Maulana</t>
  </si>
  <si>
    <t>087030051902</t>
  </si>
  <si>
    <t>andi.maulana@dumibumi.co.id</t>
  </si>
  <si>
    <t>012973767581187</t>
  </si>
  <si>
    <t>81082194883</t>
  </si>
  <si>
    <t>6151539163462</t>
  </si>
  <si>
    <t>9502077492</t>
  </si>
  <si>
    <t>Dewi Lestari</t>
  </si>
  <si>
    <t>089498405397</t>
  </si>
  <si>
    <t>dewi.lestari@dumibumi.co.id</t>
  </si>
  <si>
    <t>319401231971409</t>
  </si>
  <si>
    <t>80611545991</t>
  </si>
  <si>
    <t>2990575386959</t>
  </si>
  <si>
    <t>9993818862</t>
  </si>
  <si>
    <t>Nadia Saputra</t>
  </si>
  <si>
    <t>nadia.saputra@dumibumi.co.id</t>
  </si>
  <si>
    <t>Aulia Ramadhan</t>
  </si>
  <si>
    <t>aulia.ramadhan@dumibumi.co.id</t>
  </si>
  <si>
    <t>Indah Kurniawan</t>
  </si>
  <si>
    <t>080348433193</t>
  </si>
  <si>
    <t>indah.kurniawan@dumibumi.co.id</t>
  </si>
  <si>
    <t>770154949085260</t>
  </si>
  <si>
    <t>44036647790</t>
  </si>
  <si>
    <t>8436871664564</t>
  </si>
  <si>
    <t>6871415377</t>
  </si>
  <si>
    <t>083422856524</t>
  </si>
  <si>
    <t>045800047417302</t>
  </si>
  <si>
    <t>35908729103</t>
  </si>
  <si>
    <t>8925481235171</t>
  </si>
  <si>
    <t>6948413087</t>
  </si>
  <si>
    <t>Yusuf Kurniawan</t>
  </si>
  <si>
    <t>088340608193</t>
  </si>
  <si>
    <t>yusuf.kurniawan@dumibumi.co.id</t>
  </si>
  <si>
    <t>660784913888622</t>
  </si>
  <si>
    <t>35214994566</t>
  </si>
  <si>
    <t>0709381098328</t>
  </si>
  <si>
    <t>4381145985</t>
  </si>
  <si>
    <t>089973994831</t>
  </si>
  <si>
    <t>311270374718438</t>
  </si>
  <si>
    <t>14115733101</t>
  </si>
  <si>
    <t>0550075940868</t>
  </si>
  <si>
    <t>2086002417</t>
  </si>
  <si>
    <t>Aulia Kurniawan</t>
  </si>
  <si>
    <t>089078566739</t>
  </si>
  <si>
    <t>aulia.kurniawan@dumibumi.co.id</t>
  </si>
  <si>
    <t>858128981900922</t>
  </si>
  <si>
    <t>58264541850</t>
  </si>
  <si>
    <t>2462010834925</t>
  </si>
  <si>
    <t>0531830268</t>
  </si>
  <si>
    <t>088932742962</t>
  </si>
  <si>
    <t>073322594670363</t>
  </si>
  <si>
    <t>08939101080</t>
  </si>
  <si>
    <t>7377166617547</t>
  </si>
  <si>
    <t>5007694002</t>
  </si>
  <si>
    <t>Rahmat Nugroho</t>
  </si>
  <si>
    <t>082294151067</t>
  </si>
  <si>
    <t>rahmat.nugroho@dumibumi.co.id</t>
  </si>
  <si>
    <t>611374884220025</t>
  </si>
  <si>
    <t>73003296617</t>
  </si>
  <si>
    <t>4281197784956</t>
  </si>
  <si>
    <t>0084553297</t>
  </si>
  <si>
    <t>Dewi Pratama</t>
  </si>
  <si>
    <t>087436886061</t>
  </si>
  <si>
    <t>dewi.pratama@dumibumi.co.id</t>
  </si>
  <si>
    <t>709598720199151</t>
  </si>
  <si>
    <t>82725055991</t>
  </si>
  <si>
    <t>7530534521305</t>
  </si>
  <si>
    <t>8222713255</t>
  </si>
  <si>
    <t>Siti Hidayat</t>
  </si>
  <si>
    <t>siti.hidayat@dumibumi.co.id</t>
  </si>
  <si>
    <t>Farhan Kusuma</t>
  </si>
  <si>
    <t>farhan.kusuma@dumibumi.co.id</t>
  </si>
  <si>
    <t>Farhan Permata</t>
  </si>
  <si>
    <t>083007658580</t>
  </si>
  <si>
    <t>farhan.permata@dumibumi.co.id</t>
  </si>
  <si>
    <t>924206916648484</t>
  </si>
  <si>
    <t>72572281606</t>
  </si>
  <si>
    <t>4689461181583</t>
  </si>
  <si>
    <t>5777535686</t>
  </si>
  <si>
    <t>Putri Pratama</t>
  </si>
  <si>
    <t>putri.pratama@dumibumi.co.id</t>
  </si>
  <si>
    <t>Rizky Permata</t>
  </si>
  <si>
    <t>080774942620</t>
  </si>
  <si>
    <t>rizky.permata@dumibumi.co.id</t>
  </si>
  <si>
    <t>063449011015272</t>
  </si>
  <si>
    <t>33802505957</t>
  </si>
  <si>
    <t>8905850993780</t>
  </si>
  <si>
    <t>6664172510</t>
  </si>
  <si>
    <t>087844038398</t>
  </si>
  <si>
    <t>930199145743323</t>
  </si>
  <si>
    <t>18324990932</t>
  </si>
  <si>
    <t>3951704123279</t>
  </si>
  <si>
    <t>9843629728</t>
  </si>
  <si>
    <t>089998014789</t>
  </si>
  <si>
    <t>697817412081533</t>
  </si>
  <si>
    <t>02808925599</t>
  </si>
  <si>
    <t>2285754017046</t>
  </si>
  <si>
    <t>2075046802</t>
  </si>
  <si>
    <t>Indah Permata</t>
  </si>
  <si>
    <t>086008479119</t>
  </si>
  <si>
    <t>indah.permata@dumibumi.co.id</t>
  </si>
  <si>
    <t>366914497949253</t>
  </si>
  <si>
    <t>21110558421</t>
  </si>
  <si>
    <t>3145952742400</t>
  </si>
  <si>
    <t>8998390006</t>
  </si>
  <si>
    <t>Yoga Santoso</t>
  </si>
  <si>
    <t>yoga.santoso@dumibumi.co.id</t>
  </si>
  <si>
    <t>Rina Saputra</t>
  </si>
  <si>
    <t>rina.saputra@dumibumi.co.id</t>
  </si>
  <si>
    <t>Rudi Pratama</t>
  </si>
  <si>
    <t>080943735354</t>
  </si>
  <si>
    <t>rudi.pratama@dumibumi.co.id</t>
  </si>
  <si>
    <t>622887088395910</t>
  </si>
  <si>
    <t>17939393874</t>
  </si>
  <si>
    <t>8159265894847</t>
  </si>
  <si>
    <t>9532476458</t>
  </si>
  <si>
    <t>Indah Maulana</t>
  </si>
  <si>
    <t>indah.maulana@dumibumi.co.id</t>
  </si>
  <si>
    <t>Legal</t>
  </si>
  <si>
    <t>Legal Officer</t>
  </si>
  <si>
    <t>Aulia Nugroho</t>
  </si>
  <si>
    <t>085833466539</t>
  </si>
  <si>
    <t>aulia.nugroho@dumibumi.co.id</t>
  </si>
  <si>
    <t>287155813847630</t>
  </si>
  <si>
    <t>61464372887</t>
  </si>
  <si>
    <t>8069443593015</t>
  </si>
  <si>
    <t>1212942153</t>
  </si>
  <si>
    <t>086352494136</t>
  </si>
  <si>
    <t>087060350503219</t>
  </si>
  <si>
    <t>30708633962</t>
  </si>
  <si>
    <t>2687357548424</t>
  </si>
  <si>
    <t>1553426166</t>
  </si>
  <si>
    <t>Farhan Hidayat</t>
  </si>
  <si>
    <t>088511630784</t>
  </si>
  <si>
    <t>farhan.hidayat@dumibumi.co.id</t>
  </si>
  <si>
    <t>530051463293704</t>
  </si>
  <si>
    <t>81961592885</t>
  </si>
  <si>
    <t>7333600014646</t>
  </si>
  <si>
    <t>5118008110</t>
  </si>
  <si>
    <t>Yusuf Lestari</t>
  </si>
  <si>
    <t>yusuf.lestari@dumibumi.co.id</t>
  </si>
  <si>
    <t>Bayu Saputra</t>
  </si>
  <si>
    <t>080238954621</t>
  </si>
  <si>
    <t>bayu.saputra@dumibumi.co.id</t>
  </si>
  <si>
    <t>964989593787210</t>
  </si>
  <si>
    <t>46233110213</t>
  </si>
  <si>
    <t>8096405762706</t>
  </si>
  <si>
    <t>5155126677</t>
  </si>
  <si>
    <t>Putri Sari</t>
  </si>
  <si>
    <t>putri.sari@dumibumi.co.id</t>
  </si>
  <si>
    <t>Rina Santoso</t>
  </si>
  <si>
    <t>085660621926</t>
  </si>
  <si>
    <t>rina.santoso@dumibumi.co.id</t>
  </si>
  <si>
    <t>228502738515099</t>
  </si>
  <si>
    <t>18005874963</t>
  </si>
  <si>
    <t>0476618757445</t>
  </si>
  <si>
    <t>8875548764</t>
  </si>
  <si>
    <t>Yusuf Sari</t>
  </si>
  <si>
    <t>yusuf.sari@dumibumi.co.id</t>
  </si>
  <si>
    <t>Putri Kusuma</t>
  </si>
  <si>
    <t>putri.kusuma@dumibumi.co.id</t>
  </si>
  <si>
    <t>088146563187</t>
  </si>
  <si>
    <t>351455211424646</t>
  </si>
  <si>
    <t>51919289684</t>
  </si>
  <si>
    <t>0603490074491</t>
  </si>
  <si>
    <t>0258111755</t>
  </si>
  <si>
    <t>Nadia Pangestu</t>
  </si>
  <si>
    <t>nadia.pangestu@dumibumi.co.id</t>
  </si>
  <si>
    <t>Rahmat Ramadhan</t>
  </si>
  <si>
    <t>081556367087</t>
  </si>
  <si>
    <t>rahmat.ramadhan@dumibumi.co.id</t>
  </si>
  <si>
    <t>890286155303937</t>
  </si>
  <si>
    <t>84806961962</t>
  </si>
  <si>
    <t>6793567439666</t>
  </si>
  <si>
    <t>3465114169</t>
  </si>
  <si>
    <t>083242325563</t>
  </si>
  <si>
    <t>891782551015548</t>
  </si>
  <si>
    <t>22436156760</t>
  </si>
  <si>
    <t>4555286765186</t>
  </si>
  <si>
    <t>7868211982</t>
  </si>
  <si>
    <t>Indah Saputra</t>
  </si>
  <si>
    <t>081796317337</t>
  </si>
  <si>
    <t>indah.saputra@dumibumi.co.id</t>
  </si>
  <si>
    <t>163453660811325</t>
  </si>
  <si>
    <t>21456815181</t>
  </si>
  <si>
    <t>2568381463485</t>
  </si>
  <si>
    <t>7878359876</t>
  </si>
  <si>
    <t>Rahmat Pangestu</t>
  </si>
  <si>
    <t>087022678176</t>
  </si>
  <si>
    <t>rahmat.pangestu@dumibumi.co.id</t>
  </si>
  <si>
    <t>706319753057026</t>
  </si>
  <si>
    <t>50120175189</t>
  </si>
  <si>
    <t>5741866233529</t>
  </si>
  <si>
    <t>6686784624</t>
  </si>
  <si>
    <t>080894371513</t>
  </si>
  <si>
    <t>586811979039201</t>
  </si>
  <si>
    <t>55488179986</t>
  </si>
  <si>
    <t>0719092742197</t>
  </si>
  <si>
    <t>7849485292</t>
  </si>
  <si>
    <t>088740339410</t>
  </si>
  <si>
    <t>979865640170483</t>
  </si>
  <si>
    <t>45514281920</t>
  </si>
  <si>
    <t>5273870890114</t>
  </si>
  <si>
    <t>7506713448</t>
  </si>
  <si>
    <t>084506094057</t>
  </si>
  <si>
    <t>310517269764076</t>
  </si>
  <si>
    <t>21143615666</t>
  </si>
  <si>
    <t>9231851433536</t>
  </si>
  <si>
    <t>4573727421</t>
  </si>
  <si>
    <t>Aulia Maulana</t>
  </si>
  <si>
    <t>aulia.maulana@dumibumi.co.id</t>
  </si>
  <si>
    <t>Fajar Ramadhan</t>
  </si>
  <si>
    <t>fajar.ramadhan@dumibumi.co.id</t>
  </si>
  <si>
    <t>Rahmat Santoso</t>
  </si>
  <si>
    <t>rahmat.santoso@dumibumi.co.id</t>
  </si>
  <si>
    <t>Andi Ramadhan</t>
  </si>
  <si>
    <t>andi.ramadhan@dumibumi.co.id</t>
  </si>
  <si>
    <t>Rizky Saputra</t>
  </si>
  <si>
    <t>082807659302</t>
  </si>
  <si>
    <t>rizky.saputra@dumibumi.co.id</t>
  </si>
  <si>
    <t>091889193191889</t>
  </si>
  <si>
    <t>72882444400</t>
  </si>
  <si>
    <t>7863008197861</t>
  </si>
  <si>
    <t>5492451375</t>
  </si>
  <si>
    <t>084516707178</t>
  </si>
  <si>
    <t>937009148998113</t>
  </si>
  <si>
    <t>72008129905</t>
  </si>
  <si>
    <t>2326690143540</t>
  </si>
  <si>
    <t>9553316196</t>
  </si>
  <si>
    <t>Budi Permata</t>
  </si>
  <si>
    <t>budi.permata@dumibumi.co.id</t>
  </si>
  <si>
    <t>088430457461</t>
  </si>
  <si>
    <t>472474692237260</t>
  </si>
  <si>
    <t>52744204891</t>
  </si>
  <si>
    <t>6528709186585</t>
  </si>
  <si>
    <t>3586748601</t>
  </si>
  <si>
    <t>Putri Wijaya</t>
  </si>
  <si>
    <t>080449873471</t>
  </si>
  <si>
    <t>putri.wijaya@dumibumi.co.id</t>
  </si>
  <si>
    <t>957847087399961</t>
  </si>
  <si>
    <t>50129118103</t>
  </si>
  <si>
    <t>7820379445141</t>
  </si>
  <si>
    <t>6236913311</t>
  </si>
  <si>
    <t>085546275982</t>
  </si>
  <si>
    <t>539715317470056</t>
  </si>
  <si>
    <t>59132819113</t>
  </si>
  <si>
    <t>3036981076334</t>
  </si>
  <si>
    <t>5090672520</t>
  </si>
  <si>
    <t>Yoga Pratama</t>
  </si>
  <si>
    <t>086918751143</t>
  </si>
  <si>
    <t>yoga.pratama@dumibumi.co.id</t>
  </si>
  <si>
    <t>001088141153557</t>
  </si>
  <si>
    <t>09272279687</t>
  </si>
  <si>
    <t>7044400568716</t>
  </si>
  <si>
    <t>0657814922</t>
  </si>
  <si>
    <t>Siti Santoso</t>
  </si>
  <si>
    <t>084438235437</t>
  </si>
  <si>
    <t>siti.santoso@dumibumi.co.id</t>
  </si>
  <si>
    <t>807933785158917</t>
  </si>
  <si>
    <t>14406096487</t>
  </si>
  <si>
    <t>7575468383648</t>
  </si>
  <si>
    <t>1841319612</t>
  </si>
  <si>
    <t>Andi Saputra</t>
  </si>
  <si>
    <t>083659168085</t>
  </si>
  <si>
    <t>andi.saputra@dumibumi.co.id</t>
  </si>
  <si>
    <t>627480348906267</t>
  </si>
  <si>
    <t>04199748192</t>
  </si>
  <si>
    <t>6414079683781</t>
  </si>
  <si>
    <t>7332954844</t>
  </si>
  <si>
    <t>Dedi Sari</t>
  </si>
  <si>
    <t>081590992749</t>
  </si>
  <si>
    <t>dedi.sari@dumibumi.co.id</t>
  </si>
  <si>
    <t>708946588737673</t>
  </si>
  <si>
    <t>75413206314</t>
  </si>
  <si>
    <t>0275280076540</t>
  </si>
  <si>
    <t>8876631178</t>
  </si>
  <si>
    <t>088482832207</t>
  </si>
  <si>
    <t>222635371015359</t>
  </si>
  <si>
    <t>55677325613</t>
  </si>
  <si>
    <t>5210410376198</t>
  </si>
  <si>
    <t>3973522993</t>
  </si>
  <si>
    <t>Rahmat Sari</t>
  </si>
  <si>
    <t>085924915246</t>
  </si>
  <si>
    <t>rahmat.sari@dumibumi.co.id</t>
  </si>
  <si>
    <t>540277186551806</t>
  </si>
  <si>
    <t>94017642701</t>
  </si>
  <si>
    <t>1768776201580</t>
  </si>
  <si>
    <t>4882033835</t>
  </si>
  <si>
    <t>080585597748</t>
  </si>
  <si>
    <t>078748795276794</t>
  </si>
  <si>
    <t>78842445158</t>
  </si>
  <si>
    <t>4452222450728</t>
  </si>
  <si>
    <t>0733461170</t>
  </si>
  <si>
    <t>Lina Pangestu</t>
  </si>
  <si>
    <t>081700930244</t>
  </si>
  <si>
    <t>lina.pangestu@dumibumi.co.id</t>
  </si>
  <si>
    <t>461029377867132</t>
  </si>
  <si>
    <t>94027816714</t>
  </si>
  <si>
    <t>7745424691897</t>
  </si>
  <si>
    <t>8609837060</t>
  </si>
  <si>
    <t>084144375078</t>
  </si>
  <si>
    <t>767818736038188</t>
  </si>
  <si>
    <t>87353729586</t>
  </si>
  <si>
    <t>6201709123686</t>
  </si>
  <si>
    <t>3976531657</t>
  </si>
  <si>
    <t>081086801644</t>
  </si>
  <si>
    <t>919036740483532</t>
  </si>
  <si>
    <t>47935127686</t>
  </si>
  <si>
    <t>7097733620479</t>
  </si>
  <si>
    <t>6969380214</t>
  </si>
  <si>
    <t>Rina Sari</t>
  </si>
  <si>
    <t>085305052617</t>
  </si>
  <si>
    <t>rina.sari@dumibumi.co.id</t>
  </si>
  <si>
    <t>878573998339648</t>
  </si>
  <si>
    <t>94077887033</t>
  </si>
  <si>
    <t>8282412016485</t>
  </si>
  <si>
    <t>2710411291</t>
  </si>
  <si>
    <t>Dewi Hidayat</t>
  </si>
  <si>
    <t>dewi.hidayat@dumibumi.co.id</t>
  </si>
  <si>
    <t>088734279115</t>
  </si>
  <si>
    <t>862783453320730</t>
  </si>
  <si>
    <t>45050155657</t>
  </si>
  <si>
    <t>4165346900742</t>
  </si>
  <si>
    <t>5212673672</t>
  </si>
  <si>
    <t>Farhan Saputra</t>
  </si>
  <si>
    <t>083789697943</t>
  </si>
  <si>
    <t>farhan.saputra@dumibumi.co.id</t>
  </si>
  <si>
    <t>757361029654409</t>
  </si>
  <si>
    <t>13360417968</t>
  </si>
  <si>
    <t>9321812530034</t>
  </si>
  <si>
    <t>1900856574</t>
  </si>
  <si>
    <t>Indah Pratama</t>
  </si>
  <si>
    <t>085728245782</t>
  </si>
  <si>
    <t>indah.pratama@dumibumi.co.id</t>
  </si>
  <si>
    <t>823460245458136</t>
  </si>
  <si>
    <t>85181996130</t>
  </si>
  <si>
    <t>0015117678528</t>
  </si>
  <si>
    <t>6179363152</t>
  </si>
  <si>
    <t>Yoga Sari</t>
  </si>
  <si>
    <t>yoga.sari@dumibumi.co.id</t>
  </si>
  <si>
    <t>084374168472</t>
  </si>
  <si>
    <t>276325916001612</t>
  </si>
  <si>
    <t>22020722047</t>
  </si>
  <si>
    <t>7938888365555</t>
  </si>
  <si>
    <t>1226160805</t>
  </si>
  <si>
    <t>082891955195</t>
  </si>
  <si>
    <t>104402335448840</t>
  </si>
  <si>
    <t>22165667986</t>
  </si>
  <si>
    <t>3126736271019</t>
  </si>
  <si>
    <t>9107113666</t>
  </si>
  <si>
    <t>Yoga Permata</t>
  </si>
  <si>
    <t>088895007865</t>
  </si>
  <si>
    <t>yoga.permata@dumibumi.co.id</t>
  </si>
  <si>
    <t>618836582434467</t>
  </si>
  <si>
    <t>11052942596</t>
  </si>
  <si>
    <t>8997513813118</t>
  </si>
  <si>
    <t>4654570280</t>
  </si>
  <si>
    <t>Aulia Kusuma</t>
  </si>
  <si>
    <t>085964897453</t>
  </si>
  <si>
    <t>aulia.kusuma@dumibumi.co.id</t>
  </si>
  <si>
    <t>143803499431951</t>
  </si>
  <si>
    <t>06411236925</t>
  </si>
  <si>
    <t>8723672671458</t>
  </si>
  <si>
    <t>4821837876</t>
  </si>
  <si>
    <t>087489139759</t>
  </si>
  <si>
    <t>507185011952627</t>
  </si>
  <si>
    <t>88817614875</t>
  </si>
  <si>
    <t>7853449624885</t>
  </si>
  <si>
    <t>4896614579</t>
  </si>
  <si>
    <t>081984483820</t>
  </si>
  <si>
    <t>820254994747861</t>
  </si>
  <si>
    <t>09241000247</t>
  </si>
  <si>
    <t>4067667977150</t>
  </si>
  <si>
    <t>7562380157</t>
  </si>
  <si>
    <t>Yusuf Pratama</t>
  </si>
  <si>
    <t>yusuf.pratama@dumibumi.co.id</t>
  </si>
  <si>
    <t>Budi Hidayat</t>
  </si>
  <si>
    <t>085479905718</t>
  </si>
  <si>
    <t>budi.hidayat@dumibumi.co.id</t>
  </si>
  <si>
    <t>656667799472908</t>
  </si>
  <si>
    <t>12739079843</t>
  </si>
  <si>
    <t>1485264714899</t>
  </si>
  <si>
    <t>0359637095</t>
  </si>
  <si>
    <t>Rudi Lestari</t>
  </si>
  <si>
    <t>086279933565</t>
  </si>
  <si>
    <t>rudi.lestari@dumibumi.co.id</t>
  </si>
  <si>
    <t>490769791204565</t>
  </si>
  <si>
    <t>83251599547</t>
  </si>
  <si>
    <t>4773687220575</t>
  </si>
  <si>
    <t>8673316611</t>
  </si>
  <si>
    <t>Rizky Utami</t>
  </si>
  <si>
    <t>rizky.utami@dumibumi.co.id</t>
  </si>
  <si>
    <t>Rudi Maulana</t>
  </si>
  <si>
    <t>rudi.maulana@dumibumi.co.id</t>
  </si>
  <si>
    <t>Dewi Wijaya</t>
  </si>
  <si>
    <t>083796185600</t>
  </si>
  <si>
    <t>dewi.wijaya@dumibumi.co.id</t>
  </si>
  <si>
    <t>138246243135872</t>
  </si>
  <si>
    <t>44022479767</t>
  </si>
  <si>
    <t>7679086809357</t>
  </si>
  <si>
    <t>2337743036</t>
  </si>
  <si>
    <t>Rizky Nugroho</t>
  </si>
  <si>
    <t>089418922823</t>
  </si>
  <si>
    <t>rizky.nugroho@dumibumi.co.id</t>
  </si>
  <si>
    <t>244031643913590</t>
  </si>
  <si>
    <t>73731593225</t>
  </si>
  <si>
    <t>1981507611524</t>
  </si>
  <si>
    <t>3770960777</t>
  </si>
  <si>
    <t>083480227307</t>
  </si>
  <si>
    <t>420779676204842</t>
  </si>
  <si>
    <t>52066772425</t>
  </si>
  <si>
    <t>8770238491848</t>
  </si>
  <si>
    <t>3940414243</t>
  </si>
  <si>
    <t>081946122698</t>
  </si>
  <si>
    <t>568627590344870</t>
  </si>
  <si>
    <t>52190998668</t>
  </si>
  <si>
    <t>6910752673241</t>
  </si>
  <si>
    <t>3427360116</t>
  </si>
  <si>
    <t>Andi Hidayat</t>
  </si>
  <si>
    <t>andi.hidayat@dumibumi.co.id</t>
  </si>
  <si>
    <t>Agus Kurniawan</t>
  </si>
  <si>
    <t>agus.kurniawan@dumibumi.co.id</t>
  </si>
  <si>
    <t>Andi Kurniawan</t>
  </si>
  <si>
    <t>082736493864</t>
  </si>
  <si>
    <t>andi.kurniawan@dumibumi.co.id</t>
  </si>
  <si>
    <t>029922269024118</t>
  </si>
  <si>
    <t>53235184673</t>
  </si>
  <si>
    <t>8247250900831</t>
  </si>
  <si>
    <t>1901890482</t>
  </si>
  <si>
    <t>Fajar Lestari</t>
  </si>
  <si>
    <t>089073687528</t>
  </si>
  <si>
    <t>fajar.lestari@dumibumi.co.id</t>
  </si>
  <si>
    <t>683412741007311</t>
  </si>
  <si>
    <t>72088312790</t>
  </si>
  <si>
    <t>2128275164340</t>
  </si>
  <si>
    <t>2243390503</t>
  </si>
  <si>
    <t>Aulia Wijaya</t>
  </si>
  <si>
    <t>080397593061</t>
  </si>
  <si>
    <t>aulia.wijaya@dumibumi.co.id</t>
  </si>
  <si>
    <t>366164511585083</t>
  </si>
  <si>
    <t>52628474546</t>
  </si>
  <si>
    <t>2472644929257</t>
  </si>
  <si>
    <t>0653257942</t>
  </si>
  <si>
    <t>Lina Maulana</t>
  </si>
  <si>
    <t>083741758668</t>
  </si>
  <si>
    <t>lina.maulana@dumibumi.co.id</t>
  </si>
  <si>
    <t>772190670310918</t>
  </si>
  <si>
    <t>43544912064</t>
  </si>
  <si>
    <t>1576019560026</t>
  </si>
  <si>
    <t>5189826662</t>
  </si>
  <si>
    <t>085942105504</t>
  </si>
  <si>
    <t>396051673655490</t>
  </si>
  <si>
    <t>11679493985</t>
  </si>
  <si>
    <t>1564773280244</t>
  </si>
  <si>
    <t>5017712831</t>
  </si>
  <si>
    <t>Nadia Hidayat</t>
  </si>
  <si>
    <t>081574338885</t>
  </si>
  <si>
    <t>nadia.hidayat@dumibumi.co.id</t>
  </si>
  <si>
    <t>927401037922305</t>
  </si>
  <si>
    <t>10466971453</t>
  </si>
  <si>
    <t>3101054984658</t>
  </si>
  <si>
    <t>7214975040</t>
  </si>
  <si>
    <t>Dedi Lestari</t>
  </si>
  <si>
    <t>dedi.lestari@dumibumi.co.id</t>
  </si>
  <si>
    <t>Dedi Saputra</t>
  </si>
  <si>
    <t>dedi.saputra@dumibumi.co.id</t>
  </si>
  <si>
    <t>088021336142</t>
  </si>
  <si>
    <t>930864167101961</t>
  </si>
  <si>
    <t>11438546054</t>
  </si>
  <si>
    <t>8323047658039</t>
  </si>
  <si>
    <t>0446261013</t>
  </si>
  <si>
    <t>080931955459</t>
  </si>
  <si>
    <t>544369555345556</t>
  </si>
  <si>
    <t>75285941818</t>
  </si>
  <si>
    <t>8437463760121</t>
  </si>
  <si>
    <t>4014998198</t>
  </si>
  <si>
    <t>Yusuf Pangestu</t>
  </si>
  <si>
    <t>yusuf.pangestu@dumibumi.co.id</t>
  </si>
  <si>
    <t>Rudi Saputra</t>
  </si>
  <si>
    <t>080186359431</t>
  </si>
  <si>
    <t>rudi.saputra@dumibumi.co.id</t>
  </si>
  <si>
    <t>428422055744441</t>
  </si>
  <si>
    <t>20032461858</t>
  </si>
  <si>
    <t>6902535603224</t>
  </si>
  <si>
    <t>3288481171</t>
  </si>
  <si>
    <t>Lina Hidayat</t>
  </si>
  <si>
    <t>086677373190</t>
  </si>
  <si>
    <t>lina.hidayat@dumibumi.co.id</t>
  </si>
  <si>
    <t>137998657494305</t>
  </si>
  <si>
    <t>38659418575</t>
  </si>
  <si>
    <t>1784830111456</t>
  </si>
  <si>
    <t>6435460054</t>
  </si>
  <si>
    <t>080103870695</t>
  </si>
  <si>
    <t>312349785889469</t>
  </si>
  <si>
    <t>72239673344</t>
  </si>
  <si>
    <t>1421731690612</t>
  </si>
  <si>
    <t>9164542498</t>
  </si>
  <si>
    <t>Budi Wijaya</t>
  </si>
  <si>
    <t>086095130435</t>
  </si>
  <si>
    <t>budi.wijaya@dumibumi.co.id</t>
  </si>
  <si>
    <t>509150645203487</t>
  </si>
  <si>
    <t>84223991152</t>
  </si>
  <si>
    <t>3312690053797</t>
  </si>
  <si>
    <t>4309145952</t>
  </si>
  <si>
    <t>088171071963</t>
  </si>
  <si>
    <t>711063251024475</t>
  </si>
  <si>
    <t>57285279224</t>
  </si>
  <si>
    <t>7513719268950</t>
  </si>
  <si>
    <t>2967249438</t>
  </si>
  <si>
    <t>089866785779</t>
  </si>
  <si>
    <t>195065836024436</t>
  </si>
  <si>
    <t>93733135915</t>
  </si>
  <si>
    <t>3006394262150</t>
  </si>
  <si>
    <t>2056683679</t>
  </si>
  <si>
    <t>080005406101</t>
  </si>
  <si>
    <t>765917025389976</t>
  </si>
  <si>
    <t>22117213315</t>
  </si>
  <si>
    <t>8818479735058</t>
  </si>
  <si>
    <t>1727965861</t>
  </si>
  <si>
    <t>083298962048</t>
  </si>
  <si>
    <t>516408619761215</t>
  </si>
  <si>
    <t>55514854387</t>
  </si>
  <si>
    <t>6089088651935</t>
  </si>
  <si>
    <t>8214244657</t>
  </si>
  <si>
    <t>Andi Nugroho</t>
  </si>
  <si>
    <t>089131066421</t>
  </si>
  <si>
    <t>andi.nugroho@dumibumi.co.id</t>
  </si>
  <si>
    <t>773875797785050</t>
  </si>
  <si>
    <t>35158517817</t>
  </si>
  <si>
    <t>4722148497201</t>
  </si>
  <si>
    <t>7612205918</t>
  </si>
  <si>
    <t>Fajar Kusuma</t>
  </si>
  <si>
    <t>087053243478</t>
  </si>
  <si>
    <t>fajar.kusuma@dumibumi.co.id</t>
  </si>
  <si>
    <t>618648607137565</t>
  </si>
  <si>
    <t>04325330238</t>
  </si>
  <si>
    <t>4316629142081</t>
  </si>
  <si>
    <t>8147317475</t>
  </si>
  <si>
    <t>085075022496</t>
  </si>
  <si>
    <t>619718234332321</t>
  </si>
  <si>
    <t>82027550008</t>
  </si>
  <si>
    <t>7015214224884</t>
  </si>
  <si>
    <t>1788751524</t>
  </si>
  <si>
    <t>082466795969</t>
  </si>
  <si>
    <t>560980240575843</t>
  </si>
  <si>
    <t>79695900450</t>
  </si>
  <si>
    <t>3670292841036</t>
  </si>
  <si>
    <t>9921229167</t>
  </si>
  <si>
    <t>086341346805</t>
  </si>
  <si>
    <t>299971637250247</t>
  </si>
  <si>
    <t>55549966415</t>
  </si>
  <si>
    <t>0038918465582</t>
  </si>
  <si>
    <t>6261602695</t>
  </si>
  <si>
    <t>Rudi Kurniawan</t>
  </si>
  <si>
    <t>087204231691</t>
  </si>
  <si>
    <t>rudi.kurniawan@dumibumi.co.id</t>
  </si>
  <si>
    <t>196455974387887</t>
  </si>
  <si>
    <t>45622424281</t>
  </si>
  <si>
    <t>8908900386871</t>
  </si>
  <si>
    <t>0988499606</t>
  </si>
  <si>
    <t>087247620318</t>
  </si>
  <si>
    <t>603294177673869</t>
  </si>
  <si>
    <t>59883694700</t>
  </si>
  <si>
    <t>5647379820679</t>
  </si>
  <si>
    <t>8987750216</t>
  </si>
  <si>
    <t>089789865557</t>
  </si>
  <si>
    <t>676232395587005</t>
  </si>
  <si>
    <t>30520742091</t>
  </si>
  <si>
    <t>9405102500697</t>
  </si>
  <si>
    <t>6224325677</t>
  </si>
  <si>
    <t>082371861305</t>
  </si>
  <si>
    <t>015348766269718</t>
  </si>
  <si>
    <t>10437416921</t>
  </si>
  <si>
    <t>2437941095058</t>
  </si>
  <si>
    <t>5269964020</t>
  </si>
  <si>
    <t>089298086760</t>
  </si>
  <si>
    <t>410262291636366</t>
  </si>
  <si>
    <t>40660769840</t>
  </si>
  <si>
    <t>4925611989804</t>
  </si>
  <si>
    <t>4399441423</t>
  </si>
  <si>
    <t>Agus Kusuma</t>
  </si>
  <si>
    <t>087896851971</t>
  </si>
  <si>
    <t>agus.kusuma@dumibumi.co.id</t>
  </si>
  <si>
    <t>607960383268142</t>
  </si>
  <si>
    <t>50073045078</t>
  </si>
  <si>
    <t>9656030976614</t>
  </si>
  <si>
    <t>9062586252</t>
  </si>
  <si>
    <t>089052648132</t>
  </si>
  <si>
    <t>3569296048240</t>
  </si>
  <si>
    <t>0005739431</t>
  </si>
  <si>
    <t>085260481072</t>
  </si>
  <si>
    <t>898580959671097</t>
  </si>
  <si>
    <t>20138717801</t>
  </si>
  <si>
    <t>5258356430797</t>
  </si>
  <si>
    <t>8653306075</t>
  </si>
  <si>
    <t>088848556100</t>
  </si>
  <si>
    <t>415106229033344</t>
  </si>
  <si>
    <t>84955892422</t>
  </si>
  <si>
    <t>5956247543639</t>
  </si>
  <si>
    <t>2730702609</t>
  </si>
  <si>
    <t>085123852075</t>
  </si>
  <si>
    <t>900325623936449</t>
  </si>
  <si>
    <t>62991237460</t>
  </si>
  <si>
    <t>2658490175403</t>
  </si>
  <si>
    <t>1635237309</t>
  </si>
  <si>
    <t>Fajar Saputra</t>
  </si>
  <si>
    <t>080993139962</t>
  </si>
  <si>
    <t>fajar.saputra@dumibumi.co.id</t>
  </si>
  <si>
    <t>494080087700032</t>
  </si>
  <si>
    <t>47670283666</t>
  </si>
  <si>
    <t>1929086667506</t>
  </si>
  <si>
    <t>3785409084</t>
  </si>
  <si>
    <t>Budi Sari</t>
  </si>
  <si>
    <t>087493689897</t>
  </si>
  <si>
    <t>budi.sari@dumibumi.co.id</t>
  </si>
  <si>
    <t>172514489791932</t>
  </si>
  <si>
    <t>64170768912</t>
  </si>
  <si>
    <t>5142778299941</t>
  </si>
  <si>
    <t>6089959938</t>
  </si>
  <si>
    <t>Rina Utami</t>
  </si>
  <si>
    <t>rina.utami@dumibumi.co.id</t>
  </si>
  <si>
    <t>084817777685</t>
  </si>
  <si>
    <t>agus.lestari@dumibumi.co.id</t>
  </si>
  <si>
    <t>984257641344193</t>
  </si>
  <si>
    <t>08636345333</t>
  </si>
  <si>
    <t>2485251760971</t>
  </si>
  <si>
    <t>1803200008</t>
  </si>
  <si>
    <t>080859995183</t>
  </si>
  <si>
    <t>918819269665278</t>
  </si>
  <si>
    <t>02849775074</t>
  </si>
  <si>
    <t>7001673044632</t>
  </si>
  <si>
    <t>1906250925</t>
  </si>
  <si>
    <t>Rina Ramadhan</t>
  </si>
  <si>
    <t>083192276511</t>
  </si>
  <si>
    <t>rina.ramadhan@dumibumi.co.id</t>
  </si>
  <si>
    <t>161139277391372</t>
  </si>
  <si>
    <t>56065684159</t>
  </si>
  <si>
    <t>4243299342631</t>
  </si>
  <si>
    <t>7085364136</t>
  </si>
  <si>
    <t>085629130048</t>
  </si>
  <si>
    <t>915998160531725</t>
  </si>
  <si>
    <t>84289639921</t>
  </si>
  <si>
    <t>7801491442136</t>
  </si>
  <si>
    <t>1516175900</t>
  </si>
  <si>
    <t>Budi Saputra</t>
  </si>
  <si>
    <t>085265322441</t>
  </si>
  <si>
    <t>budi.saputra@dumibumi.co.id</t>
  </si>
  <si>
    <t>180010361491525</t>
  </si>
  <si>
    <t>09086446632</t>
  </si>
  <si>
    <t>6330097262874</t>
  </si>
  <si>
    <t>0675851465</t>
  </si>
  <si>
    <t>Nadia Sari</t>
  </si>
  <si>
    <t>086546053446</t>
  </si>
  <si>
    <t>nadia.sari@dumibumi.co.id</t>
  </si>
  <si>
    <t>749289477607999</t>
  </si>
  <si>
    <t>82530374899</t>
  </si>
  <si>
    <t>8208103921973</t>
  </si>
  <si>
    <t>8847648721</t>
  </si>
  <si>
    <t>087007285145</t>
  </si>
  <si>
    <t>486905188253644</t>
  </si>
  <si>
    <t>60617061130</t>
  </si>
  <si>
    <t>4526393935418</t>
  </si>
  <si>
    <t>3797622751</t>
  </si>
  <si>
    <t>Rahmat Lestari</t>
  </si>
  <si>
    <t>082312610009</t>
  </si>
  <si>
    <t>rahmat.lestari@dumibumi.co.id</t>
  </si>
  <si>
    <t>418766850717914</t>
  </si>
  <si>
    <t>08783359730</t>
  </si>
  <si>
    <t>7333926949123</t>
  </si>
  <si>
    <t>3100631148</t>
  </si>
  <si>
    <t>Indah Ramadhan</t>
  </si>
  <si>
    <t>indah.ramadhan@dumibumi.co.id</t>
  </si>
  <si>
    <t>087758563674</t>
  </si>
  <si>
    <t>721539562416585</t>
  </si>
  <si>
    <t>53593179686</t>
  </si>
  <si>
    <t>6280506357902</t>
  </si>
  <si>
    <t>3400274517</t>
  </si>
  <si>
    <t>081053779680</t>
  </si>
  <si>
    <t>545550403235407</t>
  </si>
  <si>
    <t>75118732223</t>
  </si>
  <si>
    <t>6123982267341</t>
  </si>
  <si>
    <t>7939486441</t>
  </si>
  <si>
    <t>086711232999</t>
  </si>
  <si>
    <t>205474012330126</t>
  </si>
  <si>
    <t>16523507644</t>
  </si>
  <si>
    <t>2434280652279</t>
  </si>
  <si>
    <t>9927022456</t>
  </si>
  <si>
    <t>086088448222</t>
  </si>
  <si>
    <t>072067113943937</t>
  </si>
  <si>
    <t>47229126832</t>
  </si>
  <si>
    <t>4535345077903</t>
  </si>
  <si>
    <t>3683094921</t>
  </si>
  <si>
    <t>Dedi Pangestu</t>
  </si>
  <si>
    <t>088847656801</t>
  </si>
  <si>
    <t>dedi.pangestu@dumibumi.co.id</t>
  </si>
  <si>
    <t>357692346975237</t>
  </si>
  <si>
    <t>44942536257</t>
  </si>
  <si>
    <t>6637140601673</t>
  </si>
  <si>
    <t>0780035906</t>
  </si>
  <si>
    <t>Fajar Kurniawan</t>
  </si>
  <si>
    <t>fajar.kurniawan@dumibumi.co.id</t>
  </si>
  <si>
    <t>085137067219</t>
  </si>
  <si>
    <t>801446996424805</t>
  </si>
  <si>
    <t>79209407126</t>
  </si>
  <si>
    <t>7933642516424</t>
  </si>
  <si>
    <t>4776206322</t>
  </si>
  <si>
    <t>Bayu Permata</t>
  </si>
  <si>
    <t>084279200977</t>
  </si>
  <si>
    <t>bayu.permata@dumibumi.co.id</t>
  </si>
  <si>
    <t>939627527675187</t>
  </si>
  <si>
    <t>65749578703</t>
  </si>
  <si>
    <t>7532272619977</t>
  </si>
  <si>
    <t>5037526261</t>
  </si>
  <si>
    <t>Andi Kusuma</t>
  </si>
  <si>
    <t>088051136555</t>
  </si>
  <si>
    <t>andi.kusuma@dumibumi.co.id</t>
  </si>
  <si>
    <t>465511070704202</t>
  </si>
  <si>
    <t>41152701533</t>
  </si>
  <si>
    <t>9385114384873</t>
  </si>
  <si>
    <t>6327485242</t>
  </si>
  <si>
    <t>085817996898</t>
  </si>
  <si>
    <t>457138765299420</t>
  </si>
  <si>
    <t>29131739991</t>
  </si>
  <si>
    <t>1510407008885</t>
  </si>
  <si>
    <t>0665090539</t>
  </si>
  <si>
    <t>Rudi Utami</t>
  </si>
  <si>
    <t>087473117585</t>
  </si>
  <si>
    <t>rudi.utami@dumibumi.co.id</t>
  </si>
  <si>
    <t>278428080134562</t>
  </si>
  <si>
    <t>93005294671</t>
  </si>
  <si>
    <t>6451987582705</t>
  </si>
  <si>
    <t>2428715760</t>
  </si>
  <si>
    <t>081777035231</t>
  </si>
  <si>
    <t>468167542165060</t>
  </si>
  <si>
    <t>78355514459</t>
  </si>
  <si>
    <t>8523902549763</t>
  </si>
  <si>
    <t>3687726198</t>
  </si>
  <si>
    <t>Dewi Sari</t>
  </si>
  <si>
    <t>087685367471</t>
  </si>
  <si>
    <t>dewi.sari@dumibumi.co.id</t>
  </si>
  <si>
    <t>263396533418708</t>
  </si>
  <si>
    <t>93397124597</t>
  </si>
  <si>
    <t>3914679964832</t>
  </si>
  <si>
    <t>9298907969</t>
  </si>
  <si>
    <t>083567747160</t>
  </si>
  <si>
    <t>276638162677456</t>
  </si>
  <si>
    <t>97276228254</t>
  </si>
  <si>
    <t>7665955410590</t>
  </si>
  <si>
    <t>0077587033</t>
  </si>
  <si>
    <t>088229431364</t>
  </si>
  <si>
    <t>710084714724340</t>
  </si>
  <si>
    <t>72221211046</t>
  </si>
  <si>
    <t>8011385192947</t>
  </si>
  <si>
    <t>8127635485</t>
  </si>
  <si>
    <t>081657029772</t>
  </si>
  <si>
    <t>925022216370362</t>
  </si>
  <si>
    <t>74870192150</t>
  </si>
  <si>
    <t>9937586667761</t>
  </si>
  <si>
    <t>8845491505</t>
  </si>
  <si>
    <t>087695039746</t>
  </si>
  <si>
    <t>828882004717425</t>
  </si>
  <si>
    <t>55597668759</t>
  </si>
  <si>
    <t>8721093658871</t>
  </si>
  <si>
    <t>5420497304</t>
  </si>
  <si>
    <t>081066425459</t>
  </si>
  <si>
    <t>814099587725947</t>
  </si>
  <si>
    <t>68231931358</t>
  </si>
  <si>
    <t>2297446825680</t>
  </si>
  <si>
    <t>0792357627</t>
  </si>
  <si>
    <t>Budi Utami</t>
  </si>
  <si>
    <t>086708602072</t>
  </si>
  <si>
    <t>budi.utami@dumibumi.co.id</t>
  </si>
  <si>
    <t>142310628661927</t>
  </si>
  <si>
    <t>61373342832</t>
  </si>
  <si>
    <t>5699370584580</t>
  </si>
  <si>
    <t>1953584360</t>
  </si>
  <si>
    <t>Siti Nugroho</t>
  </si>
  <si>
    <t>089055181705</t>
  </si>
  <si>
    <t>siti.nugroho@dumibumi.co.id</t>
  </si>
  <si>
    <t>358141962209613</t>
  </si>
  <si>
    <t>06889378287</t>
  </si>
  <si>
    <t>7922521037898</t>
  </si>
  <si>
    <t>3424772402</t>
  </si>
  <si>
    <t>083678478228</t>
  </si>
  <si>
    <t>450631877727969</t>
  </si>
  <si>
    <t>27869542250</t>
  </si>
  <si>
    <t>5506605161362</t>
  </si>
  <si>
    <t>2759042572</t>
  </si>
  <si>
    <t>080598971169</t>
  </si>
  <si>
    <t>128349650931857</t>
  </si>
  <si>
    <t>35568622013</t>
  </si>
  <si>
    <t>9620653791270</t>
  </si>
  <si>
    <t>5633687561</t>
  </si>
  <si>
    <t>088250900446</t>
  </si>
  <si>
    <t>464695634614050</t>
  </si>
  <si>
    <t>07637763553</t>
  </si>
  <si>
    <t>9628447519189</t>
  </si>
  <si>
    <t>6032042040</t>
  </si>
  <si>
    <t>087736661546</t>
  </si>
  <si>
    <t>473428732411562</t>
  </si>
  <si>
    <t>05890487741</t>
  </si>
  <si>
    <t>4827775470500</t>
  </si>
  <si>
    <t>1745641355</t>
  </si>
  <si>
    <t>Nadia Utami</t>
  </si>
  <si>
    <t>086654819118</t>
  </si>
  <si>
    <t>nadia.utami@dumibumi.co.id</t>
  </si>
  <si>
    <t>440799591086582</t>
  </si>
  <si>
    <t>48137817213</t>
  </si>
  <si>
    <t>0673494265925</t>
  </si>
  <si>
    <t>8293009816</t>
  </si>
  <si>
    <t>Nadia Kusuma</t>
  </si>
  <si>
    <t>086035963276</t>
  </si>
  <si>
    <t>nadia.kusuma@dumibumi.co.id</t>
  </si>
  <si>
    <t>563404768625934</t>
  </si>
  <si>
    <t>78082684373</t>
  </si>
  <si>
    <t>9314776012877</t>
  </si>
  <si>
    <t>8162934541</t>
  </si>
  <si>
    <t>083040551531</t>
  </si>
  <si>
    <t>688059400228650</t>
  </si>
  <si>
    <t>81699686056</t>
  </si>
  <si>
    <t>7271450042870</t>
  </si>
  <si>
    <t>7280495357</t>
  </si>
  <si>
    <t>086411638889</t>
  </si>
  <si>
    <t>380114681646630</t>
  </si>
  <si>
    <t>73025623605</t>
  </si>
  <si>
    <t>2767046758705</t>
  </si>
  <si>
    <t>4561371186</t>
  </si>
  <si>
    <t>Lina Sari</t>
  </si>
  <si>
    <t>089121946464</t>
  </si>
  <si>
    <t>lina.sari@dumibumi.co.id</t>
  </si>
  <si>
    <t>846847865082369</t>
  </si>
  <si>
    <t>01566711252</t>
  </si>
  <si>
    <t>6491449801113</t>
  </si>
  <si>
    <t>1815145465</t>
  </si>
  <si>
    <t>082651206990</t>
  </si>
  <si>
    <t>393728565998573</t>
  </si>
  <si>
    <t>76577618224</t>
  </si>
  <si>
    <t>1497007935363</t>
  </si>
  <si>
    <t>4800687656</t>
  </si>
  <si>
    <t>088157724729</t>
  </si>
  <si>
    <t>885924491040718</t>
  </si>
  <si>
    <t>00912133861</t>
  </si>
  <si>
    <t>1511884026863</t>
  </si>
  <si>
    <t>2842286461</t>
  </si>
  <si>
    <t>Nadia Santoso</t>
  </si>
  <si>
    <t>082766903492</t>
  </si>
  <si>
    <t>nadia.santoso@dumibumi.co.id</t>
  </si>
  <si>
    <t>439711887629562</t>
  </si>
  <si>
    <t>85155573251</t>
  </si>
  <si>
    <t>1472671998475</t>
  </si>
  <si>
    <t>4733934962</t>
  </si>
  <si>
    <t>Yoga Wijaya</t>
  </si>
  <si>
    <t>081697614300</t>
  </si>
  <si>
    <t>yoga.wijaya@dumibumi.co.id</t>
  </si>
  <si>
    <t>159191129755048</t>
  </si>
  <si>
    <t>94525963455</t>
  </si>
  <si>
    <t>3385465252088</t>
  </si>
  <si>
    <t>9710844454</t>
  </si>
  <si>
    <t>088075558518</t>
  </si>
  <si>
    <t>830409726072302</t>
  </si>
  <si>
    <t>56398787625</t>
  </si>
  <si>
    <t>2164056638379</t>
  </si>
  <si>
    <t>3230524079</t>
  </si>
  <si>
    <t>Bayu Hidayat</t>
  </si>
  <si>
    <t>083388359515</t>
  </si>
  <si>
    <t>bayu.hidayat@dumibumi.co.id</t>
  </si>
  <si>
    <t>606359225297694</t>
  </si>
  <si>
    <t>21154800895</t>
  </si>
  <si>
    <t>9531153912651</t>
  </si>
  <si>
    <t>4630106768</t>
  </si>
  <si>
    <t>Fajar Utami</t>
  </si>
  <si>
    <t>080704114290</t>
  </si>
  <si>
    <t>fajar.utami@dumibumi.co.id</t>
  </si>
  <si>
    <t>750422112160594</t>
  </si>
  <si>
    <t>60088551306</t>
  </si>
  <si>
    <t>5915715434847</t>
  </si>
  <si>
    <t>9263411059</t>
  </si>
  <si>
    <t>086981293489</t>
  </si>
  <si>
    <t>566342622651333</t>
  </si>
  <si>
    <t>51585926799</t>
  </si>
  <si>
    <t>4980441733522</t>
  </si>
  <si>
    <t>7875398819</t>
  </si>
  <si>
    <t>Rina Maulana</t>
  </si>
  <si>
    <t>082318628339</t>
  </si>
  <si>
    <t>rina.maulana@dumibumi.co.id</t>
  </si>
  <si>
    <t>935808147888820</t>
  </si>
  <si>
    <t>05637583564</t>
  </si>
  <si>
    <t>4648035151492</t>
  </si>
  <si>
    <t>6287746202</t>
  </si>
  <si>
    <t>083113698790</t>
  </si>
  <si>
    <t>484883283654523</t>
  </si>
  <si>
    <t>61125878094</t>
  </si>
  <si>
    <t>4555983397827</t>
  </si>
  <si>
    <t>1701745986</t>
  </si>
  <si>
    <t>086059999164</t>
  </si>
  <si>
    <t>117989575481997</t>
  </si>
  <si>
    <t>62539319637</t>
  </si>
  <si>
    <t>5026585187047</t>
  </si>
  <si>
    <t>5207354948</t>
  </si>
  <si>
    <t>081243050612</t>
  </si>
  <si>
    <t>793616579733422</t>
  </si>
  <si>
    <t>73865587869</t>
  </si>
  <si>
    <t>3610010354131</t>
  </si>
  <si>
    <t>1708175273</t>
  </si>
  <si>
    <t>086860872560</t>
  </si>
  <si>
    <t>591515579538159</t>
  </si>
  <si>
    <t>60301880593</t>
  </si>
  <si>
    <t>6455770266711</t>
  </si>
  <si>
    <t>5450600387</t>
  </si>
  <si>
    <t>Budi Lestari</t>
  </si>
  <si>
    <t>086937977652</t>
  </si>
  <si>
    <t>budi.lestari@dumibumi.co.id</t>
  </si>
  <si>
    <t>810409812185373</t>
  </si>
  <si>
    <t>32500111139</t>
  </si>
  <si>
    <t>9024306832500</t>
  </si>
  <si>
    <t>1960964456</t>
  </si>
  <si>
    <t>Lina Wijaya</t>
  </si>
  <si>
    <t>087699227655</t>
  </si>
  <si>
    <t>lina.wijaya@dumibumi.co.id</t>
  </si>
  <si>
    <t>882424235147210</t>
  </si>
  <si>
    <t>89641963835</t>
  </si>
  <si>
    <t>4179379549358</t>
  </si>
  <si>
    <t>2725223356</t>
  </si>
  <si>
    <t>082380514146</t>
  </si>
  <si>
    <t>062148804862305</t>
  </si>
  <si>
    <t>65461861282</t>
  </si>
  <si>
    <t>3676706224192</t>
  </si>
  <si>
    <t>6875828574</t>
  </si>
  <si>
    <t>082839644995</t>
  </si>
  <si>
    <t>719794072807075</t>
  </si>
  <si>
    <t>21601655871</t>
  </si>
  <si>
    <t>0505086764147</t>
  </si>
  <si>
    <t>3281431981</t>
  </si>
  <si>
    <t>089066254310</t>
  </si>
  <si>
    <t>086626986232220</t>
  </si>
  <si>
    <t>06887386774</t>
  </si>
  <si>
    <t>1269523225040</t>
  </si>
  <si>
    <t>4906984876</t>
  </si>
  <si>
    <t>085725030853</t>
  </si>
  <si>
    <t>477091490328175</t>
  </si>
  <si>
    <t>91626574876</t>
  </si>
  <si>
    <t>8770792467891</t>
  </si>
  <si>
    <t>0742246294</t>
  </si>
  <si>
    <t>088688061334</t>
  </si>
  <si>
    <t>495344004861489</t>
  </si>
  <si>
    <t>73880099287</t>
  </si>
  <si>
    <t>8313499899159</t>
  </si>
  <si>
    <t>8781658784</t>
  </si>
  <si>
    <t>086702721430</t>
  </si>
  <si>
    <t>395898126286624</t>
  </si>
  <si>
    <t>91391205620</t>
  </si>
  <si>
    <t>4494458224678</t>
  </si>
  <si>
    <t>7108805604</t>
  </si>
  <si>
    <t>083474133596</t>
  </si>
  <si>
    <t>981555653242929</t>
  </si>
  <si>
    <t>55267154049</t>
  </si>
  <si>
    <t>8990793816402</t>
  </si>
  <si>
    <t>0991262553</t>
  </si>
  <si>
    <t>Aulia Lestari</t>
  </si>
  <si>
    <t>081924542640</t>
  </si>
  <si>
    <t>aulia.lestari@dumibumi.co.id</t>
  </si>
  <si>
    <t>155706685620024</t>
  </si>
  <si>
    <t>36312366907</t>
  </si>
  <si>
    <t>7814866637177</t>
  </si>
  <si>
    <t>1733464438</t>
  </si>
  <si>
    <t>085082327032</t>
  </si>
  <si>
    <t>205728287756686</t>
  </si>
  <si>
    <t>27209639654</t>
  </si>
  <si>
    <t>2541147832356</t>
  </si>
  <si>
    <t>1048427143</t>
  </si>
  <si>
    <t>Yoga Ramadhan</t>
  </si>
  <si>
    <t>089688272047</t>
  </si>
  <si>
    <t>yoga.ramadhan@dumibumi.co.id</t>
  </si>
  <si>
    <t>052669929390506</t>
  </si>
  <si>
    <t>23414470316</t>
  </si>
  <si>
    <t>8936707183221</t>
  </si>
  <si>
    <t>4668255013</t>
  </si>
  <si>
    <t>089449845925</t>
  </si>
  <si>
    <t>504743316587698</t>
  </si>
  <si>
    <t>13786953244</t>
  </si>
  <si>
    <t>9580774748841</t>
  </si>
  <si>
    <t>3159217760</t>
  </si>
  <si>
    <t>Rudi Santoso</t>
  </si>
  <si>
    <t>082894610965</t>
  </si>
  <si>
    <t>rudi.santoso@dumibumi.co.id</t>
  </si>
  <si>
    <t>393267898734822</t>
  </si>
  <si>
    <t>90415061694</t>
  </si>
  <si>
    <t>1348941183292</t>
  </si>
  <si>
    <t>8619906196</t>
  </si>
  <si>
    <t>Rizky Santoso</t>
  </si>
  <si>
    <t>083585779594</t>
  </si>
  <si>
    <t>rizky.santoso@dumibumi.co.id</t>
  </si>
  <si>
    <t>108448065575099</t>
  </si>
  <si>
    <t>77954685125</t>
  </si>
  <si>
    <t>2922819489568</t>
  </si>
  <si>
    <t>5856834970</t>
  </si>
  <si>
    <t>080235000304</t>
  </si>
  <si>
    <t>207730753680711</t>
  </si>
  <si>
    <t>35174413999</t>
  </si>
  <si>
    <t>2189571543691</t>
  </si>
  <si>
    <t>8768571013</t>
  </si>
  <si>
    <t>Rina Kurniawan</t>
  </si>
  <si>
    <t>082723631027</t>
  </si>
  <si>
    <t>rina.kurniawan@dumibumi.co.id</t>
  </si>
  <si>
    <t>615761199366811</t>
  </si>
  <si>
    <t>26237404737</t>
  </si>
  <si>
    <t>9838779030875</t>
  </si>
  <si>
    <t>1366237074</t>
  </si>
  <si>
    <t>086487996675</t>
  </si>
  <si>
    <t>964100140080475</t>
  </si>
  <si>
    <t>54156634807</t>
  </si>
  <si>
    <t>0552266439325</t>
  </si>
  <si>
    <t>7631606285</t>
  </si>
  <si>
    <t>084519081777</t>
  </si>
  <si>
    <t>565883510766404</t>
  </si>
  <si>
    <t>60704139682</t>
  </si>
  <si>
    <t>4716597033455</t>
  </si>
  <si>
    <t>8254797127</t>
  </si>
  <si>
    <t>083679338824</t>
  </si>
  <si>
    <t>123474296558727</t>
  </si>
  <si>
    <t>73788514847</t>
  </si>
  <si>
    <t>2509185431750</t>
  </si>
  <si>
    <t>8375311369</t>
  </si>
  <si>
    <t>086433384049</t>
  </si>
  <si>
    <t>645676916268231</t>
  </si>
  <si>
    <t>16877286479</t>
  </si>
  <si>
    <t>8259190357052</t>
  </si>
  <si>
    <t>5974721750</t>
  </si>
  <si>
    <t>088838998750</t>
  </si>
  <si>
    <t>073145842929470</t>
  </si>
  <si>
    <t>55162501598</t>
  </si>
  <si>
    <t>1137369516630</t>
  </si>
  <si>
    <t>5410187661</t>
  </si>
  <si>
    <t>081613550129</t>
  </si>
  <si>
    <t>131527098422306</t>
  </si>
  <si>
    <t>59484094706</t>
  </si>
  <si>
    <t>5565844127344</t>
  </si>
  <si>
    <t>6284267987</t>
  </si>
  <si>
    <t>Rahmat Wijaya</t>
  </si>
  <si>
    <t>rahmat.wijaya@dumibumi.co.id</t>
  </si>
  <si>
    <t>082998612431</t>
  </si>
  <si>
    <t>036459431774413</t>
  </si>
  <si>
    <t>35227101881</t>
  </si>
  <si>
    <t>6332083292032</t>
  </si>
  <si>
    <t>2132608547</t>
  </si>
  <si>
    <t>083013491911</t>
  </si>
  <si>
    <t>629161801947383</t>
  </si>
  <si>
    <t>46228303938</t>
  </si>
  <si>
    <t>1133245817436</t>
  </si>
  <si>
    <t>8511885258</t>
  </si>
  <si>
    <t>082545618431</t>
  </si>
  <si>
    <t>317284117252883</t>
  </si>
  <si>
    <t>64684738019</t>
  </si>
  <si>
    <t>5452698910524</t>
  </si>
  <si>
    <t>6090397056</t>
  </si>
  <si>
    <t>089282484353</t>
  </si>
  <si>
    <t>645015559377506</t>
  </si>
  <si>
    <t>96345552370</t>
  </si>
  <si>
    <t>9363964618343</t>
  </si>
  <si>
    <t>0746534226</t>
  </si>
  <si>
    <t>083630392663</t>
  </si>
  <si>
    <t>114641179895632</t>
  </si>
  <si>
    <t>16453563971</t>
  </si>
  <si>
    <t>5388234537347</t>
  </si>
  <si>
    <t>0995328120</t>
  </si>
  <si>
    <t>084900489759</t>
  </si>
  <si>
    <t>991047804901327</t>
  </si>
  <si>
    <t>68860886361</t>
  </si>
  <si>
    <t>5887798353371</t>
  </si>
  <si>
    <t>2838186500</t>
  </si>
  <si>
    <t>086134466406</t>
  </si>
  <si>
    <t>042522897779760</t>
  </si>
  <si>
    <t>84324207712</t>
  </si>
  <si>
    <t>6855408763258</t>
  </si>
  <si>
    <t>6514728684</t>
  </si>
  <si>
    <t>083974159879</t>
  </si>
  <si>
    <t>178182403118557</t>
  </si>
  <si>
    <t>37597950926</t>
  </si>
  <si>
    <t>7796737225699</t>
  </si>
  <si>
    <t>2067389914</t>
  </si>
  <si>
    <t>080612289641</t>
  </si>
  <si>
    <t>101965014898769</t>
  </si>
  <si>
    <t>17712249208</t>
  </si>
  <si>
    <t>9252638854012</t>
  </si>
  <si>
    <t>5067285384</t>
  </si>
  <si>
    <t>087054255114</t>
  </si>
  <si>
    <t>701706279589707</t>
  </si>
  <si>
    <t>90056136826</t>
  </si>
  <si>
    <t>3722945702820</t>
  </si>
  <si>
    <t>1690620008</t>
  </si>
  <si>
    <t>Siti Kusuma</t>
  </si>
  <si>
    <t>089072253002</t>
  </si>
  <si>
    <t>siti.kusuma@dumibumi.co.id</t>
  </si>
  <si>
    <t>236793076102048</t>
  </si>
  <si>
    <t>43655396789</t>
  </si>
  <si>
    <t>3053073862218</t>
  </si>
  <si>
    <t>0931522009</t>
  </si>
  <si>
    <t>086325844884</t>
  </si>
  <si>
    <t>582185752372391</t>
  </si>
  <si>
    <t>39719999163</t>
  </si>
  <si>
    <t>4123079883737</t>
  </si>
  <si>
    <t>4689771098</t>
  </si>
  <si>
    <t>083538284355</t>
  </si>
  <si>
    <t>933249176009667</t>
  </si>
  <si>
    <t>49154544360</t>
  </si>
  <si>
    <t>1206413625015</t>
  </si>
  <si>
    <t>9728924273</t>
  </si>
  <si>
    <t>082061927319</t>
  </si>
  <si>
    <t>898971049654288</t>
  </si>
  <si>
    <t>94680223451</t>
  </si>
  <si>
    <t>5094269625937</t>
  </si>
  <si>
    <t>2879944152</t>
  </si>
  <si>
    <t>084182337177</t>
  </si>
  <si>
    <t>617046602803586</t>
  </si>
  <si>
    <t>19766353148</t>
  </si>
  <si>
    <t>4804177692857</t>
  </si>
  <si>
    <t>0755821072</t>
  </si>
  <si>
    <t>089174810197</t>
  </si>
  <si>
    <t>774037427745120</t>
  </si>
  <si>
    <t>14447634988</t>
  </si>
  <si>
    <t>1101026786253</t>
  </si>
  <si>
    <t>0776103646</t>
  </si>
  <si>
    <t>080453875367</t>
  </si>
  <si>
    <t>51787918727</t>
  </si>
  <si>
    <t>6393617788902</t>
  </si>
  <si>
    <t>5539734426</t>
  </si>
  <si>
    <t>082848984837</t>
  </si>
  <si>
    <t>202515915825328</t>
  </si>
  <si>
    <t>26443702370</t>
  </si>
  <si>
    <t>2955562097193</t>
  </si>
  <si>
    <t>5653898768</t>
  </si>
  <si>
    <t>Dewi Santoso</t>
  </si>
  <si>
    <t>082311355647</t>
  </si>
  <si>
    <t>dewi.santoso@dumibumi.co.id</t>
  </si>
  <si>
    <t>832205090073089</t>
  </si>
  <si>
    <t>17054887861</t>
  </si>
  <si>
    <t>6027602999361</t>
  </si>
  <si>
    <t>7021441523</t>
  </si>
  <si>
    <t>089759705283</t>
  </si>
  <si>
    <t>667967527305453</t>
  </si>
  <si>
    <t>39997154725</t>
  </si>
  <si>
    <t>0454696108112</t>
  </si>
  <si>
    <t>5650041799</t>
  </si>
  <si>
    <t>Bayu Pratama</t>
  </si>
  <si>
    <t>083445890949</t>
  </si>
  <si>
    <t>bayu.pratama@dumibumi.co.id</t>
  </si>
  <si>
    <t>886654307924364</t>
  </si>
  <si>
    <t>85979657931</t>
  </si>
  <si>
    <t>1921358191677</t>
  </si>
  <si>
    <t>4907729343</t>
  </si>
  <si>
    <t>Andi Santoso</t>
  </si>
  <si>
    <t>084234580001</t>
  </si>
  <si>
    <t>andi.santoso@dumibumi.co.id</t>
  </si>
  <si>
    <t>865818580600605</t>
  </si>
  <si>
    <t>82755897957</t>
  </si>
  <si>
    <t>0387239765750</t>
  </si>
  <si>
    <t>7537689079</t>
  </si>
  <si>
    <t>085920750544</t>
  </si>
  <si>
    <t>888155225630260</t>
  </si>
  <si>
    <t>65271985730</t>
  </si>
  <si>
    <t>2730574992970</t>
  </si>
  <si>
    <t>9855166242</t>
  </si>
  <si>
    <t>082725693109</t>
  </si>
  <si>
    <t>278540718362138</t>
  </si>
  <si>
    <t>61923107627</t>
  </si>
  <si>
    <t>0789328945221</t>
  </si>
  <si>
    <t>7477881505</t>
  </si>
  <si>
    <t>086097578207</t>
  </si>
  <si>
    <t>137645763478166</t>
  </si>
  <si>
    <t>88639566425</t>
  </si>
  <si>
    <t>4162403481634</t>
  </si>
  <si>
    <t>0968093012</t>
  </si>
  <si>
    <t>Budi Maulana</t>
  </si>
  <si>
    <t>082122402232</t>
  </si>
  <si>
    <t>budi.maulana@dumibumi.co.id</t>
  </si>
  <si>
    <t>001277078151180</t>
  </si>
  <si>
    <t>15808614666</t>
  </si>
  <si>
    <t>6838562239350</t>
  </si>
  <si>
    <t>3725115785</t>
  </si>
  <si>
    <t>Dedi Utami</t>
  </si>
  <si>
    <t>dedi.utami@dumibumi.co.id</t>
  </si>
  <si>
    <t>Rina Pangestu</t>
  </si>
  <si>
    <t>084791354918</t>
  </si>
  <si>
    <t>rina.pangestu@dumibumi.co.id</t>
  </si>
  <si>
    <t>440908508302237</t>
  </si>
  <si>
    <t>04391021883</t>
  </si>
  <si>
    <t>0213098054059</t>
  </si>
  <si>
    <t>8924049846</t>
  </si>
  <si>
    <t>085753451149</t>
  </si>
  <si>
    <t>903064670581107</t>
  </si>
  <si>
    <t>74709338083</t>
  </si>
  <si>
    <t>0426291168369</t>
  </si>
  <si>
    <t>4138686249</t>
  </si>
  <si>
    <t>087106441527</t>
  </si>
  <si>
    <t>159263026746988</t>
  </si>
  <si>
    <t>76297201714</t>
  </si>
  <si>
    <t>8790312758870</t>
  </si>
  <si>
    <t>4529710472</t>
  </si>
  <si>
    <t>088091377540</t>
  </si>
  <si>
    <t>175638464027516</t>
  </si>
  <si>
    <t>75810851447</t>
  </si>
  <si>
    <t>7500306798893</t>
  </si>
  <si>
    <t>3534201312</t>
  </si>
  <si>
    <t>086485414789</t>
  </si>
  <si>
    <t>933631119813507</t>
  </si>
  <si>
    <t>55247904234</t>
  </si>
  <si>
    <t>4440334629087</t>
  </si>
  <si>
    <t>2335337580</t>
  </si>
  <si>
    <t>086575205638</t>
  </si>
  <si>
    <t>767773077978833</t>
  </si>
  <si>
    <t>47823318670</t>
  </si>
  <si>
    <t>0764610286384</t>
  </si>
  <si>
    <t>9828183839</t>
  </si>
  <si>
    <t>089669472628</t>
  </si>
  <si>
    <t>406859770190964</t>
  </si>
  <si>
    <t>14599637774</t>
  </si>
  <si>
    <t>8928709823301</t>
  </si>
  <si>
    <t>4937108536</t>
  </si>
  <si>
    <t>085321335287</t>
  </si>
  <si>
    <t>152716823963612</t>
  </si>
  <si>
    <t>60342795930</t>
  </si>
  <si>
    <t>0091593832139</t>
  </si>
  <si>
    <t>9563330911</t>
  </si>
  <si>
    <t>Dedi Pratama</t>
  </si>
  <si>
    <t>dedi.pratama@dumibumi.co.id</t>
  </si>
  <si>
    <t>Fajar Pratama</t>
  </si>
  <si>
    <t>083397307192</t>
  </si>
  <si>
    <t>fajar.pratama@dumibumi.co.id</t>
  </si>
  <si>
    <t>605083663912059</t>
  </si>
  <si>
    <t>67659009859</t>
  </si>
  <si>
    <t>0202040135988</t>
  </si>
  <si>
    <t>9391913684</t>
  </si>
  <si>
    <t>084297499812</t>
  </si>
  <si>
    <t>654622580915603</t>
  </si>
  <si>
    <t>99427726824</t>
  </si>
  <si>
    <t>0668948227055</t>
  </si>
  <si>
    <t>2110317332</t>
  </si>
  <si>
    <t>086370981872</t>
  </si>
  <si>
    <t>163299936849652</t>
  </si>
  <si>
    <t>34941316887</t>
  </si>
  <si>
    <t>1455544387012</t>
  </si>
  <si>
    <t>8477010591</t>
  </si>
  <si>
    <t>087444280126</t>
  </si>
  <si>
    <t>604549423505147</t>
  </si>
  <si>
    <t>02521550883</t>
  </si>
  <si>
    <t>0682077902795</t>
  </si>
  <si>
    <t>0356257318</t>
  </si>
  <si>
    <t>089364746767</t>
  </si>
  <si>
    <t>2772461754408</t>
  </si>
  <si>
    <t>5608860083</t>
  </si>
  <si>
    <t>087688353948</t>
  </si>
  <si>
    <t>731736391622975</t>
  </si>
  <si>
    <t>27353429772</t>
  </si>
  <si>
    <t>4418210781291</t>
  </si>
  <si>
    <t>3635737797</t>
  </si>
  <si>
    <t>085803797704</t>
  </si>
  <si>
    <t>281302473025251</t>
  </si>
  <si>
    <t>28991823623</t>
  </si>
  <si>
    <t>5503118935607</t>
  </si>
  <si>
    <t>1161984430</t>
  </si>
  <si>
    <t>088886460697</t>
  </si>
  <si>
    <t>781701448737763</t>
  </si>
  <si>
    <t>60574987619</t>
  </si>
  <si>
    <t>4972712779435</t>
  </si>
  <si>
    <t>4422761882</t>
  </si>
  <si>
    <t>085004011476</t>
  </si>
  <si>
    <t>396777201061401</t>
  </si>
  <si>
    <t>06747586016</t>
  </si>
  <si>
    <t>4761212400683</t>
  </si>
  <si>
    <t>0128561518</t>
  </si>
  <si>
    <t>085443948862</t>
  </si>
  <si>
    <t>746736295306025</t>
  </si>
  <si>
    <t>97185896489</t>
  </si>
  <si>
    <t>8189167235054</t>
  </si>
  <si>
    <t>8805139650</t>
  </si>
  <si>
    <t>083447477426</t>
  </si>
  <si>
    <t>131142280428511</t>
  </si>
  <si>
    <t>43297550302</t>
  </si>
  <si>
    <t>0517219387234</t>
  </si>
  <si>
    <t>5491294077</t>
  </si>
  <si>
    <t>086185133283</t>
  </si>
  <si>
    <t>948473842677251</t>
  </si>
  <si>
    <t>38934561732</t>
  </si>
  <si>
    <t>0550543195668</t>
  </si>
  <si>
    <t>0470871976</t>
  </si>
  <si>
    <t>083842722058</t>
  </si>
  <si>
    <t>600063901768523</t>
  </si>
  <si>
    <t>30127717568</t>
  </si>
  <si>
    <t>8688679721983</t>
  </si>
  <si>
    <t>1704542775</t>
  </si>
  <si>
    <t>087642922214</t>
  </si>
  <si>
    <t>415171256317573</t>
  </si>
  <si>
    <t>91438937222</t>
  </si>
  <si>
    <t>0700722137349</t>
  </si>
  <si>
    <t>1367292715</t>
  </si>
  <si>
    <t>085701776251</t>
  </si>
  <si>
    <t>630039378918151</t>
  </si>
  <si>
    <t>03091788144</t>
  </si>
  <si>
    <t>1181637930921</t>
  </si>
  <si>
    <t>7768583172</t>
  </si>
  <si>
    <t>084799067558</t>
  </si>
  <si>
    <t>361383148390241</t>
  </si>
  <si>
    <t>27641637383</t>
  </si>
  <si>
    <t>4272699891639</t>
  </si>
  <si>
    <t>5473221620</t>
  </si>
  <si>
    <t>088632444496</t>
  </si>
  <si>
    <t>014353514789242</t>
  </si>
  <si>
    <t>98621455915</t>
  </si>
  <si>
    <t>1360476448114</t>
  </si>
  <si>
    <t>8270595963</t>
  </si>
  <si>
    <t>080614528889</t>
  </si>
  <si>
    <t>966701965953332</t>
  </si>
  <si>
    <t>69276802936</t>
  </si>
  <si>
    <t>6653016416650</t>
  </si>
  <si>
    <t>6865426842</t>
  </si>
  <si>
    <t>Dewi Pangestu</t>
  </si>
  <si>
    <t>084930023893</t>
  </si>
  <si>
    <t>dewi.pangestu@dumibumi.co.id</t>
  </si>
  <si>
    <t>189578904144550</t>
  </si>
  <si>
    <t>36009597651</t>
  </si>
  <si>
    <t>3673806833311</t>
  </si>
  <si>
    <t>2522120877</t>
  </si>
  <si>
    <t>083978893157</t>
  </si>
  <si>
    <t>437873733515271</t>
  </si>
  <si>
    <t>44309622558</t>
  </si>
  <si>
    <t>2074653486822</t>
  </si>
  <si>
    <t>7841425244</t>
  </si>
  <si>
    <t>086937932951</t>
  </si>
  <si>
    <t>732279796893091</t>
  </si>
  <si>
    <t>78086839561</t>
  </si>
  <si>
    <t>0160903528526</t>
  </si>
  <si>
    <t>8126968217</t>
  </si>
  <si>
    <t>Nadia Kurniawan</t>
  </si>
  <si>
    <t>nadia.kurniawan@dumibumi.co.id</t>
  </si>
  <si>
    <t>Dedi Wijaya</t>
  </si>
  <si>
    <t>dedi.wijaya@dumibumi.co.id</t>
  </si>
  <si>
    <t>Dedi Maulana</t>
  </si>
  <si>
    <t>088515747394</t>
  </si>
  <si>
    <t>dedi.maulana@dumibumi.co.id</t>
  </si>
  <si>
    <t>734411987609846</t>
  </si>
  <si>
    <t>64688817989</t>
  </si>
  <si>
    <t>1725033027195</t>
  </si>
  <si>
    <t>3419726240</t>
  </si>
  <si>
    <t>082798684035</t>
  </si>
  <si>
    <t>088379079842488</t>
  </si>
  <si>
    <t>20075889935</t>
  </si>
  <si>
    <t>9658119576872</t>
  </si>
  <si>
    <t>8933845708</t>
  </si>
  <si>
    <t>082175298188</t>
  </si>
  <si>
    <t>217489391093167</t>
  </si>
  <si>
    <t>08217428077</t>
  </si>
  <si>
    <t>9384388232912</t>
  </si>
  <si>
    <t>0858461272</t>
  </si>
  <si>
    <t>089883492098</t>
  </si>
  <si>
    <t>341949332890646</t>
  </si>
  <si>
    <t>38716711844</t>
  </si>
  <si>
    <t>9693549946117</t>
  </si>
  <si>
    <t>6609828404</t>
  </si>
  <si>
    <t>080149479750</t>
  </si>
  <si>
    <t>182582734016176</t>
  </si>
  <si>
    <t>20666576084</t>
  </si>
  <si>
    <t>0522405676107</t>
  </si>
  <si>
    <t>9454844830</t>
  </si>
  <si>
    <t>081851322689</t>
  </si>
  <si>
    <t>020666153586675</t>
  </si>
  <si>
    <t>54818228325</t>
  </si>
  <si>
    <t>1929297612879</t>
  </si>
  <si>
    <t>0888341797</t>
  </si>
  <si>
    <t>087806995476</t>
  </si>
  <si>
    <t>814511817349825</t>
  </si>
  <si>
    <t>55583676604</t>
  </si>
  <si>
    <t>6204764775332</t>
  </si>
  <si>
    <t>6138755470</t>
  </si>
  <si>
    <t>088882819660</t>
  </si>
  <si>
    <t>603711055495237</t>
  </si>
  <si>
    <t>70714771509</t>
  </si>
  <si>
    <t>2617174087790</t>
  </si>
  <si>
    <t>4217772790</t>
  </si>
  <si>
    <t>087536286662</t>
  </si>
  <si>
    <t>814801980296707</t>
  </si>
  <si>
    <t>31605450257</t>
  </si>
  <si>
    <t>6066780469005</t>
  </si>
  <si>
    <t>3661313945</t>
  </si>
  <si>
    <t>082070013693</t>
  </si>
  <si>
    <t>065561499745614</t>
  </si>
  <si>
    <t>01759142530</t>
  </si>
  <si>
    <t>2534786000003</t>
  </si>
  <si>
    <t>9115572100</t>
  </si>
  <si>
    <t>089557258583</t>
  </si>
  <si>
    <t>889741024865383</t>
  </si>
  <si>
    <t>98255812643</t>
  </si>
  <si>
    <t>6889037959041</t>
  </si>
  <si>
    <t>1373025285</t>
  </si>
  <si>
    <t>089228002484</t>
  </si>
  <si>
    <t>598337243661980</t>
  </si>
  <si>
    <t>01294823249</t>
  </si>
  <si>
    <t>3335019243433</t>
  </si>
  <si>
    <t>2708605970</t>
  </si>
  <si>
    <t>084231744348</t>
  </si>
  <si>
    <t>684690344616320</t>
  </si>
  <si>
    <t>74482689034</t>
  </si>
  <si>
    <t>4083059224873</t>
  </si>
  <si>
    <t>5405370075</t>
  </si>
  <si>
    <t>Indah Lestari</t>
  </si>
  <si>
    <t>084819815776</t>
  </si>
  <si>
    <t>indah.lestari@dumibumi.co.id</t>
  </si>
  <si>
    <t>102318287124113</t>
  </si>
  <si>
    <t>87961863709</t>
  </si>
  <si>
    <t>4201462214960</t>
  </si>
  <si>
    <t>0776460066</t>
  </si>
  <si>
    <t>080546603476</t>
  </si>
  <si>
    <t>821303957678072</t>
  </si>
  <si>
    <t>64923584561</t>
  </si>
  <si>
    <t>5494511053290</t>
  </si>
  <si>
    <t>5646424249</t>
  </si>
  <si>
    <t>Dedi Santoso</t>
  </si>
  <si>
    <t>080408668279</t>
  </si>
  <si>
    <t>dedi.santoso@dumibumi.co.id</t>
  </si>
  <si>
    <t>037136905835444</t>
  </si>
  <si>
    <t>03787088282</t>
  </si>
  <si>
    <t>5726940069825</t>
  </si>
  <si>
    <t>6889723730</t>
  </si>
  <si>
    <t>082402749456</t>
  </si>
  <si>
    <t>193390826592612</t>
  </si>
  <si>
    <t>36456156550</t>
  </si>
  <si>
    <t>1502894281335</t>
  </si>
  <si>
    <t>8755740921</t>
  </si>
  <si>
    <t>088591931527</t>
  </si>
  <si>
    <t>717586342506109</t>
  </si>
  <si>
    <t>04188340755</t>
  </si>
  <si>
    <t>9473036609178</t>
  </si>
  <si>
    <t>8772925691</t>
  </si>
  <si>
    <t>080222778568</t>
  </si>
  <si>
    <t>949524386002951</t>
  </si>
  <si>
    <t>38036856604</t>
  </si>
  <si>
    <t>5675077907837</t>
  </si>
  <si>
    <t>3273225386</t>
  </si>
  <si>
    <t>084650850727</t>
  </si>
  <si>
    <t>168921950004406</t>
  </si>
  <si>
    <t>90785958316</t>
  </si>
  <si>
    <t>9506453485692</t>
  </si>
  <si>
    <t>2356811997</t>
  </si>
  <si>
    <t>087740537727</t>
  </si>
  <si>
    <t>417230406882203</t>
  </si>
  <si>
    <t>77864938861</t>
  </si>
  <si>
    <t>1524707776238</t>
  </si>
  <si>
    <t>6321666984</t>
  </si>
  <si>
    <t>086415264446</t>
  </si>
  <si>
    <t>494654159313328</t>
  </si>
  <si>
    <t>14558402740</t>
  </si>
  <si>
    <t>5058476280467</t>
  </si>
  <si>
    <t>9427831445</t>
  </si>
  <si>
    <t>085795419073</t>
  </si>
  <si>
    <t>254691205199197</t>
  </si>
  <si>
    <t>41343519393</t>
  </si>
  <si>
    <t>8026938340845</t>
  </si>
  <si>
    <t>5352171606</t>
  </si>
  <si>
    <t>081585319770</t>
  </si>
  <si>
    <t>123893411576489</t>
  </si>
  <si>
    <t>55176539734</t>
  </si>
  <si>
    <t>3765016287079</t>
  </si>
  <si>
    <t>9328914021</t>
  </si>
  <si>
    <t>084443927544</t>
  </si>
  <si>
    <t>810083915559967</t>
  </si>
  <si>
    <t>73392395094</t>
  </si>
  <si>
    <t>5299228895604</t>
  </si>
  <si>
    <t>8998948530</t>
  </si>
  <si>
    <t>082429972984</t>
  </si>
  <si>
    <t>261362182598483</t>
  </si>
  <si>
    <t>47791112173</t>
  </si>
  <si>
    <t>3557543282727</t>
  </si>
  <si>
    <t>3035909920</t>
  </si>
  <si>
    <t>089024581804</t>
  </si>
  <si>
    <t>068889204946513</t>
  </si>
  <si>
    <t>15727373981</t>
  </si>
  <si>
    <t>8384511831435</t>
  </si>
  <si>
    <t>1039774180</t>
  </si>
  <si>
    <t>Rahmat Kusuma</t>
  </si>
  <si>
    <t>088789164790</t>
  </si>
  <si>
    <t>rahmat.kusuma@dumibumi.co.id</t>
  </si>
  <si>
    <t>945755673109149</t>
  </si>
  <si>
    <t>31268481683</t>
  </si>
  <si>
    <t>6535273555513</t>
  </si>
  <si>
    <t>6583858976</t>
  </si>
  <si>
    <t>Dewi Permata</t>
  </si>
  <si>
    <t>081192849306</t>
  </si>
  <si>
    <t>dewi.permata@dumibumi.co.id</t>
  </si>
  <si>
    <t>834790397574251</t>
  </si>
  <si>
    <t>40989069369</t>
  </si>
  <si>
    <t>0388447369177</t>
  </si>
  <si>
    <t>0026323976</t>
  </si>
  <si>
    <t>083614938947</t>
  </si>
  <si>
    <t>748299557195774</t>
  </si>
  <si>
    <t>30933274542</t>
  </si>
  <si>
    <t>5306530753529</t>
  </si>
  <si>
    <t>1857254120</t>
  </si>
  <si>
    <t>088147142072</t>
  </si>
  <si>
    <t>182667933020925</t>
  </si>
  <si>
    <t>99343729220</t>
  </si>
  <si>
    <t>2046623316077</t>
  </si>
  <si>
    <t>8783812269</t>
  </si>
  <si>
    <t>086858560657</t>
  </si>
  <si>
    <t>195030311588513</t>
  </si>
  <si>
    <t>35813193281</t>
  </si>
  <si>
    <t>3190109759371</t>
  </si>
  <si>
    <t>5862979944</t>
  </si>
  <si>
    <t>085391607858</t>
  </si>
  <si>
    <t>412105126061386</t>
  </si>
  <si>
    <t>66795548152</t>
  </si>
  <si>
    <t>1654030975905</t>
  </si>
  <si>
    <t>0526055057</t>
  </si>
  <si>
    <t>084596871321</t>
  </si>
  <si>
    <t>977651996767174</t>
  </si>
  <si>
    <t>03992155784</t>
  </si>
  <si>
    <t>1897251209077</t>
  </si>
  <si>
    <t>6278322261</t>
  </si>
  <si>
    <t>089310118303</t>
  </si>
  <si>
    <t>480866049456598</t>
  </si>
  <si>
    <t>64060691791</t>
  </si>
  <si>
    <t>2836529902733</t>
  </si>
  <si>
    <t>0876516337</t>
  </si>
  <si>
    <t>082517245640</t>
  </si>
  <si>
    <t>576943346927309</t>
  </si>
  <si>
    <t>76954548667</t>
  </si>
  <si>
    <t>9981348975034</t>
  </si>
  <si>
    <t>2433494779</t>
  </si>
  <si>
    <t>082281653274</t>
  </si>
  <si>
    <t>350920617104266</t>
  </si>
  <si>
    <t>22991842157</t>
  </si>
  <si>
    <t>6740754717238</t>
  </si>
  <si>
    <t>3730127448</t>
  </si>
  <si>
    <t>088082899519</t>
  </si>
  <si>
    <t>411210041829077</t>
  </si>
  <si>
    <t>37492444048</t>
  </si>
  <si>
    <t>0728560632803</t>
  </si>
  <si>
    <t>9505735151</t>
  </si>
  <si>
    <t>Budi Santoso</t>
  </si>
  <si>
    <t>088540282931</t>
  </si>
  <si>
    <t>budi.santoso@dumibumi.co.id</t>
  </si>
  <si>
    <t>325651655705163</t>
  </si>
  <si>
    <t>90136483816</t>
  </si>
  <si>
    <t>3507844395738</t>
  </si>
  <si>
    <t>8947161797</t>
  </si>
  <si>
    <t>Rizky Lestari</t>
  </si>
  <si>
    <t>088207245024</t>
  </si>
  <si>
    <t>rizky.lestari@dumibumi.co.id</t>
  </si>
  <si>
    <t>517400776855394</t>
  </si>
  <si>
    <t>76020416861</t>
  </si>
  <si>
    <t>1222312029764</t>
  </si>
  <si>
    <t>6873747101</t>
  </si>
  <si>
    <t>086158888217</t>
  </si>
  <si>
    <t>673275059981462</t>
  </si>
  <si>
    <t>54626740714</t>
  </si>
  <si>
    <t>7996170180316</t>
  </si>
  <si>
    <t>4354013973</t>
  </si>
  <si>
    <t>082825664057</t>
  </si>
  <si>
    <t>528014728825516</t>
  </si>
  <si>
    <t>55017668451</t>
  </si>
  <si>
    <t>5966652289970</t>
  </si>
  <si>
    <t>7301918298</t>
  </si>
  <si>
    <t>088597130807</t>
  </si>
  <si>
    <t>211932763089559</t>
  </si>
  <si>
    <t>79213036409</t>
  </si>
  <si>
    <t>2979115174880</t>
  </si>
  <si>
    <t>6278687416</t>
  </si>
  <si>
    <t>082615761595</t>
  </si>
  <si>
    <t>930644174984264</t>
  </si>
  <si>
    <t>15311489349</t>
  </si>
  <si>
    <t>5062121886509</t>
  </si>
  <si>
    <t>5481907882</t>
  </si>
  <si>
    <t>Manager</t>
  </si>
  <si>
    <t>Warehouse Manager</t>
  </si>
  <si>
    <t>Warehouse Supervisor</t>
  </si>
  <si>
    <t>Supervisor</t>
  </si>
  <si>
    <t>Warehouse Leader</t>
  </si>
  <si>
    <t>Warehouse Staff</t>
  </si>
  <si>
    <t>Demand &amp; Supply Manager</t>
  </si>
  <si>
    <t>Inventory Control &amp; Planning Supervisor</t>
  </si>
  <si>
    <t>Production Planning &amp; Control Supervisor</t>
  </si>
  <si>
    <t>Inventory Control &amp; Planning Manager</t>
  </si>
  <si>
    <t>Forklift Operator</t>
  </si>
  <si>
    <t>Driver</t>
  </si>
  <si>
    <t>Warehouse Administrator</t>
  </si>
  <si>
    <t>Raffi Kurniawan</t>
  </si>
  <si>
    <t>Human Resources Manager</t>
  </si>
  <si>
    <t>Bambang Wijaya</t>
  </si>
  <si>
    <t>Recruitment Supervisor</t>
  </si>
  <si>
    <t>Learning &amp; Development Officer</t>
  </si>
  <si>
    <t>HR Administration</t>
  </si>
  <si>
    <t>Administrator</t>
  </si>
  <si>
    <t>Tax Officer</t>
  </si>
  <si>
    <t>General Manager</t>
  </si>
  <si>
    <t>Management</t>
  </si>
  <si>
    <t>Finance, Accounting &amp; Tax Manager</t>
  </si>
  <si>
    <t>General Manager Finance, Accounting &amp; Tax</t>
  </si>
  <si>
    <t>Wati Wijaya</t>
  </si>
  <si>
    <t>wati.wijaya@dumibumi.co.id</t>
  </si>
  <si>
    <t>Finance Supervisor</t>
  </si>
  <si>
    <t>Finance Staff</t>
  </si>
  <si>
    <t>Finance Administration Staff</t>
  </si>
  <si>
    <t>Accounting Supervisor</t>
  </si>
  <si>
    <t>Accounting Officer</t>
  </si>
  <si>
    <t>Accounting Administration Staff</t>
  </si>
  <si>
    <t>Tax Supervisor</t>
  </si>
  <si>
    <t>Tax Staff</t>
  </si>
  <si>
    <t>Tax Administration Staff</t>
  </si>
  <si>
    <t>Farah Lestari</t>
  </si>
  <si>
    <t>Agus Lesmana</t>
  </si>
  <si>
    <t>Yulia Lestari</t>
  </si>
  <si>
    <t>Devorce</t>
  </si>
  <si>
    <t>Mobile Phone</t>
  </si>
  <si>
    <t>Major</t>
  </si>
  <si>
    <t>Bachelor Degree</t>
  </si>
  <si>
    <t>D3</t>
  </si>
  <si>
    <t>Finance</t>
  </si>
  <si>
    <t>Sales Administration</t>
  </si>
  <si>
    <t>End Date</t>
  </si>
  <si>
    <t>Exit Date</t>
  </si>
  <si>
    <t>No. Contract</t>
  </si>
  <si>
    <t>Employee Status</t>
  </si>
  <si>
    <t>Reason Sapartion</t>
  </si>
  <si>
    <t>Contract Ended</t>
  </si>
  <si>
    <t>Contract End</t>
  </si>
  <si>
    <t>Resigned</t>
  </si>
  <si>
    <t>Active</t>
  </si>
  <si>
    <t>Accounting</t>
  </si>
  <si>
    <t>Psychology</t>
  </si>
  <si>
    <t>Divorced</t>
  </si>
  <si>
    <t>Law</t>
  </si>
  <si>
    <t>Widowed</t>
  </si>
  <si>
    <t>Internship</t>
  </si>
  <si>
    <t>Communication</t>
  </si>
  <si>
    <t>Business Administration</t>
  </si>
  <si>
    <t>Human Resource Management</t>
  </si>
  <si>
    <t>Industrial Engineering</t>
  </si>
  <si>
    <t>Mechanical Engineering</t>
  </si>
  <si>
    <t>Electrical Engineering</t>
  </si>
  <si>
    <t>Purchasing</t>
  </si>
  <si>
    <t>Information Systems</t>
  </si>
  <si>
    <t>PPIC</t>
  </si>
  <si>
    <t>Informatics Engineering</t>
  </si>
  <si>
    <t>Statistics</t>
  </si>
  <si>
    <t>Economics</t>
  </si>
  <si>
    <t>Warehouse</t>
  </si>
  <si>
    <t>SMA/K</t>
  </si>
  <si>
    <t>Natural Sciences</t>
  </si>
  <si>
    <t>Social Sciences</t>
  </si>
  <si>
    <t>Bachelor</t>
  </si>
  <si>
    <t>Family Member Name</t>
  </si>
  <si>
    <t>Occupation</t>
  </si>
  <si>
    <t>Jelita Wijaya</t>
  </si>
  <si>
    <t>25/07/1988</t>
  </si>
  <si>
    <t>Entrepreneur</t>
  </si>
  <si>
    <t>Child</t>
  </si>
  <si>
    <t>Fadli Ramadhan</t>
  </si>
  <si>
    <t>24/06/2014</t>
  </si>
  <si>
    <t>Elementary Student</t>
  </si>
  <si>
    <t>Civil Servant</t>
  </si>
  <si>
    <t>Novi Permata</t>
  </si>
  <si>
    <t>01/01/1990</t>
  </si>
  <si>
    <t>Housewife</t>
  </si>
  <si>
    <t>Jelita Kurniawan</t>
  </si>
  <si>
    <t>05/01/2015</t>
  </si>
  <si>
    <t>Gita Kusuma</t>
  </si>
  <si>
    <t>10/12/1982</t>
  </si>
  <si>
    <t>Teacher</t>
  </si>
  <si>
    <t>Yudha Hidayat</t>
  </si>
  <si>
    <t>08/12/2014</t>
  </si>
  <si>
    <t>Reza Susanto</t>
  </si>
  <si>
    <t>09/11/2016</t>
  </si>
  <si>
    <t>12/04/1979</t>
  </si>
  <si>
    <t>Senior High Student</t>
  </si>
  <si>
    <t>Gina Kusuma</t>
  </si>
  <si>
    <t>27/11/1981</t>
  </si>
  <si>
    <t>Joko Permata</t>
  </si>
  <si>
    <t>13/06/2011</t>
  </si>
  <si>
    <t>Junior High Student</t>
  </si>
  <si>
    <t>Julia Firmansyah</t>
  </si>
  <si>
    <t>24/11/1971</t>
  </si>
  <si>
    <t>Nur Wijaya</t>
  </si>
  <si>
    <t>30/03/2010</t>
  </si>
  <si>
    <t>Endah Setiawan</t>
  </si>
  <si>
    <t>28/08/2013</t>
  </si>
  <si>
    <t>Qomar Setiawan</t>
  </si>
  <si>
    <t>26/11/1974</t>
  </si>
  <si>
    <t>Freelancer</t>
  </si>
  <si>
    <t>Eka Wardani</t>
  </si>
  <si>
    <t>17/12/1975</t>
  </si>
  <si>
    <t>Private Employee</t>
  </si>
  <si>
    <t>Firman Puspita</t>
  </si>
  <si>
    <t>18/03/2015</t>
  </si>
  <si>
    <t>Made Lestari</t>
  </si>
  <si>
    <t>22/02/1981</t>
  </si>
  <si>
    <t>02/01/2013</t>
  </si>
  <si>
    <t>Kindergarten Student</t>
  </si>
  <si>
    <t>Toddler</t>
  </si>
  <si>
    <t>Dian Saputra</t>
  </si>
  <si>
    <t>01/11/1997</t>
  </si>
  <si>
    <t>Iwan Hidayat</t>
  </si>
  <si>
    <t>20/12/2016</t>
  </si>
  <si>
    <t>Latif Lestari</t>
  </si>
  <si>
    <t>17/08/1979</t>
  </si>
  <si>
    <t>Doni Wijaya</t>
  </si>
  <si>
    <t>20/03/1995</t>
  </si>
  <si>
    <t>Julia Puspita</t>
  </si>
  <si>
    <t>14/07/1981</t>
  </si>
  <si>
    <t>Kirana Santoso</t>
  </si>
  <si>
    <t>25/04/2012</t>
  </si>
  <si>
    <t>Yudha Salsabila</t>
  </si>
  <si>
    <t>08/09/2014</t>
  </si>
  <si>
    <t>Fani Lestari</t>
  </si>
  <si>
    <t>20/06/1994</t>
  </si>
  <si>
    <t>Winda Utami</t>
  </si>
  <si>
    <t>01/08/2023</t>
  </si>
  <si>
    <t>Jelita Nugroho</t>
  </si>
  <si>
    <t>25/07/1979</t>
  </si>
  <si>
    <t>Qonita Hidayat</t>
  </si>
  <si>
    <t>08/01/2012</t>
  </si>
  <si>
    <t>Citra Kurniawan</t>
  </si>
  <si>
    <t>25/06/2014</t>
  </si>
  <si>
    <t>Cici Pratama</t>
  </si>
  <si>
    <t>21/02/1991</t>
  </si>
  <si>
    <t>Mira Maulana</t>
  </si>
  <si>
    <t>04/08/2021</t>
  </si>
  <si>
    <t>Laras Utami</t>
  </si>
  <si>
    <t>27/12/1987</t>
  </si>
  <si>
    <t>Tania Utami</t>
  </si>
  <si>
    <t>17/06/2012</t>
  </si>
  <si>
    <t>Novi Firmansyah</t>
  </si>
  <si>
    <t>24/06/2015</t>
  </si>
  <si>
    <t>Tania Lestari</t>
  </si>
  <si>
    <t>14/06/2000</t>
  </si>
  <si>
    <t>Cahyo Lestari</t>
  </si>
  <si>
    <t>10/11/2019</t>
  </si>
  <si>
    <t>Cici Lestari</t>
  </si>
  <si>
    <t>03/03/1990</t>
  </si>
  <si>
    <t>Intan Pangestu</t>
  </si>
  <si>
    <t>14/11/2012</t>
  </si>
  <si>
    <t>Hendra Pangestu</t>
  </si>
  <si>
    <t>13/06/2018</t>
  </si>
  <si>
    <t>Reza Wardani</t>
  </si>
  <si>
    <t>22/05/1977</t>
  </si>
  <si>
    <t>Endah Sari</t>
  </si>
  <si>
    <t>09/07/1978</t>
  </si>
  <si>
    <t>Zahra Salsabila</t>
  </si>
  <si>
    <t>16/04/2010</t>
  </si>
  <si>
    <t>Bella Puspita</t>
  </si>
  <si>
    <t>02/05/2000</t>
  </si>
  <si>
    <t>Novi Salsabila</t>
  </si>
  <si>
    <t>28/01/2020</t>
  </si>
  <si>
    <t>Nia Pangestu</t>
  </si>
  <si>
    <t>20/09/1995</t>
  </si>
  <si>
    <t>Nurse</t>
  </si>
  <si>
    <t>Zahra Permata</t>
  </si>
  <si>
    <t>27/12/2020</t>
  </si>
  <si>
    <t>Jelita Saputra</t>
  </si>
  <si>
    <t>23/08/1996</t>
  </si>
  <si>
    <t>Ika Wibowo</t>
  </si>
  <si>
    <t>11/06/1998</t>
  </si>
  <si>
    <t>Nanda Pangestu</t>
  </si>
  <si>
    <t>27/05/2021</t>
  </si>
  <si>
    <t>Krisna Rahayu</t>
  </si>
  <si>
    <t>12/11/2023</t>
  </si>
  <si>
    <t>Zahra Kusuma</t>
  </si>
  <si>
    <t>04/10/1980</t>
  </si>
  <si>
    <t>Mega Susanto</t>
  </si>
  <si>
    <t>02/05/2016</t>
  </si>
  <si>
    <t>Cahyo Maulana</t>
  </si>
  <si>
    <t>27/04/2016</t>
  </si>
  <si>
    <t>Gilang Kurniawan</t>
  </si>
  <si>
    <t>13/02/2015</t>
  </si>
  <si>
    <t>Mega Permata</t>
  </si>
  <si>
    <t>23/05/2016</t>
  </si>
  <si>
    <t>Mega Maulana</t>
  </si>
  <si>
    <t>17/06/2017</t>
  </si>
  <si>
    <t>Endah Permata</t>
  </si>
  <si>
    <t>07/07/2021</t>
  </si>
  <si>
    <t>Lukman Ramadhan</t>
  </si>
  <si>
    <t>13/04/2015</t>
  </si>
  <si>
    <t>Joko Suryani</t>
  </si>
  <si>
    <t>28/09/2009</t>
  </si>
  <si>
    <t>Tania Handayani</t>
  </si>
  <si>
    <t>28/02/2024</t>
  </si>
  <si>
    <t>Anisa Kristanto</t>
  </si>
  <si>
    <t>17/06/2013</t>
  </si>
  <si>
    <t>Anisa Halim</t>
  </si>
  <si>
    <t>10/09/2015</t>
  </si>
  <si>
    <t>Kevin Santoso</t>
  </si>
  <si>
    <t>26/11/2019</t>
  </si>
  <si>
    <t>Oktavia Kristanto</t>
  </si>
  <si>
    <t>29/08/2011</t>
  </si>
  <si>
    <t>Joko Wibowo</t>
  </si>
  <si>
    <t>22/12/2021</t>
  </si>
  <si>
    <t>Lukman Wijaya</t>
  </si>
  <si>
    <t>08/10/2009</t>
  </si>
  <si>
    <t>Jelita Hidayat</t>
  </si>
  <si>
    <t>24/06/2013</t>
  </si>
  <si>
    <t>Galih Salsabila</t>
  </si>
  <si>
    <t>30/05/2010</t>
  </si>
  <si>
    <t>Hana Pangestu</t>
  </si>
  <si>
    <t>Qonita Puspita</t>
  </si>
  <si>
    <t>28/08/2009</t>
  </si>
  <si>
    <t>Qonita Handayani</t>
  </si>
  <si>
    <t>20/07/2014</t>
  </si>
  <si>
    <t>Bella Kurniawan</t>
  </si>
  <si>
    <t>06/07/2017</t>
  </si>
  <si>
    <t>Tania Wibowo</t>
  </si>
  <si>
    <t>10/06/2019</t>
  </si>
  <si>
    <t>Hendra Halim</t>
  </si>
  <si>
    <t>01/02/2010</t>
  </si>
  <si>
    <t>Nia Firmansyah</t>
  </si>
  <si>
    <t>18/10/2013</t>
  </si>
  <si>
    <t>Jaya Permata</t>
  </si>
  <si>
    <t>30/12/1988</t>
  </si>
  <si>
    <t>Bunga Saputra</t>
  </si>
  <si>
    <t>01/03/1981</t>
  </si>
  <si>
    <t>Cici Gunawan</t>
  </si>
  <si>
    <t>03/03/2016</t>
  </si>
  <si>
    <t>Joko Gunawan</t>
  </si>
  <si>
    <t>09/02/1981</t>
  </si>
  <si>
    <t>Anisa Rahayu</t>
  </si>
  <si>
    <t>19/06/1990</t>
  </si>
  <si>
    <t>Cici Hidayat</t>
  </si>
  <si>
    <t>21/09/1993</t>
  </si>
  <si>
    <t>Oki Setiawan</t>
  </si>
  <si>
    <t>23/03/2024</t>
  </si>
  <si>
    <t>Krisna Wijaya</t>
  </si>
  <si>
    <t>27/08/1984</t>
  </si>
  <si>
    <t>Dimas Wijaya</t>
  </si>
  <si>
    <t>11/10/1981</t>
  </si>
  <si>
    <t>Mega Puspita</t>
  </si>
  <si>
    <t>21/08/1996</t>
  </si>
  <si>
    <t>Citra Pangestu</t>
  </si>
  <si>
    <t>06/03/2017</t>
  </si>
  <si>
    <t>Laila Saputra</t>
  </si>
  <si>
    <t>24/12/1982</t>
  </si>
  <si>
    <t>Dimas Setiawan</t>
  </si>
  <si>
    <t>04/01/2016</t>
  </si>
  <si>
    <t>Yudha Prasetyo</t>
  </si>
  <si>
    <t>28/03/2021</t>
  </si>
  <si>
    <t>Novi Halim</t>
  </si>
  <si>
    <t>25/06/1989</t>
  </si>
  <si>
    <t>Julia Prasetyo</t>
  </si>
  <si>
    <t>30/08/2010</t>
  </si>
  <si>
    <t>Anisa Santoso</t>
  </si>
  <si>
    <t>05/12/2014</t>
  </si>
  <si>
    <t>Joko Wijaya</t>
  </si>
  <si>
    <t>22/07/1986</t>
  </si>
  <si>
    <t>Laras Pangestu</t>
  </si>
  <si>
    <t>09/11/1974</t>
  </si>
  <si>
    <t>Zainal Setiawan</t>
  </si>
  <si>
    <t>17/01/2009</t>
  </si>
  <si>
    <t>Iwan Halim</t>
  </si>
  <si>
    <t>18/05/1998</t>
  </si>
  <si>
    <t>Kartika Permata</t>
  </si>
  <si>
    <t>22/04/2022</t>
  </si>
  <si>
    <t>Oktavia Pratama</t>
  </si>
  <si>
    <t>07/01/1984</t>
  </si>
  <si>
    <t>Vino Suryani</t>
  </si>
  <si>
    <t>26/01/2010</t>
  </si>
  <si>
    <t>Irfan Wardani</t>
  </si>
  <si>
    <t>20/01/2014</t>
  </si>
  <si>
    <t>Sari Lestari</t>
  </si>
  <si>
    <t>22/08/1998</t>
  </si>
  <si>
    <t>Bella Firmansyah</t>
  </si>
  <si>
    <t>07/09/2022</t>
  </si>
  <si>
    <t>Oscar Maulana</t>
  </si>
  <si>
    <t>24/03/1984</t>
  </si>
  <si>
    <t>Tania Setiawan</t>
  </si>
  <si>
    <t>31/07/1974</t>
  </si>
  <si>
    <t>Firman Permata</t>
  </si>
  <si>
    <t>21/12/2012</t>
  </si>
  <si>
    <t>Dimas Maulana</t>
  </si>
  <si>
    <t>27/12/2010</t>
  </si>
  <si>
    <t>Winda Rahayu</t>
  </si>
  <si>
    <t>16/12/2012</t>
  </si>
  <si>
    <t>Lukman Salsabila</t>
  </si>
  <si>
    <t>30/10/1984</t>
  </si>
  <si>
    <t>Gina Pratama</t>
  </si>
  <si>
    <t>14/01/1981</t>
  </si>
  <si>
    <t>Erlangga Suryani</t>
  </si>
  <si>
    <t>11/11/2012</t>
  </si>
  <si>
    <t>Firman Setiawan</t>
  </si>
  <si>
    <t>15/08/2001</t>
  </si>
  <si>
    <t>Iwan Maulana</t>
  </si>
  <si>
    <t>15/09/1999</t>
  </si>
  <si>
    <t>Kirana Firmansyah</t>
  </si>
  <si>
    <t>26/06/2018</t>
  </si>
  <si>
    <t>Intan Salsabila</t>
  </si>
  <si>
    <t>19/02/1989</t>
  </si>
  <si>
    <t>Mira Firmansyah</t>
  </si>
  <si>
    <t>05/10/2015</t>
  </si>
  <si>
    <t>Taufik Rahayu</t>
  </si>
  <si>
    <t>25/12/2017</t>
  </si>
  <si>
    <t>Citra Kristanto</t>
  </si>
  <si>
    <t>27/04/2009</t>
  </si>
  <si>
    <t>Panji Pangestu</t>
  </si>
  <si>
    <t>05/01/1996</t>
  </si>
  <si>
    <t>Joko Kurniawan</t>
  </si>
  <si>
    <t>23/12/2019</t>
  </si>
  <si>
    <t>Endah Lestari</t>
  </si>
  <si>
    <t>02/04/1979</t>
  </si>
  <si>
    <t>Doni Utami</t>
  </si>
  <si>
    <t>28/08/2011</t>
  </si>
  <si>
    <t>Fani Utami</t>
  </si>
  <si>
    <t>28/03/2017</t>
  </si>
  <si>
    <t>Citra Santoso</t>
  </si>
  <si>
    <t>30/01/1993</t>
  </si>
  <si>
    <t>Iwan Pangestu</t>
  </si>
  <si>
    <t>17/05/2014</t>
  </si>
  <si>
    <t>Ika Nugroho</t>
  </si>
  <si>
    <t>26/03/2018</t>
  </si>
  <si>
    <t>Bagus Pangestu</t>
  </si>
  <si>
    <t>26/09/1994</t>
  </si>
  <si>
    <t>Nanda Sari</t>
  </si>
  <si>
    <t>18/10/2024</t>
  </si>
  <si>
    <t>Zainal Nugroho</t>
  </si>
  <si>
    <t>13/08/1985</t>
  </si>
  <si>
    <t>Wahyu Puspita</t>
  </si>
  <si>
    <t>07/12/1985</t>
  </si>
  <si>
    <t>Desi Firmansyah</t>
  </si>
  <si>
    <t>31/01/1995</t>
  </si>
  <si>
    <t>Marco Kristanto</t>
  </si>
  <si>
    <t>07/12/2020</t>
  </si>
  <si>
    <t>Reza Santoso</t>
  </si>
  <si>
    <t>06/01/2025</t>
  </si>
  <si>
    <t>Production Supervisor</t>
  </si>
  <si>
    <t>High School</t>
  </si>
  <si>
    <t>Code</t>
  </si>
  <si>
    <t>Vocational High School</t>
  </si>
  <si>
    <t>Associate Degree (D3)</t>
  </si>
  <si>
    <t>Bachelor's Degree (S1)</t>
  </si>
  <si>
    <t>Master's Degree (S2)</t>
  </si>
  <si>
    <t>Doctoral Degree (S3)</t>
  </si>
  <si>
    <t>Software Engineering (RPL)</t>
  </si>
  <si>
    <t>Automotive Engineering</t>
  </si>
  <si>
    <t>Metal Engineering</t>
  </si>
  <si>
    <t>Marketing</t>
  </si>
  <si>
    <t>Tourism</t>
  </si>
  <si>
    <t>Natural Sciences (IPA)</t>
  </si>
  <si>
    <t>Social Sciences (IPS)</t>
  </si>
  <si>
    <t>Divisi</t>
  </si>
  <si>
    <t>Departemen</t>
  </si>
  <si>
    <t>TAX</t>
  </si>
  <si>
    <t>Sales</t>
  </si>
  <si>
    <t>Production</t>
  </si>
  <si>
    <t>Quality Assurance</t>
  </si>
  <si>
    <t>Quality Engineering</t>
  </si>
  <si>
    <t>Legal &amp; Compliance</t>
  </si>
  <si>
    <t>Human Resources &amp; General Affairs</t>
  </si>
  <si>
    <t>Protestantism</t>
  </si>
  <si>
    <t>Catholicism</t>
  </si>
  <si>
    <t>Hinduism</t>
  </si>
  <si>
    <t>Buddhism</t>
  </si>
  <si>
    <t>Confucianism</t>
  </si>
  <si>
    <t>Tax IDE (NPWP)</t>
  </si>
  <si>
    <t>BPJS KPJ</t>
  </si>
  <si>
    <t>BPJS JKN</t>
  </si>
  <si>
    <t>Bank Name</t>
  </si>
  <si>
    <t>Bank Acount</t>
  </si>
  <si>
    <t>Divison</t>
  </si>
  <si>
    <t>Top Management</t>
  </si>
  <si>
    <t>bbg.wijaya@dumibumi.co.id</t>
  </si>
  <si>
    <t>President Director</t>
  </si>
  <si>
    <t>Corporate Governance</t>
  </si>
  <si>
    <t>Board of Commissioners</t>
  </si>
  <si>
    <t>Audit Committee</t>
  </si>
  <si>
    <t>Nomination &amp; Remuneration Committee</t>
  </si>
  <si>
    <t>Corporate Secretary</t>
  </si>
  <si>
    <t>Audit Committee Staff</t>
  </si>
  <si>
    <t>Audit Committee Manager</t>
  </si>
  <si>
    <t>Nomination &amp; Remuneration Committee Staff</t>
  </si>
  <si>
    <t>Nomination &amp; Remuneration Committee Manager</t>
  </si>
  <si>
    <t>Monica Putri Ayu</t>
  </si>
  <si>
    <t>Dedi Falah</t>
  </si>
  <si>
    <t>Ayu Lestari</t>
  </si>
  <si>
    <t>Yulia Kurniawan</t>
  </si>
  <si>
    <t>Farhan Arif Firmansyah</t>
  </si>
  <si>
    <t>Musdalifah</t>
  </si>
  <si>
    <t>Ine Agraeni</t>
  </si>
  <si>
    <t>Nisa Noor F. Halimah</t>
  </si>
  <si>
    <t>Angel Kusuma Dewi</t>
  </si>
  <si>
    <t>Reza Nurfadilah Restu</t>
  </si>
  <si>
    <t>Adi Mulyadi</t>
  </si>
  <si>
    <t>Muhammad Rizal</t>
  </si>
  <si>
    <t>Guido Nagoya</t>
  </si>
  <si>
    <t>M. Raden Nalindra P.</t>
  </si>
  <si>
    <t>Dea Karunisa</t>
  </si>
  <si>
    <t>Mummahad Agil Firmansyah</t>
  </si>
  <si>
    <t>Agus Boediono</t>
  </si>
  <si>
    <t>Junaedi</t>
  </si>
  <si>
    <t>Rudi Satria</t>
  </si>
  <si>
    <t>Muhammad Yusril</t>
  </si>
  <si>
    <t>Mega Dewi Sartika</t>
  </si>
  <si>
    <t>Septiadi</t>
  </si>
  <si>
    <t>Production Planning &amp; Control Officer</t>
  </si>
  <si>
    <t>Production Planning Analyst Staff</t>
  </si>
  <si>
    <t>Production Planning &amp; Control Administrator</t>
  </si>
  <si>
    <t>Finance Manager</t>
  </si>
  <si>
    <t>Jajang Kusuma</t>
  </si>
  <si>
    <t>Warehouse Administrator Staff</t>
  </si>
  <si>
    <t>Firman Pangestu</t>
  </si>
  <si>
    <t>Production Manager</t>
  </si>
  <si>
    <t>Supplier Quality Engineer (SQE)</t>
  </si>
  <si>
    <t>Process Quality Engineer (PQE)</t>
  </si>
  <si>
    <t>Quality Control In-Coming</t>
  </si>
  <si>
    <t>Quality Engineering Supervisor</t>
  </si>
  <si>
    <t>QA Manager</t>
  </si>
  <si>
    <t>QE Manager</t>
  </si>
  <si>
    <t>Leader Line Production</t>
  </si>
  <si>
    <t>Quality Control Supervisor</t>
  </si>
  <si>
    <t>Customer Quality Engineer (CQE)</t>
  </si>
  <si>
    <t>Commercial &amp; Marketing Manager</t>
  </si>
  <si>
    <t>Marketing Supervisor</t>
  </si>
  <si>
    <t>Sales Manager</t>
  </si>
  <si>
    <t>Sales Supervisor</t>
  </si>
  <si>
    <t>Marketing Staff</t>
  </si>
  <si>
    <t>Purchasing Manager</t>
  </si>
  <si>
    <t>Purchasing Supervisor</t>
  </si>
  <si>
    <t>Purchasing Officer</t>
  </si>
  <si>
    <t>Purchasing Staff</t>
  </si>
  <si>
    <t>Senior Professional / Engineer / Analyst</t>
  </si>
  <si>
    <t>Officer / Executive</t>
  </si>
  <si>
    <t>Purchasing Administrator</t>
  </si>
  <si>
    <t>Kadek Dwi Arum</t>
  </si>
  <si>
    <t>Adi Hidayat</t>
  </si>
  <si>
    <t>Rizky Pratama</t>
  </si>
  <si>
    <t>Dwi Nugroho</t>
  </si>
  <si>
    <t>Agung Kurniawan</t>
  </si>
  <si>
    <t>Puta Pra Ramadhan</t>
  </si>
  <si>
    <t>Ary Setyo Prasetya</t>
  </si>
  <si>
    <t>Dadan Hidayat</t>
  </si>
  <si>
    <t>Bagas Pratama</t>
  </si>
  <si>
    <t>Samsul Hidayatullah</t>
  </si>
  <si>
    <t>Iwan Kurniawan</t>
  </si>
  <si>
    <t>Asep Setiadi</t>
  </si>
  <si>
    <t>Yusuf Hidayat</t>
  </si>
  <si>
    <t>Zidan Malik Ridwan</t>
  </si>
  <si>
    <t>M. Agil</t>
  </si>
  <si>
    <t>Putra Wijaya</t>
  </si>
  <si>
    <t>IT Manager</t>
  </si>
  <si>
    <t>IT Supervisor</t>
  </si>
  <si>
    <t>Programmer</t>
  </si>
  <si>
    <t>08/05/1890</t>
  </si>
  <si>
    <t>Dwi Pratama</t>
  </si>
  <si>
    <t>Sapri Maulana</t>
  </si>
  <si>
    <t>Nanda Nugroho</t>
  </si>
  <si>
    <t>Indra Ramadhan</t>
  </si>
  <si>
    <t>Putra Saputra</t>
  </si>
  <si>
    <t>Putra Lesmana</t>
  </si>
  <si>
    <t>Dadan Ramadhan</t>
  </si>
  <si>
    <t>Asep Hidayat</t>
  </si>
  <si>
    <t>Renaldi Maulana</t>
  </si>
  <si>
    <t>Egi Pratama</t>
  </si>
  <si>
    <t>Zidan Santoso</t>
  </si>
  <si>
    <t>Dwi Fajar Maulana</t>
  </si>
  <si>
    <t>Rijal Pangestu</t>
  </si>
  <si>
    <t>Ridwan Maulana</t>
  </si>
  <si>
    <t>Lili Maulana</t>
  </si>
  <si>
    <t>Dwi Kusnandar</t>
  </si>
  <si>
    <t>National ID Family</t>
  </si>
  <si>
    <t>Relation</t>
  </si>
  <si>
    <t>Wife</t>
  </si>
  <si>
    <t>Husband</t>
  </si>
  <si>
    <t>Nadia Lestari</t>
  </si>
  <si>
    <t>Kevin Lesmana</t>
  </si>
  <si>
    <t>No. JKN</t>
  </si>
  <si>
    <t>3679148205614831</t>
  </si>
  <si>
    <t>3679148205614832</t>
  </si>
  <si>
    <t>5124867301948251</t>
  </si>
  <si>
    <t>5124867301948252</t>
  </si>
  <si>
    <t>8246701593482161</t>
  </si>
  <si>
    <t>8246701593482162</t>
  </si>
  <si>
    <t>8246701593482163</t>
  </si>
  <si>
    <t>1938457260184371</t>
  </si>
  <si>
    <t>6582947105361821</t>
  </si>
  <si>
    <t>6582947105361822</t>
  </si>
  <si>
    <t>4719638251076481</t>
  </si>
  <si>
    <t>4719638251076482</t>
  </si>
  <si>
    <t>4719638251076483</t>
  </si>
  <si>
    <t>9021548763407191</t>
  </si>
  <si>
    <t>2847163950284611</t>
  </si>
  <si>
    <t>2847163950284612</t>
  </si>
  <si>
    <t>7350284916573201</t>
  </si>
  <si>
    <t>8463917250841631</t>
  </si>
  <si>
    <t>8463917250841632</t>
  </si>
  <si>
    <t>5917402863159741</t>
  </si>
  <si>
    <t>2604891735284061</t>
  </si>
  <si>
    <t>9182736450192831</t>
  </si>
  <si>
    <t>9182736450192832</t>
  </si>
  <si>
    <t>9182736450192833</t>
  </si>
  <si>
    <t>4058271639405821</t>
  </si>
  <si>
    <t>4058271639405822</t>
  </si>
  <si>
    <t>7361948250736191</t>
  </si>
  <si>
    <t>7361948250736192</t>
  </si>
  <si>
    <t>7361948250736193</t>
  </si>
  <si>
    <t>1526384709152631</t>
  </si>
  <si>
    <t>1526384709152632</t>
  </si>
  <si>
    <t>6849201753684921</t>
  </si>
  <si>
    <t>6849201753684922</t>
  </si>
  <si>
    <t>6849201753684923</t>
  </si>
  <si>
    <t>3791052846379101</t>
  </si>
  <si>
    <t>3791052846379102</t>
  </si>
  <si>
    <t>5284061937528401</t>
  </si>
  <si>
    <t>5284061937528402</t>
  </si>
  <si>
    <t>5284061937528403</t>
  </si>
  <si>
    <t>9405172638940511</t>
  </si>
  <si>
    <t>6172839405617281</t>
  </si>
  <si>
    <t>6172839405617282</t>
  </si>
  <si>
    <t>4839201756483921</t>
  </si>
  <si>
    <t>4839201756483922</t>
  </si>
  <si>
    <t>7051628394705161</t>
  </si>
  <si>
    <t>7051628394705162</t>
  </si>
  <si>
    <t>3648192750364811</t>
  </si>
  <si>
    <t>8517203946851721</t>
  </si>
  <si>
    <t>8517203946851722</t>
  </si>
  <si>
    <t>8517203946851723</t>
  </si>
  <si>
    <t>2963847150296381</t>
  </si>
  <si>
    <t>2963847150296382</t>
  </si>
  <si>
    <t>7319504826731951</t>
  </si>
  <si>
    <t>7319504826731952</t>
  </si>
  <si>
    <t>6482051739648201</t>
  </si>
  <si>
    <t>5194372860519431</t>
  </si>
  <si>
    <t>8702163549870211</t>
  </si>
  <si>
    <t>4528193760452811</t>
  </si>
  <si>
    <t>1863475209186341</t>
  </si>
  <si>
    <t>6039182745603911</t>
  </si>
  <si>
    <t>9427051638942701</t>
  </si>
  <si>
    <t>3176504982317651</t>
  </si>
  <si>
    <t>8049261735804921</t>
  </si>
  <si>
    <t>2751638409275161</t>
  </si>
  <si>
    <t>2751638409275162</t>
  </si>
  <si>
    <t>2751638409275163</t>
  </si>
  <si>
    <t>5609183472560911</t>
  </si>
  <si>
    <t>7384051926738401</t>
  </si>
  <si>
    <t>9148205637914821</t>
  </si>
  <si>
    <t>4916372850491631</t>
  </si>
  <si>
    <t>6205849137620581</t>
  </si>
  <si>
    <t>1582937460158291</t>
  </si>
  <si>
    <t>1582937460158292</t>
  </si>
  <si>
    <t>3471609285347161</t>
  </si>
  <si>
    <t>3471609285347162</t>
  </si>
  <si>
    <t>8263941750826391</t>
  </si>
  <si>
    <t>8263941750826392</t>
  </si>
  <si>
    <t>7059182634705911</t>
  </si>
  <si>
    <t>6192837450619281</t>
  </si>
  <si>
    <t>6192837450619282</t>
  </si>
  <si>
    <t>2384059176238401</t>
  </si>
  <si>
    <t>4701928365470191</t>
  </si>
  <si>
    <t>5837261940583721</t>
  </si>
  <si>
    <t>5837261940583722</t>
  </si>
  <si>
    <t>1928473650192841</t>
  </si>
  <si>
    <t>8045172936804511</t>
  </si>
  <si>
    <t>7316284950731621</t>
  </si>
  <si>
    <t>7316284950731622</t>
  </si>
  <si>
    <t>4658091732465801</t>
  </si>
  <si>
    <t>4658091732465802</t>
  </si>
  <si>
    <t>4658091732465803</t>
  </si>
  <si>
    <t>9027361548902731</t>
  </si>
  <si>
    <t>9027361548902732</t>
  </si>
  <si>
    <t>9027361548902733</t>
  </si>
  <si>
    <t>3184059276318401</t>
  </si>
  <si>
    <t>5472619384547261</t>
  </si>
  <si>
    <t>5472619384547262</t>
  </si>
  <si>
    <t>7839405162783941</t>
  </si>
  <si>
    <t>7839405162783942</t>
  </si>
  <si>
    <t>7839405162783943</t>
  </si>
  <si>
    <t>2691837450269181</t>
  </si>
  <si>
    <t>2691837450269182</t>
  </si>
  <si>
    <t>2691837450269183</t>
  </si>
  <si>
    <t>4159207368415921</t>
  </si>
  <si>
    <t>4159207368415922</t>
  </si>
  <si>
    <t>9502748163950271</t>
  </si>
  <si>
    <t>9502748163950272</t>
  </si>
  <si>
    <t>6384712059638471</t>
  </si>
  <si>
    <t>1748293650174821</t>
  </si>
  <si>
    <t>1748293650174822</t>
  </si>
  <si>
    <t>8261504739826151</t>
  </si>
  <si>
    <t>3947182650394711</t>
  </si>
  <si>
    <t>3947182650394712</t>
  </si>
  <si>
    <t>5816039274581601</t>
  </si>
  <si>
    <t>5816039274581602</t>
  </si>
  <si>
    <t>5816039274581603</t>
  </si>
  <si>
    <t>2471958360247191</t>
  </si>
  <si>
    <t>7064839152706481</t>
  </si>
  <si>
    <t>7064839152706482</t>
  </si>
  <si>
    <t>5392048176539201</t>
  </si>
  <si>
    <t>5392048176539202</t>
  </si>
  <si>
    <t>5392048176539203</t>
  </si>
  <si>
    <t>6819502734681951</t>
  </si>
  <si>
    <t>6819502734681952</t>
  </si>
  <si>
    <t>6819502734681953</t>
  </si>
  <si>
    <t>1285739460128571</t>
  </si>
  <si>
    <t>1285739460128572</t>
  </si>
  <si>
    <t>9436172508943611</t>
  </si>
  <si>
    <t>3602849175360281</t>
  </si>
  <si>
    <t>5179362840517931</t>
  </si>
  <si>
    <t>5179362840517932</t>
  </si>
  <si>
    <t>5179362840517933</t>
  </si>
  <si>
    <t>8173459201847</t>
  </si>
  <si>
    <t>6029184735601</t>
  </si>
  <si>
    <t>9451738204619</t>
  </si>
  <si>
    <t>7319054826173</t>
  </si>
  <si>
    <t>2846173958204</t>
  </si>
  <si>
    <t>5938204716508</t>
  </si>
  <si>
    <t>1746283950176</t>
  </si>
  <si>
    <t>8263950471835</t>
  </si>
  <si>
    <t>4609182735641</t>
  </si>
  <si>
    <t>9183746502817</t>
  </si>
  <si>
    <t>3057192846503</t>
  </si>
  <si>
    <t>7428601953746</t>
  </si>
  <si>
    <t>5817392046185</t>
  </si>
  <si>
    <t>1938472650814</t>
  </si>
  <si>
    <t>6502948173659</t>
  </si>
  <si>
    <t>2746183950472</t>
  </si>
  <si>
    <t>8372059164837</t>
  </si>
  <si>
    <t>4605729183640</t>
  </si>
  <si>
    <t>9182637450195</t>
  </si>
  <si>
    <t>1573948206813</t>
  </si>
  <si>
    <t>6392817450638</t>
  </si>
  <si>
    <t>4829173501649</t>
  </si>
  <si>
    <t>7501938462751</t>
  </si>
  <si>
    <t>3918462750193</t>
  </si>
  <si>
    <t>8452017395648</t>
  </si>
  <si>
    <t>2063948175206</t>
  </si>
  <si>
    <t>5739182640573</t>
  </si>
  <si>
    <t>9146502738914</t>
  </si>
  <si>
    <t>3602948175360</t>
  </si>
  <si>
    <t>7293846501729</t>
  </si>
  <si>
    <t>1847392056184</t>
  </si>
  <si>
    <t>6052817394605</t>
  </si>
  <si>
    <t>9384716250938</t>
  </si>
  <si>
    <t>4729501836472</t>
  </si>
  <si>
    <t>8193746502819</t>
  </si>
  <si>
    <t>2538406179253</t>
  </si>
  <si>
    <t>7619253840761</t>
  </si>
  <si>
    <t>3948502716394</t>
  </si>
  <si>
    <t>6801739452680</t>
  </si>
  <si>
    <t>1273948506127</t>
  </si>
  <si>
    <t>5482719360548</t>
  </si>
  <si>
    <t>8936401752893</t>
  </si>
  <si>
    <t>3168057294316</t>
  </si>
  <si>
    <t>7592183640759</t>
  </si>
  <si>
    <t>2816374950281</t>
  </si>
  <si>
    <t>9047152638904</t>
  </si>
  <si>
    <t>6350482719635</t>
  </si>
  <si>
    <t>4728613950472</t>
  </si>
  <si>
    <t>8502739461850</t>
  </si>
  <si>
    <t>1973648502197</t>
  </si>
  <si>
    <t>6205847193620</t>
  </si>
  <si>
    <t>3847192056384</t>
  </si>
  <si>
    <t>9150273648915</t>
  </si>
  <si>
    <t>2638491705263</t>
  </si>
  <si>
    <t>7483051926748</t>
  </si>
  <si>
    <t>5301948267530</t>
  </si>
  <si>
    <t>8617293450861</t>
  </si>
  <si>
    <t>2946175830294</t>
  </si>
  <si>
    <t>6753829140675</t>
  </si>
  <si>
    <t>1439205867143</t>
  </si>
  <si>
    <t>8075619243807</t>
  </si>
  <si>
    <t>3528946172352</t>
  </si>
  <si>
    <t>9640182735964</t>
  </si>
  <si>
    <t>5812467390581</t>
  </si>
  <si>
    <t>2309481765230</t>
  </si>
  <si>
    <t>7183652940718</t>
  </si>
  <si>
    <t>4961528376496</t>
  </si>
  <si>
    <t>8752039461875</t>
  </si>
  <si>
    <t>3197846502319</t>
  </si>
  <si>
    <t>6520173948652</t>
  </si>
  <si>
    <t>1846052739184</t>
  </si>
  <si>
    <t>9374618250937</t>
  </si>
  <si>
    <t>4705921836470</t>
  </si>
  <si>
    <t>8257394610825</t>
  </si>
  <si>
    <t>2618450937261</t>
  </si>
  <si>
    <t>7901348265790</t>
  </si>
  <si>
    <t>5438261709543</t>
  </si>
  <si>
    <t>9187052436918</t>
  </si>
  <si>
    <t>3064719582306</t>
  </si>
  <si>
    <t>6749301825674</t>
  </si>
  <si>
    <t>1592846370159</t>
  </si>
  <si>
    <t>8326401957832</t>
  </si>
  <si>
    <t>4215978360421</t>
  </si>
  <si>
    <t>7051839462705</t>
  </si>
  <si>
    <t>2984716503298</t>
  </si>
  <si>
    <t>6417309582641</t>
  </si>
  <si>
    <t>8742156390874</t>
  </si>
  <si>
    <t>3156902847315</t>
  </si>
  <si>
    <t>9573184620957</t>
  </si>
  <si>
    <t>2084637195208</t>
  </si>
  <si>
    <t>7861043952786</t>
  </si>
  <si>
    <t>5328714609532</t>
  </si>
  <si>
    <t>1493827605149</t>
  </si>
  <si>
    <t>6905248173690</t>
  </si>
  <si>
    <t>8739502641873</t>
  </si>
  <si>
    <t>4251867390425</t>
  </si>
  <si>
    <t>7180429536718</t>
  </si>
  <si>
    <t>3516298471351</t>
  </si>
  <si>
    <t>9624837150962</t>
  </si>
  <si>
    <t>5071948263507</t>
  </si>
  <si>
    <t>1842739506184</t>
  </si>
  <si>
    <t>6398502714639</t>
  </si>
  <si>
    <t>2759406183275</t>
  </si>
  <si>
    <t>8146372950814</t>
  </si>
  <si>
    <t>3605819472360</t>
  </si>
  <si>
    <t>9572408163957</t>
  </si>
  <si>
    <t>4027195836402</t>
  </si>
  <si>
    <t>6819352047681</t>
  </si>
  <si>
    <t>2358741906235</t>
  </si>
  <si>
    <t>7935614820793</t>
  </si>
  <si>
    <t>5184209376518</t>
  </si>
  <si>
    <t>1468952730146</t>
  </si>
  <si>
    <t>8253746910825</t>
  </si>
  <si>
    <t>3071589426307</t>
  </si>
  <si>
    <t>6742819534674</t>
  </si>
  <si>
    <t>2194738650219</t>
  </si>
  <si>
    <t>8506942713850</t>
  </si>
  <si>
    <t>4918273506491</t>
  </si>
  <si>
    <t>7360582149736</t>
  </si>
  <si>
    <t>2849516370284</t>
  </si>
  <si>
    <t>9637420185963</t>
  </si>
  <si>
    <t>5078361942507</t>
  </si>
  <si>
    <t>1482695730148</t>
  </si>
  <si>
    <t>6953178425695</t>
  </si>
  <si>
    <t>8321946507832</t>
  </si>
  <si>
    <t>4716852390471</t>
  </si>
  <si>
    <t>9263508147926</t>
  </si>
  <si>
    <t>3507284916350</t>
  </si>
  <si>
    <t>BPJS Status</t>
  </si>
  <si>
    <t>Registed</t>
  </si>
  <si>
    <t>Terminated</t>
  </si>
  <si>
    <t>Retired</t>
  </si>
  <si>
    <t>End of Contract</t>
  </si>
  <si>
    <t>Probation</t>
  </si>
  <si>
    <t>Unpaid Leave</t>
  </si>
  <si>
    <t>Major Name</t>
  </si>
  <si>
    <t>Type</t>
  </si>
  <si>
    <t>Director</t>
  </si>
  <si>
    <t>Vocational</t>
  </si>
  <si>
    <t>Degree3</t>
  </si>
  <si>
    <t>BachS1</t>
  </si>
  <si>
    <t>MasterS2</t>
  </si>
  <si>
    <t>DocS3</t>
  </si>
  <si>
    <t>Status Utama</t>
  </si>
  <si>
    <t>Sub-Status / Detail</t>
  </si>
  <si>
    <t>Kode Kelompok</t>
  </si>
  <si>
    <t>Contract 1</t>
  </si>
  <si>
    <t>Contract 2</t>
  </si>
  <si>
    <t>Contract 3</t>
  </si>
  <si>
    <t>Suspend</t>
  </si>
  <si>
    <t>Maternity Leave (Cuti Melahirkan)</t>
  </si>
  <si>
    <t>Suspended (Sanksi/Skorsing)</t>
  </si>
  <si>
    <t>PHK</t>
  </si>
  <si>
    <t>Permanent</t>
  </si>
  <si>
    <t>Kode Unik</t>
  </si>
  <si>
    <t>Job Title2</t>
  </si>
  <si>
    <t>HR Ops &amp; GA Supervisor</t>
  </si>
  <si>
    <t>Production Planning Analyst Supervisor</t>
  </si>
  <si>
    <t>Research &amp; Development Manager</t>
  </si>
  <si>
    <t>R&amp;D Product Supervisor</t>
  </si>
  <si>
    <t>R&amp;D Packaging Supervisor</t>
  </si>
  <si>
    <t>Product Development Specialist</t>
  </si>
  <si>
    <t>Formulation Scientist</t>
  </si>
  <si>
    <t>R&amp;D Officer</t>
  </si>
  <si>
    <t>R&amp;D Laboratory Technician</t>
  </si>
  <si>
    <t>R&amp;D Administrator Staff</t>
  </si>
  <si>
    <t>Data Entry Intern</t>
  </si>
  <si>
    <t>Procution Intern</t>
  </si>
  <si>
    <t>Yogyakarta</t>
  </si>
  <si>
    <t>Surabaya</t>
  </si>
  <si>
    <t>Siduarjo</t>
  </si>
  <si>
    <t>Magetan</t>
  </si>
  <si>
    <t>Semarang</t>
  </si>
  <si>
    <t>Bondowoso</t>
  </si>
  <si>
    <t>Banjarmasin</t>
  </si>
  <si>
    <t>Samarinda</t>
  </si>
  <si>
    <t>Balikpapan</t>
  </si>
  <si>
    <t>Aceh</t>
  </si>
  <si>
    <t>Medan</t>
  </si>
  <si>
    <t>Pontianak</t>
  </si>
  <si>
    <t>Singkawang</t>
  </si>
  <si>
    <t>Banjarbaru</t>
  </si>
  <si>
    <t>Bontang</t>
  </si>
  <si>
    <t>Kutai Kartanegara</t>
  </si>
  <si>
    <t>Padang</t>
  </si>
  <si>
    <t>Palembang</t>
  </si>
  <si>
    <t>Kota Metro</t>
  </si>
  <si>
    <t>Tanjung Pinang</t>
  </si>
  <si>
    <t>Bengkulu</t>
  </si>
  <si>
    <t>Malang</t>
  </si>
  <si>
    <t>Madiun</t>
  </si>
  <si>
    <t>Bukittinggi</t>
  </si>
  <si>
    <t>Kediri</t>
  </si>
  <si>
    <t>Pasuruan</t>
  </si>
  <si>
    <t>Mojokerto</t>
  </si>
  <si>
    <t>Blitar</t>
  </si>
  <si>
    <t>Purwakarta</t>
  </si>
  <si>
    <t>Karawang</t>
  </si>
  <si>
    <t>Cikampek</t>
  </si>
  <si>
    <t>Cianjur</t>
  </si>
  <si>
    <t>Sukabumi</t>
  </si>
  <si>
    <t>Ine Hidayatullah</t>
  </si>
  <si>
    <t>Kadek Boediono</t>
  </si>
  <si>
    <t>Jajang Hidayatullah</t>
  </si>
  <si>
    <t>Rizky Utami Putri</t>
  </si>
  <si>
    <t>Dea Arum Lestari</t>
  </si>
  <si>
    <t>Rizka Karunisa</t>
  </si>
  <si>
    <t>Raffi Boediono Pradana</t>
  </si>
  <si>
    <t>Muhammad Rizal Fauzi</t>
  </si>
  <si>
    <t>Fajar Satria Perkasa</t>
  </si>
  <si>
    <t>Putri Pangestu Ayu</t>
  </si>
  <si>
    <t>Raffi Prasetya Nugraha</t>
  </si>
  <si>
    <t>Aulia Saputra Adi</t>
  </si>
  <si>
    <t>Yoga Saputra Pratama</t>
  </si>
  <si>
    <t>Firman Prasetya Utama</t>
  </si>
  <si>
    <t>Lili Wijaya Kusuma</t>
  </si>
  <si>
    <t>Muhammad Nugroho Hadi</t>
  </si>
  <si>
    <t>Indra Pratama Wijaya</t>
  </si>
  <si>
    <t>Asep Permana Putra</t>
  </si>
  <si>
    <t>Dewi Pangestu Rahayu</t>
  </si>
  <si>
    <t>Kadek Bagus Gede</t>
  </si>
  <si>
    <t>Mega Agraeni Putri</t>
  </si>
  <si>
    <t>Sapri Dewantara</t>
  </si>
  <si>
    <t>Rina Kurniawan Setyawati</t>
  </si>
  <si>
    <t>Lili Pangestu Rahma</t>
  </si>
  <si>
    <t>Zidan Pangestu Putra</t>
  </si>
  <si>
    <t>Dea Santoso Putri</t>
  </si>
  <si>
    <t>Yoga Pangestu Wijaya</t>
  </si>
  <si>
    <t>Iwan Prasetyo</t>
  </si>
  <si>
    <t>Bambang Gunawan</t>
  </si>
  <si>
    <t>Yulia Pangestu Ningsih</t>
  </si>
  <si>
    <t>Renaldi Halim Perdana</t>
  </si>
  <si>
    <t>Siti Rizalia Rahma</t>
  </si>
  <si>
    <t>Lina Agraeni Kusuma</t>
  </si>
  <si>
    <t>Nadia Firmansyah Putri</t>
  </si>
  <si>
    <t>Dwi Arum Amalia</t>
  </si>
  <si>
    <t>Nadia Sari Puspita</t>
  </si>
  <si>
    <t>Yusuf Lesmana Putra</t>
  </si>
  <si>
    <t>Aulia Pratama Putra</t>
  </si>
  <si>
    <t>Dadan Dewantara</t>
  </si>
  <si>
    <t>Septiadi Halim Nugraha</t>
  </si>
  <si>
    <t>Bambang Kusuma Jaya</t>
  </si>
  <si>
    <t>Firman Nugroho Adi</t>
  </si>
  <si>
    <t>Raffi Agraeni Putra</t>
  </si>
  <si>
    <t>Aulia Kusuma Wardani</t>
  </si>
  <si>
    <t>Dwi Halim Perdana</t>
  </si>
  <si>
    <t>Yoga Sari Wijaya</t>
  </si>
  <si>
    <t>Iwan Boediono Wibowo</t>
  </si>
  <si>
    <t>Samsul Kusuma Bakti</t>
  </si>
  <si>
    <t>Ine Maulana Putri</t>
  </si>
  <si>
    <t>Andi Karuniawan</t>
  </si>
  <si>
    <t>Lina Karunisa Sari</t>
  </si>
  <si>
    <t>Rahmat Satria Wijaya</t>
  </si>
  <si>
    <t>Rizky Restu Pratama</t>
  </si>
  <si>
    <t>Dea Puspa Lestari</t>
  </si>
  <si>
    <t>Adi Boediono Santoso</t>
  </si>
  <si>
    <t>Dedi Mulyadi Saputra</t>
  </si>
  <si>
    <t>Dewi Permata Sari</t>
  </si>
  <si>
    <t>Bayu Agil Perkasa</t>
  </si>
  <si>
    <t>Budi Lesmana Monoarfa</t>
  </si>
  <si>
    <t>Agus Pratama Yudha</t>
  </si>
  <si>
    <t>Samsul Hidayat Putra</t>
  </si>
  <si>
    <t>Rahmat Hidayatullah</t>
  </si>
  <si>
    <t>Reza Satria Utama</t>
  </si>
  <si>
    <t>Ayu Permata Sari</t>
  </si>
  <si>
    <t>Nanda Satria Perkasa</t>
  </si>
  <si>
    <t>Siti Satria Lestari</t>
  </si>
  <si>
    <t>Samsul Lestari Wijaya</t>
  </si>
  <si>
    <t>Lili Prasetya Ningrum</t>
  </si>
  <si>
    <t>Nisa Kurniawan Putri</t>
  </si>
  <si>
    <t>Andi Saputra Perdana</t>
  </si>
  <si>
    <t>Egi Sartika Putri</t>
  </si>
  <si>
    <t>Budi Dewantara Putra</t>
  </si>
  <si>
    <t>Zidan Ridwanullah</t>
  </si>
  <si>
    <t>Ary Hidayat Pratama</t>
  </si>
  <si>
    <t>Raffi Permata Wijaya</t>
  </si>
  <si>
    <t>Adi Saputra Utama</t>
  </si>
  <si>
    <t>Aulia Putri Lestari</t>
  </si>
  <si>
    <t>Raffi Agil Wijaya</t>
  </si>
  <si>
    <t>Angel Permata Sari</t>
  </si>
  <si>
    <t>Egi Hidayatullah</t>
  </si>
  <si>
    <t>Rijal Restu Pambudi</t>
  </si>
  <si>
    <t>Andi Ramadhan Putra</t>
  </si>
  <si>
    <t>Lili Ayu Wandira</t>
  </si>
  <si>
    <t>Dewi Lestari Rahayu</t>
  </si>
  <si>
    <t>Indra Firmansyah Wijaya</t>
  </si>
  <si>
    <t>Monica Kusuma Wardani</t>
  </si>
  <si>
    <t>Budi Lesmana Hadi</t>
  </si>
  <si>
    <t>Dewi Utami Ningsih</t>
  </si>
  <si>
    <t>Dadan Prasetya Utama</t>
  </si>
  <si>
    <t>3273011508120041</t>
  </si>
  <si>
    <t>3174031904100082</t>
  </si>
  <si>
    <t>3578022211140023</t>
  </si>
  <si>
    <t>5171011105150067</t>
  </si>
  <si>
    <t>1271040309180094</t>
  </si>
  <si>
    <t>6472022801160015</t>
  </si>
  <si>
    <t>7371031410110036</t>
  </si>
  <si>
    <t>3275040912170059</t>
  </si>
  <si>
    <t>3175020506130021</t>
  </si>
  <si>
    <t>3515011707160048</t>
  </si>
  <si>
    <t>3204122903140073</t>
  </si>
  <si>
    <t>3171021208110012</t>
  </si>
  <si>
    <t>3573030805170055</t>
  </si>
  <si>
    <t>5103021911150039</t>
  </si>
  <si>
    <t>1275012202130081</t>
  </si>
  <si>
    <t>6471011506160027</t>
  </si>
  <si>
    <t>7306040304180064</t>
  </si>
  <si>
    <t>3276022710130093</t>
  </si>
  <si>
    <t>3173051409150042</t>
  </si>
  <si>
    <t>3507110512140019</t>
  </si>
  <si>
    <t>3273021906170088</t>
  </si>
  <si>
    <t>3172011102120031</t>
  </si>
  <si>
    <t>3576012407180052</t>
  </si>
  <si>
    <t>5171020904150074</t>
  </si>
  <si>
    <t>1212051611160029</t>
  </si>
  <si>
    <t>6402032208130061</t>
  </si>
  <si>
    <t>7371050503110047</t>
  </si>
  <si>
    <t>3275011312150016</t>
  </si>
  <si>
    <t>3174020809170083</t>
  </si>
  <si>
    <t>3516041705140056</t>
  </si>
  <si>
    <t>3209142101160092</t>
  </si>
  <si>
    <t>3175040308120025</t>
  </si>
  <si>
    <t>3574022811180069</t>
  </si>
  <si>
    <t>5102011404130041</t>
  </si>
  <si>
    <t>1276031907170013</t>
  </si>
  <si>
    <t>6474010210150078</t>
  </si>
  <si>
    <t>7302052502140034</t>
  </si>
  <si>
    <t>3277010906120085</t>
  </si>
  <si>
    <t>3171031603160022</t>
  </si>
  <si>
    <t>3509150808180059</t>
  </si>
  <si>
    <t>3273031210130097</t>
  </si>
  <si>
    <t>3173022605150044</t>
  </si>
  <si>
    <t>3578011911170018</t>
  </si>
  <si>
    <t>5171030401120072</t>
  </si>
  <si>
    <t>1271021707140035</t>
  </si>
  <si>
    <t>6472010804180081</t>
  </si>
  <si>
    <t>7371022209160026</t>
  </si>
  <si>
    <t>3275031405110063</t>
  </si>
  <si>
    <t>3172020512170094</t>
  </si>
  <si>
    <t>3517022808150051</t>
  </si>
  <si>
    <t>3204112502140017</t>
  </si>
  <si>
    <t>3174010909120089</t>
  </si>
  <si>
    <t>3573021404160046</t>
  </si>
  <si>
    <t>5104032110180023</t>
  </si>
  <si>
    <t>1275020301130075</t>
  </si>
  <si>
    <t>6471021107150032</t>
  </si>
  <si>
    <t>7308012903170098</t>
  </si>
  <si>
    <t>3276011611110054</t>
  </si>
  <si>
    <t>3175030805140021</t>
  </si>
  <si>
    <t>3505121408180067</t>
  </si>
  <si>
    <t>3273041912160043</t>
  </si>
  <si>
    <t>3171010204130015</t>
  </si>
  <si>
    <t>3575012809170087</t>
  </si>
  <si>
    <t>5171042302150052</t>
  </si>
  <si>
    <t>1218021508120029</t>
  </si>
  <si>
    <t>6403010905180076</t>
  </si>
  <si>
    <t>7371042710140038</t>
  </si>
  <si>
    <t>3278021803110091</t>
  </si>
  <si>
    <t>3174042211170064</t>
  </si>
  <si>
    <t>3518031404160027</t>
  </si>
  <si>
    <t>3211020505130082</t>
  </si>
  <si>
    <t>3173012312180049</t>
  </si>
  <si>
    <t>3577021701150013</t>
  </si>
  <si>
    <t>5101031109120075</t>
  </si>
  <si>
    <t>1273011402170031</t>
  </si>
  <si>
    <t>6472032808140096</t>
  </si>
  <si>
    <t>7303021903160058</t>
  </si>
  <si>
    <t>3275022107180024</t>
  </si>
  <si>
    <t>3172031510110069</t>
  </si>
  <si>
    <t>3510140806140042</t>
  </si>
  <si>
    <t>3273050409170019</t>
  </si>
  <si>
    <t>3175012503150085</t>
  </si>
  <si>
    <t>3578032212120053</t>
  </si>
  <si>
    <t>5171011705160037</t>
  </si>
  <si>
    <t>1271031111180092</t>
  </si>
  <si>
    <t>6471031901130064</t>
  </si>
  <si>
    <t>7371012807150028</t>
  </si>
  <si>
    <t>3279011410140071</t>
  </si>
  <si>
    <t>3171040802170046</t>
  </si>
  <si>
    <t>3512021908110015</t>
  </si>
  <si>
    <t>3273011205950003</t>
  </si>
  <si>
    <t>3174032408910007</t>
  </si>
  <si>
    <t>3578020511880012</t>
  </si>
  <si>
    <t>5171014203930005</t>
  </si>
  <si>
    <t>1271041807970001</t>
  </si>
  <si>
    <t>6472025512940004</t>
  </si>
  <si>
    <t>7371030906900008</t>
  </si>
  <si>
    <t>3275046101960002</t>
  </si>
  <si>
    <t>3175021909920006</t>
  </si>
  <si>
    <t>3515014810950011</t>
  </si>
  <si>
    <t>3204122304930009</t>
  </si>
  <si>
    <t>3171025111900003</t>
  </si>
  <si>
    <t>3573031402960007</t>
  </si>
  <si>
    <t>5103026507940001</t>
  </si>
  <si>
    <t>1275010909910004</t>
  </si>
  <si>
    <t>6471012212950008</t>
  </si>
  <si>
    <t>7306044705970002</t>
  </si>
  <si>
    <t>3276021108920006</t>
  </si>
  <si>
    <t>3173055801940010</t>
  </si>
  <si>
    <t>3507112910930005</t>
  </si>
  <si>
    <t>3273020703960004</t>
  </si>
  <si>
    <t>3172014605910008</t>
  </si>
  <si>
    <t>3576011508970012</t>
  </si>
  <si>
    <t>5171022312930001</t>
  </si>
  <si>
    <t>1212055409950006</t>
  </si>
  <si>
    <t>6402030201920009</t>
  </si>
  <si>
    <t>7371054904900003</t>
  </si>
  <si>
    <t>3275011811940007</t>
  </si>
  <si>
    <t>3174026107960002</t>
  </si>
  <si>
    <t>3516042502930011</t>
  </si>
  <si>
    <t>3209140406950005</t>
  </si>
  <si>
    <t>3175044910910001</t>
  </si>
  <si>
    <t>3574021203970008</t>
  </si>
  <si>
    <t>5102015508920004</t>
  </si>
  <si>
    <t>1276032712960006</t>
  </si>
  <si>
    <t>6474010805940010</t>
  </si>
  <si>
    <t>7302056309930003</t>
  </si>
  <si>
    <t>3277011401910007</t>
  </si>
  <si>
    <t>3171034207950002</t>
  </si>
  <si>
    <t>3509152211970011</t>
  </si>
  <si>
    <t>3273035104920006</t>
  </si>
  <si>
    <t>3173020309940009</t>
  </si>
  <si>
    <t>3578016402960003</t>
  </si>
  <si>
    <t>5171031106910008</t>
  </si>
  <si>
    <t>1271024508930012</t>
  </si>
  <si>
    <t>6472012912970005</t>
  </si>
  <si>
    <t>7371020610950001</t>
  </si>
  <si>
    <t>3275034803900004</t>
  </si>
  <si>
    <t>3172021907960007</t>
  </si>
  <si>
    <t>3517025301940002</t>
  </si>
  <si>
    <t>3204111205930008</t>
  </si>
  <si>
    <t>3174016711910003</t>
  </si>
  <si>
    <t>3573022408950010</t>
  </si>
  <si>
    <t>5104030502970004</t>
  </si>
  <si>
    <t>1275024906920009</t>
  </si>
  <si>
    <t>6471021812940002</t>
  </si>
  <si>
    <t>7308016209960006</t>
  </si>
  <si>
    <t>3276010704900011</t>
  </si>
  <si>
    <t>3175035507930005</t>
  </si>
  <si>
    <t>3505122110970008</t>
  </si>
  <si>
    <t>3273044303950001</t>
  </si>
  <si>
    <t>3171011408920007</t>
  </si>
  <si>
    <t>3575015201960012</t>
  </si>
  <si>
    <t>5171040906940004</t>
  </si>
  <si>
    <t>1218026111910009</t>
  </si>
  <si>
    <t>6403012207970003</t>
  </si>
  <si>
    <t>7371041104930008</t>
  </si>
  <si>
    <t>3278025409900002</t>
  </si>
  <si>
    <t>3174040602960006</t>
  </si>
  <si>
    <t>3518032707950010</t>
  </si>
  <si>
    <t>3211021810920005</t>
  </si>
  <si>
    <t>3173014903970001</t>
  </si>
  <si>
    <t>3577020408940007</t>
  </si>
  <si>
    <t>5101036512910011</t>
  </si>
  <si>
    <t>1273012905960004</t>
  </si>
  <si>
    <t>6472031201930009</t>
  </si>
  <si>
    <t>7303025806950002</t>
  </si>
  <si>
    <t>3275020311970006</t>
  </si>
  <si>
    <t>3172034704900010</t>
  </si>
  <si>
    <t>3510142209930003</t>
  </si>
  <si>
    <t>3273051512960007</t>
  </si>
  <si>
    <t>3175016107940002</t>
  </si>
  <si>
    <t>3578030903910011</t>
  </si>
  <si>
    <t>5171015308950006</t>
  </si>
  <si>
    <t>1271032402970009</t>
  </si>
  <si>
    <t>6471034606920004</t>
  </si>
  <si>
    <t>7371011210940008</t>
  </si>
  <si>
    <t>3279015901930003</t>
  </si>
  <si>
    <t>3171042305960007</t>
  </si>
  <si>
    <t>3512020711900012</t>
  </si>
  <si>
    <t>Rina Lesmana Sari</t>
  </si>
  <si>
    <t>Reason Saparation</t>
  </si>
  <si>
    <t>Non-Active</t>
  </si>
  <si>
    <t>Status</t>
  </si>
  <si>
    <t>HighSchool</t>
  </si>
  <si>
    <t>10/005/2026</t>
  </si>
  <si>
    <t>Bank Mandiri</t>
  </si>
  <si>
    <t>ahmad.subagja@gmail.com</t>
  </si>
  <si>
    <t>Bank BCA</t>
  </si>
  <si>
    <t>sitiaminah.hr@yahoo.com</t>
  </si>
  <si>
    <t>Bank BNI</t>
  </si>
  <si>
    <t>budi.santoso90@outlook.com</t>
  </si>
  <si>
    <t>Bank BRI</t>
  </si>
  <si>
    <t>dewi.lestari.88@gmail.com</t>
  </si>
  <si>
    <t>Bank CIMB Niaga</t>
  </si>
  <si>
    <t>roni.hidayat@hotmail.com</t>
  </si>
  <si>
    <t>rina.permata@gmail.com</t>
  </si>
  <si>
    <t>dika.pratama@yahoo.com</t>
  </si>
  <si>
    <t>mega.utami@gmail.com</t>
  </si>
  <si>
    <t>agus.setiawan@outlook.com</t>
  </si>
  <si>
    <t>ninda.sari@gmail.com</t>
  </si>
  <si>
    <t>hendra.wijaya@yahoo.com</t>
  </si>
  <si>
    <t>lusi.febriani@gmail.com</t>
  </si>
  <si>
    <t>taufik.hidayat@gmail.com</t>
  </si>
  <si>
    <t>siska.amalia@hotmail.com</t>
  </si>
  <si>
    <t>aditya.nugraha@gmail.com</t>
  </si>
  <si>
    <t>maya.kartika@yahoo.com</t>
  </si>
  <si>
    <t>rudi.hermansyah@gmail.com</t>
  </si>
  <si>
    <t>elena.putri@outlook.com</t>
  </si>
  <si>
    <t>joko.susilo@gmail.com</t>
  </si>
  <si>
    <t>yuni.lestari@gmail.com</t>
  </si>
  <si>
    <t>fajar.budi@yahoo.com</t>
  </si>
  <si>
    <t>rita.wahyuni@gmail.com</t>
  </si>
  <si>
    <t>iwan.fals@outlook.com</t>
  </si>
  <si>
    <t>sinta.dewi@gmail.com</t>
  </si>
  <si>
    <t>andi.wijaya@yahoo.com</t>
  </si>
  <si>
    <t>dian.sastro@gmail.com</t>
  </si>
  <si>
    <t>bayu.aji@gmail.com</t>
  </si>
  <si>
    <t>ari.wibowo@yahoo.com</t>
  </si>
  <si>
    <t>dewi.persik@gmail.com</t>
  </si>
  <si>
    <t>heru.prasetyo@hotmail.com</t>
  </si>
  <si>
    <t>tina.toon@gmail.com</t>
  </si>
  <si>
    <t>bagas.kara@yahoo.com</t>
  </si>
  <si>
    <t>citra.kirana@gmail.com</t>
  </si>
  <si>
    <t>roni.doang@outlook.com</t>
  </si>
  <si>
    <t>anisa.pohan@gmail.com</t>
  </si>
  <si>
    <t>ryan.hidayat@gmail.com</t>
  </si>
  <si>
    <t>endah.w@yahoo.com</t>
  </si>
  <si>
    <t>heri.kurniawan@outlook.com</t>
  </si>
  <si>
    <t>meira.sari@gmail.com</t>
  </si>
  <si>
    <t>tedi.permana@gmail.com</t>
  </si>
  <si>
    <t>anita.rahma@yahoo.com</t>
  </si>
  <si>
    <t>dodi.alfayed@gmail.com</t>
  </si>
  <si>
    <t>siska.yuliana@outlook.com</t>
  </si>
  <si>
    <t>bagus.tri@gmail.com</t>
  </si>
  <si>
    <t>rina.amalia@yahoo.com</t>
  </si>
  <si>
    <t>andre.taulany@gmail.com</t>
  </si>
  <si>
    <t>dewi.safitri@gmail.com</t>
  </si>
  <si>
    <t>iwan.setiawan@outlook.com</t>
  </si>
  <si>
    <t>lusi.anita@gmail.com</t>
  </si>
  <si>
    <t>rudi.hartono@yahoo.com</t>
  </si>
  <si>
    <t>maya.safira@gmail.com</t>
  </si>
  <si>
    <t>fajar.ramadhan@gmail.com</t>
  </si>
  <si>
    <t>sinta.bella@outlook.com</t>
  </si>
  <si>
    <t>andi.perkasa@gmail.com</t>
  </si>
  <si>
    <t>putri.ayu@yahoo.com</t>
  </si>
  <si>
    <t>gilang.dirga@gmail.com</t>
  </si>
  <si>
    <t>nanda.putra@gmail.com</t>
  </si>
  <si>
    <t>tina.amalia@outlook.com</t>
  </si>
  <si>
    <t>heru.kusuma@gmail.com</t>
  </si>
  <si>
    <t>rita.subarjo@yahoo.com</t>
  </si>
  <si>
    <t>deni.cagur@gmail.com</t>
  </si>
  <si>
    <t>dewi.sartika@gmail.com</t>
  </si>
  <si>
    <t>roni.firmansyah@outlook.com</t>
  </si>
  <si>
    <t>mega.wati@gmail.com</t>
  </si>
  <si>
    <t>agung.g@yahoo.com</t>
  </si>
  <si>
    <t>nina.k@gmail.com</t>
  </si>
  <si>
    <t>joko.w@gmail.com</t>
  </si>
  <si>
    <t>yuni.s@outlook.com</t>
  </si>
  <si>
    <t>fajar.b@gmail.com</t>
  </si>
  <si>
    <t>rita.w@yahoo.com</t>
  </si>
  <si>
    <t>iwan.f@gmail.com</t>
  </si>
  <si>
    <t>sinta.d@gmail.com</t>
  </si>
  <si>
    <t>andi.w@yahoo.com</t>
  </si>
  <si>
    <t>dian.s@gmail.com</t>
  </si>
  <si>
    <t>bayu.a@outlook.com</t>
  </si>
  <si>
    <t>ari.w@gmail.com</t>
  </si>
  <si>
    <t>dewi.p@gmail.com</t>
  </si>
  <si>
    <t>heru.p@yahoo.com</t>
  </si>
  <si>
    <t>tina.t@gmail.com</t>
  </si>
  <si>
    <t>bagas.k@gmail.com</t>
  </si>
  <si>
    <t>citra.k@outlook.com</t>
  </si>
  <si>
    <t>roni.d@gmail.com</t>
  </si>
  <si>
    <t>anisa.p@yahoo.com</t>
  </si>
  <si>
    <t>ryan.h@gmail.com</t>
  </si>
  <si>
    <t>dika.p@gmail.com</t>
  </si>
  <si>
    <t>BANK BCA</t>
  </si>
  <si>
    <t>BANK BNI</t>
  </si>
  <si>
    <t>Duration (Month)</t>
  </si>
  <si>
    <t>Contract Balance</t>
  </si>
  <si>
    <t>Status Reminder</t>
  </si>
  <si>
    <t>QE Staff</t>
  </si>
  <si>
    <t>Hitung dari Status Reminder</t>
  </si>
  <si>
    <t>Hitung dari Gender</t>
  </si>
  <si>
    <t>Hitung dari Reason Saparation</t>
  </si>
  <si>
    <t>Hitung dari Job Level</t>
  </si>
  <si>
    <t>Created by Wahyudiansyah</t>
  </si>
  <si>
    <t>HR METRICS PT. Dumi Bumi Tbk</t>
  </si>
  <si>
    <t>PKWT</t>
  </si>
  <si>
    <t>PKWTT</t>
  </si>
  <si>
    <t>Row Labels</t>
  </si>
  <si>
    <t>Grand Total</t>
  </si>
  <si>
    <t>Count of Employment Status</t>
  </si>
  <si>
    <t>Grade</t>
  </si>
  <si>
    <t>G01</t>
  </si>
  <si>
    <t>G02</t>
  </si>
  <si>
    <t>Chairman Commissioner</t>
  </si>
  <si>
    <t>G03</t>
  </si>
  <si>
    <t>Commissioner</t>
  </si>
  <si>
    <t>G04</t>
  </si>
  <si>
    <t>G05</t>
  </si>
  <si>
    <t>G06</t>
  </si>
  <si>
    <t>G07</t>
  </si>
  <si>
    <t>G08</t>
  </si>
  <si>
    <t>G09</t>
  </si>
  <si>
    <t>G10</t>
  </si>
  <si>
    <t>G11</t>
  </si>
  <si>
    <t>G12</t>
  </si>
  <si>
    <t>G13</t>
  </si>
  <si>
    <t>HR Intern</t>
  </si>
  <si>
    <t>UI / UX Design</t>
  </si>
  <si>
    <t>Front End Developer</t>
  </si>
  <si>
    <t>Back End Developer</t>
  </si>
  <si>
    <t>IT Operations</t>
  </si>
  <si>
    <t>TK</t>
  </si>
  <si>
    <t>K</t>
  </si>
  <si>
    <t>PTKP</t>
  </si>
  <si>
    <t>Unemployment</t>
  </si>
  <si>
    <t>Dependent count</t>
  </si>
  <si>
    <t>Review Needed</t>
  </si>
  <si>
    <t>Urgent Renewal</t>
  </si>
  <si>
    <t>Count of Departemen</t>
  </si>
  <si>
    <t xml:space="preserve"> </t>
  </si>
  <si>
    <t>Count of Family Card Number (KK)</t>
  </si>
  <si>
    <t>Range_TopMan</t>
  </si>
  <si>
    <t>Range_SPV_PPIC</t>
  </si>
  <si>
    <t>Range_SPV_PURC</t>
  </si>
  <si>
    <t>Range_SPV_WRHS</t>
  </si>
  <si>
    <t>Range_Staff_WRHS</t>
  </si>
  <si>
    <t>Range_Senior_PPIC</t>
  </si>
  <si>
    <t>Range_OP_WRHS</t>
  </si>
  <si>
    <t>Range_Officer_PPIC</t>
  </si>
  <si>
    <t>Range_Officer_PURC</t>
  </si>
  <si>
    <t>Range_Staff_PURC</t>
  </si>
  <si>
    <t>Range_MNGR_PPIC</t>
  </si>
  <si>
    <t>Range_MNGR_PURC</t>
  </si>
  <si>
    <t>Range_MNGR_WRHS</t>
  </si>
  <si>
    <t>Range_Lead_WRHS</t>
  </si>
  <si>
    <t>Range_Intern_WRHS</t>
  </si>
  <si>
    <t>Range_Intern_PURC</t>
  </si>
  <si>
    <t>Range_Admin_WRHS</t>
  </si>
  <si>
    <t>Range_Admin_PURC</t>
  </si>
  <si>
    <t>Range_Admin_PPIC</t>
  </si>
  <si>
    <t>Range_SPV_RND</t>
  </si>
  <si>
    <t>Range_Staff_RND</t>
  </si>
  <si>
    <t>Range_Senior_RND</t>
  </si>
  <si>
    <t>Range_Officer_RND</t>
  </si>
  <si>
    <t>Range_MNGR_RND</t>
  </si>
  <si>
    <t>Range_Admin_RND</t>
  </si>
  <si>
    <t>Range_SPV_Prod</t>
  </si>
  <si>
    <t>Range_SPV_QA</t>
  </si>
  <si>
    <t>Range_SPV_QE</t>
  </si>
  <si>
    <t>Range_Senior_QE</t>
  </si>
  <si>
    <t>Range_OP_Prod</t>
  </si>
  <si>
    <t>Range_OP_QA</t>
  </si>
  <si>
    <t>Range_OP_QE</t>
  </si>
  <si>
    <t>Leader Engineering</t>
  </si>
  <si>
    <t>Range_MNGR_QA</t>
  </si>
  <si>
    <t>Range_MNGR_QE</t>
  </si>
  <si>
    <t>Range_MNGR_Prod</t>
  </si>
  <si>
    <t>Range_Lead_Prod</t>
  </si>
  <si>
    <t>Range_Intern_Prod</t>
  </si>
  <si>
    <t>Range_Admin_Prod</t>
  </si>
  <si>
    <t>Range_SPV_ACC</t>
  </si>
  <si>
    <t>Range_SPV_FIN</t>
  </si>
  <si>
    <t>Range_SPV_TAX</t>
  </si>
  <si>
    <t>Range_Staff_ACC</t>
  </si>
  <si>
    <t>Range_Staff_FIN</t>
  </si>
  <si>
    <t>Range_Staff_TAX</t>
  </si>
  <si>
    <t>Range_Officer_ACC</t>
  </si>
  <si>
    <t>Range_Officer_FIN</t>
  </si>
  <si>
    <t>Range_Officer_TAX</t>
  </si>
  <si>
    <t>Range_MNGR_FIN</t>
  </si>
  <si>
    <t>Range_GM</t>
  </si>
  <si>
    <t>Range_Admin_ACC</t>
  </si>
  <si>
    <t>Range_Admin_FIN</t>
  </si>
  <si>
    <t>Range_Admin_TAX</t>
  </si>
  <si>
    <t>Range_Officer_Legal</t>
  </si>
  <si>
    <t>Legal Staff</t>
  </si>
  <si>
    <t>Legal Supervisor</t>
  </si>
  <si>
    <t>Legal Manager</t>
  </si>
  <si>
    <t>Range_Staff_Legal</t>
  </si>
  <si>
    <t>Range_SPV_Legal</t>
  </si>
  <si>
    <t>Range_MNGR_Legal</t>
  </si>
  <si>
    <t>Range_SPV_IT</t>
  </si>
  <si>
    <t>Range_Staff_IT</t>
  </si>
  <si>
    <t>Range_Analytst_IT</t>
  </si>
  <si>
    <t>Range_Ofiicer_IT</t>
  </si>
  <si>
    <t>Range_MNGR_IT</t>
  </si>
  <si>
    <t>Range_SPV_HR</t>
  </si>
  <si>
    <t>Range_Staff_HR</t>
  </si>
  <si>
    <t>Range_Officer_HR</t>
  </si>
  <si>
    <t>Range_Intern_HR</t>
  </si>
  <si>
    <t>Range_MNGR_HR</t>
  </si>
  <si>
    <t>Range_Admin_HR</t>
  </si>
  <si>
    <t>Range_Staff_CorporateAudit</t>
  </si>
  <si>
    <t>Range_Staff_CorporateNomi</t>
  </si>
  <si>
    <t>Range_Officer_Corporate</t>
  </si>
  <si>
    <t>Range_MNGR_Audit</t>
  </si>
  <si>
    <t>Range_MNGR_Nomi</t>
  </si>
  <si>
    <t>Range_Commissioner</t>
  </si>
  <si>
    <t>Range_Chairman</t>
  </si>
  <si>
    <t>Range_SPV_Sales</t>
  </si>
  <si>
    <t>Range_SPV_MAR</t>
  </si>
  <si>
    <t>Range_Staff_MAR</t>
  </si>
  <si>
    <t>Range_Officer_Sales</t>
  </si>
  <si>
    <t>Range_Officer_MAR</t>
  </si>
  <si>
    <t>Range_MNGR_Sales</t>
  </si>
  <si>
    <t>Range_MNGR_MAR</t>
  </si>
  <si>
    <t>Range_Intern_Sales</t>
  </si>
  <si>
    <t>Range_Intern_MAR</t>
  </si>
  <si>
    <t>Range_Admin_Sales</t>
  </si>
  <si>
    <t>Dept_Management</t>
  </si>
  <si>
    <t>Dept_HRD</t>
  </si>
  <si>
    <t>Dept_CM</t>
  </si>
  <si>
    <t>Dept_SCM</t>
  </si>
  <si>
    <t>Dept_MFG</t>
  </si>
  <si>
    <t>Dept_IT</t>
  </si>
  <si>
    <t>Dept_RND</t>
  </si>
  <si>
    <t>Dept_Legal</t>
  </si>
  <si>
    <t>Dept_Corporate</t>
  </si>
  <si>
    <t>Dept_TopMan</t>
  </si>
  <si>
    <t>Name Range</t>
  </si>
  <si>
    <t>Ardi Kusuma</t>
  </si>
  <si>
    <t>G14</t>
  </si>
  <si>
    <t>Count of Divison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</si>
</sst>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dd/mm/yy;@"/>
  </numFmts>
  <fonts count="8" x14ac:knownFonts="1">
    <font>
      <sz val="11"/>
      <color theme="1"/>
      <name val="Aptos Narrow"/>
      <family val="2"/>
      <charset val="1"/>
      <scheme val="minor"/>
    </font>
    <font>
      <sz val="11"/>
      <color theme="1"/>
      <name val="Arial"/>
      <family val="2"/>
    </font>
    <font>
      <u/>
      <sz val="11"/>
      <color theme="10"/>
      <name val="Aptos Narrow"/>
      <family val="2"/>
      <charset val="1"/>
      <scheme val="minor"/>
    </font>
    <font>
      <u/>
      <sz val="11"/>
      <color theme="10"/>
      <name val="Arial"/>
      <family val="2"/>
    </font>
    <font>
      <sz val="11"/>
      <color theme="1"/>
      <name val="Aptos Narrow"/>
      <family val="2"/>
      <scheme val="minor"/>
    </font>
    <font>
      <sz val="8"/>
      <name val="Aptos Narrow"/>
      <family val="2"/>
      <charset val="1"/>
      <scheme val="minor"/>
    </font>
    <font>
      <b/>
      <sz val="16"/>
      <color theme="0"/>
      <name val="Aptos Display"/>
      <family val="2"/>
      <scheme val="major"/>
    </font>
    <font>
      <b/>
      <sz val="11"/>
      <color theme="0"/>
      <name val="Aptos Display"/>
      <family val="2"/>
      <scheme val="major"/>
    </font>
  </fonts>
  <fills count="5">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4" fillId="0" borderId="0"/>
  </cellStyleXfs>
  <cellXfs count="28">
    <xf numFmtId="0" fontId="0" fillId="0" borderId="0" xfId="0"/>
    <xf numFmtId="0" fontId="1" fillId="0" borderId="0" xfId="0" applyFont="1" applyAlignment="1">
      <alignment vertical="center"/>
    </xf>
    <xf numFmtId="0" fontId="1" fillId="0" borderId="1" xfId="0" applyFont="1" applyBorder="1" applyAlignment="1">
      <alignment horizontal="center" vertical="center"/>
    </xf>
    <xf numFmtId="0" fontId="1" fillId="0" borderId="1" xfId="0" quotePrefix="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xf numFmtId="14" fontId="1" fillId="0" borderId="0" xfId="0" applyNumberFormat="1" applyFont="1" applyAlignment="1">
      <alignment horizontal="center" vertical="center"/>
    </xf>
    <xf numFmtId="0" fontId="3" fillId="0" borderId="0" xfId="1" applyFont="1"/>
    <xf numFmtId="14" fontId="0" fillId="0" borderId="0" xfId="0" applyNumberFormat="1"/>
    <xf numFmtId="1" fontId="1" fillId="0" borderId="0" xfId="0" applyNumberFormat="1" applyFont="1" applyAlignment="1">
      <alignment horizontal="center" vertical="center"/>
    </xf>
    <xf numFmtId="0" fontId="0" fillId="0" borderId="0" xfId="0" applyAlignment="1">
      <alignment horizontal="center" vertical="center"/>
    </xf>
    <xf numFmtId="1" fontId="1" fillId="0" borderId="0" xfId="0" applyNumberFormat="1" applyFont="1" applyAlignment="1">
      <alignment horizontal="left" vertical="center"/>
    </xf>
    <xf numFmtId="49" fontId="0" fillId="0" borderId="0" xfId="0" applyNumberFormat="1" applyAlignment="1">
      <alignment horizontal="left" vertical="center"/>
    </xf>
    <xf numFmtId="49" fontId="0" fillId="0" borderId="0" xfId="0" applyNumberFormat="1"/>
    <xf numFmtId="49" fontId="1" fillId="0" borderId="0" xfId="0" applyNumberFormat="1" applyFont="1" applyAlignment="1">
      <alignment horizontal="center" vertical="center"/>
    </xf>
    <xf numFmtId="0" fontId="1" fillId="0" borderId="0" xfId="0" applyFont="1" applyAlignment="1">
      <alignment vertical="center" wrapText="1"/>
    </xf>
    <xf numFmtId="164" fontId="1" fillId="0" borderId="0" xfId="0" applyNumberFormat="1" applyFont="1" applyAlignment="1">
      <alignment horizontal="center" vertical="center"/>
    </xf>
    <xf numFmtId="165" fontId="0" fillId="0" borderId="0" xfId="0" applyNumberFormat="1"/>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0" fontId="1" fillId="0" borderId="0" xfId="0" applyFont="1" applyAlignment="1">
      <alignment horizontal="left"/>
    </xf>
    <xf numFmtId="0" fontId="0" fillId="3" borderId="0" xfId="0" applyFill="1"/>
    <xf numFmtId="0" fontId="0" fillId="4" borderId="0" xfId="0" applyFill="1"/>
    <xf numFmtId="0" fontId="1" fillId="0" borderId="2" xfId="0" applyFont="1" applyBorder="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cellXfs>
  <cellStyles count="3">
    <cellStyle name="Hyperlink" xfId="1" builtinId="8"/>
    <cellStyle name="Normal" xfId="0" builtinId="0"/>
    <cellStyle name="Normal 2" xfId="2" xr:uid="{26CCADFA-85B9-4771-A2D8-5A5ED1C5D41D}"/>
  </cellStyles>
  <dxfs count="94">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dd/mm/yy;@"/>
      <alignment horizontal="center" vertical="center" textRotation="0" wrapText="0" indent="0" justifyLastLine="0" shrinkToFit="0" readingOrder="0"/>
    </dxf>
    <dxf>
      <numFmt numFmtId="165" formatCode="dd/mm/yy;@"/>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left" vertical="center" textRotation="0" wrapText="0" indent="0" justifyLastLine="0" shrinkToFit="0" readingOrder="0"/>
    </dxf>
    <dxf>
      <numFmt numFmtId="0" formatCode="General"/>
    </dxf>
    <dxf>
      <numFmt numFmtId="30" formatCode="@"/>
    </dxf>
    <dxf>
      <numFmt numFmtId="30" formatCode="@"/>
    </dxf>
    <dxf>
      <numFmt numFmtId="30" formatCode="@"/>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vertAlign val="baseline"/>
        <sz val="11"/>
        <name val="Arial"/>
        <family val="2"/>
        <scheme val="none"/>
      </font>
      <numFmt numFmtId="19" formatCode="dd/mm/yyyy"/>
      <alignment horizontal="center" vertical="center" textRotation="0" wrapText="0" indent="0" justifyLastLine="0" shrinkToFit="0" readingOrder="0"/>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alignment horizontal="left" vertical="center" textRotation="0" wrapText="0" indent="0" justifyLastLine="0" shrinkToFit="0" readingOrder="0"/>
    </dxf>
    <dxf>
      <font>
        <strike val="0"/>
        <outline val="0"/>
        <shadow val="0"/>
        <vertAlign val="baseline"/>
        <sz val="1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strike val="0"/>
        <outline val="0"/>
        <shadow val="0"/>
        <vertAlign val="baseline"/>
        <sz val="11"/>
        <name val="Arial"/>
        <family val="2"/>
        <scheme val="none"/>
      </font>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strike val="0"/>
        <outline val="0"/>
        <shadow val="0"/>
        <vertAlign val="baseline"/>
        <sz val="11"/>
        <name val="Arial"/>
        <family val="2"/>
        <scheme val="none"/>
      </font>
    </dxf>
    <dxf>
      <font>
        <strike val="0"/>
        <outline val="0"/>
        <shadow val="0"/>
        <vertAlign val="baseline"/>
        <sz val="11"/>
        <name val="Arial"/>
        <family val="2"/>
        <scheme val="none"/>
      </font>
      <alignment horizontal="left" vertical="center" textRotation="0" wrapText="0" indent="0" justifyLastLine="0" shrinkToFit="0" readingOrder="0"/>
    </dxf>
    <dxf>
      <font>
        <strike val="0"/>
        <outline val="0"/>
        <shadow val="0"/>
        <vertAlign val="baseline"/>
        <sz val="1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strike val="0"/>
        <outline val="0"/>
        <shadow val="0"/>
        <vertAlign val="baseline"/>
        <sz val="11"/>
        <name val="Arial"/>
        <family val="2"/>
        <scheme val="none"/>
      </font>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[data.xlsx]PIVOT!PivotTable7</c:name>
    <c:fmtId val="57"/>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1491673454969169"/>
          <c:y val="0.2577719487258936"/>
          <c:w val="0.37405820541007939"/>
          <c:h val="0.67121880665536859"/>
        </c:manualLayout>
      </c:layout>
      <c:pieChart>
        <c:varyColors val="1"/>
        <c:ser>
          <c:idx val="0"/>
          <c:order val="0"/>
          <c:tx>
            <c:strRef>
              <c:f>PIVOT!$B$14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5-469C-8E7A-DA1C9609EB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5-469C-8E7A-DA1C9609EBF4}"/>
              </c:ext>
            </c:extLst>
          </c:dPt>
          <c:cat>
            <c:strRef>
              <c:f>PIVOT!$A$15:$A$17</c:f>
              <c:strCache>
                <c:ptCount val="2"/>
                <c:pt idx="0">
                  <c:v>Active</c:v>
                </c:pt>
                <c:pt idx="1">
                  <c:v>Non-Active</c:v>
                </c:pt>
              </c:strCache>
            </c:strRef>
          </c:cat>
          <c:val>
            <c:numRef>
              <c:f>PIVOT!$B$15:$B$17</c:f>
              <c:numCache>
                <c:formatCode>General</c:formatCode>
                <c:ptCount val="2"/>
                <c:pt idx="0">
                  <c:v>308</c:v>
                </c:pt>
                <c:pt idx="1">
                  <c:v>93</c:v>
                </c:pt>
              </c:numCache>
            </c:numRef>
          </c:val>
          <c:extLst>
            <c:ext xmlns:c16="http://schemas.microsoft.com/office/drawing/2014/chart" uri="{C3380CC4-5D6E-409C-BE32-E72D297353CC}">
              <c16:uniqueId val="{00000005-5927-44FE-A4FF-D54F04B60CC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57415594378495"/>
          <c:y val="4.7539360883093497E-2"/>
          <c:w val="0.32073506464720375"/>
          <c:h val="0.371840899084638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[data.xlsx]PIVOT!PivotTable8</c:name>
    <c:fmtId val="5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PIVOT!$E$14</c:f>
              <c:strCache>
                <c:ptCount val="1"/>
                <c:pt idx="0">
                  <c:v>Total</c:v>
                </c:pt>
              </c:strCache>
            </c:strRef>
          </c:tx>
          <c:spPr>
            <a:ln w="28575" cap="rnd">
              <a:solidFill>
                <a:schemeClr val="accent1"/>
              </a:solidFill>
              <a:round/>
            </a:ln>
            <a:effectLst/>
          </c:spPr>
          <c:marker>
            <c:symbol val="none"/>
          </c:marker>
          <c:cat>
            <c:strRef>
              <c:f>PIVOT!$D$15:$D$20</c:f>
              <c:strCache>
                <c:ptCount val="5"/>
                <c:pt idx="0">
                  <c:v>End of Contract</c:v>
                </c:pt>
                <c:pt idx="1">
                  <c:v>Maternity Leave (Cuti Melahirkan)</c:v>
                </c:pt>
                <c:pt idx="2">
                  <c:v>PHK</c:v>
                </c:pt>
                <c:pt idx="3">
                  <c:v>Resigned</c:v>
                </c:pt>
                <c:pt idx="4">
                  <c:v>Retired</c:v>
                </c:pt>
              </c:strCache>
            </c:strRef>
          </c:cat>
          <c:val>
            <c:numRef>
              <c:f>PIVOT!$E$15:$E$20</c:f>
              <c:numCache>
                <c:formatCode>General</c:formatCode>
                <c:ptCount val="5"/>
                <c:pt idx="0">
                  <c:v>74</c:v>
                </c:pt>
                <c:pt idx="1">
                  <c:v>2</c:v>
                </c:pt>
                <c:pt idx="2">
                  <c:v>1</c:v>
                </c:pt>
                <c:pt idx="3">
                  <c:v>12</c:v>
                </c:pt>
                <c:pt idx="4">
                  <c:v>3</c:v>
                </c:pt>
              </c:numCache>
            </c:numRef>
          </c:val>
          <c:smooth val="0"/>
          <c:extLst>
            <c:ext xmlns:c16="http://schemas.microsoft.com/office/drawing/2014/chart" uri="{C3380CC4-5D6E-409C-BE32-E72D297353CC}">
              <c16:uniqueId val="{00000000-F702-4B56-AED8-13F3AF180AA4}"/>
            </c:ext>
          </c:extLst>
        </c:ser>
        <c:dLbls>
          <c:showLegendKey val="0"/>
          <c:showVal val="0"/>
          <c:showCatName val="0"/>
          <c:showSerName val="0"/>
          <c:showPercent val="0"/>
          <c:showBubbleSize val="0"/>
        </c:dLbls>
        <c:smooth val="0"/>
        <c:axId val="278105280"/>
        <c:axId val="278105760"/>
      </c:lineChart>
      <c:catAx>
        <c:axId val="27810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278105760"/>
        <c:crosses val="autoZero"/>
        <c:auto val="1"/>
        <c:lblAlgn val="ctr"/>
        <c:lblOffset val="100"/>
        <c:noMultiLvlLbl val="0"/>
      </c:catAx>
      <c:valAx>
        <c:axId val="2781057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781052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[data.xlsx]PIVOT!PivotTable2</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PIVOT!$E$1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F921-43FE-9E2A-10121FD62EBD}"/>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F921-43FE-9E2A-10121FD62EBD}"/>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F921-43FE-9E2A-10121FD62EBD}"/>
              </c:ext>
            </c:extLst>
          </c:dPt>
          <c:cat>
            <c:strRef>
              <c:f>PIVOT!$D$2:$D$5</c:f>
              <c:strCache>
                <c:ptCount val="3"/>
                <c:pt idx="0">
                  <c:v>Active</c:v>
                </c:pt>
                <c:pt idx="1">
                  <c:v>Review Needed</c:v>
                </c:pt>
                <c:pt idx="2">
                  <c:v>Urgent Renewal</c:v>
                </c:pt>
              </c:strCache>
            </c:strRef>
          </c:cat>
          <c:val>
            <c:numRef>
              <c:f>PIVOT!$E$2:$E$5</c:f>
              <c:numCache>
                <c:formatCode>General</c:formatCode>
                <c:ptCount val="3"/>
                <c:pt idx="0">
                  <c:v>292</c:v>
                </c:pt>
                <c:pt idx="1">
                  <c:v>6</c:v>
                </c:pt>
                <c:pt idx="2">
                  <c:v>8</c:v>
                </c:pt>
              </c:numCache>
            </c:numRef>
          </c:val>
          <c:smooth val="0"/>
          <c:extLst>
            <c:ext xmlns:c16="http://schemas.microsoft.com/office/drawing/2014/chart" uri="{C3380CC4-5D6E-409C-BE32-E72D297353CC}">
              <c16:uniqueId val="{00000008-F921-43FE-9E2A-10121FD62EBD}"/>
            </c:ext>
          </c:extLst>
        </c:ser>
        <c:dLbls>
          <c:showLegendKey val="0"/>
          <c:showVal val="0"/>
          <c:showCatName val="0"/>
          <c:showSerName val="0"/>
          <c:showPercent val="0"/>
          <c:showBubbleSize val="0"/>
        </c:dLbls>
        <c:smooth val="0"/>
        <c:axId val="1678388911"/>
        <c:axId val="1678389391"/>
      </c:lineChart>
      <c:catAx>
        <c:axId val="1678388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8389391"/>
        <c:crosses val="autoZero"/>
        <c:auto val="1"/>
        <c:lblAlgn val="ctr"/>
        <c:lblOffset val="100"/>
        <c:noMultiLvlLbl val="0"/>
      </c:catAx>
      <c:valAx>
        <c:axId val="16783893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783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45860042363724E-2"/>
          <c:y val="0.15033430726874067"/>
          <c:w val="0.85598569927448642"/>
          <c:h val="0.40406945114590748"/>
        </c:manualLayout>
      </c:layout>
      <c:barChart>
        <c:barDir val="col"/>
        <c:grouping val="clustered"/>
        <c:varyColors val="0"/>
        <c:ser>
          <c:idx val="0"/>
          <c:order val="0"/>
          <c:tx>
            <c:strRef>
              <c:f>PIVOT!$H$1</c:f>
              <c:strCache>
                <c:ptCount val="1"/>
                <c:pt idx="0">
                  <c:v>Total</c:v>
                </c:pt>
              </c:strCache>
            </c:strRef>
          </c:tx>
          <c:spPr>
            <a:solidFill>
              <a:schemeClr val="accent1"/>
            </a:solidFill>
            <a:ln>
              <a:noFill/>
            </a:ln>
            <a:effectLst/>
          </c:spPr>
          <c:invertIfNegative val="0"/>
          <c:cat>
            <c:strRef>
              <c:f>PIVOT!$G$2:$G$10</c:f>
              <c:strCache>
                <c:ptCount val="8"/>
                <c:pt idx="0">
                  <c:v>Commercial &amp; Marketing</c:v>
                </c:pt>
                <c:pt idx="1">
                  <c:v>Corporate Governance</c:v>
                </c:pt>
                <c:pt idx="2">
                  <c:v>Human Resources</c:v>
                </c:pt>
                <c:pt idx="3">
                  <c:v>Information Technology</c:v>
                </c:pt>
                <c:pt idx="4">
                  <c:v>Management</c:v>
                </c:pt>
                <c:pt idx="5">
                  <c:v>Manufacturing</c:v>
                </c:pt>
                <c:pt idx="6">
                  <c:v>Supply Chain Management</c:v>
                </c:pt>
                <c:pt idx="7">
                  <c:v>Top Management</c:v>
                </c:pt>
              </c:strCache>
            </c:strRef>
          </c:cat>
          <c:val>
            <c:numRef>
              <c:f>PIVOT!$H$2:$H$10</c:f>
              <c:numCache>
                <c:formatCode>General</c:formatCode>
                <c:ptCount val="8"/>
                <c:pt idx="0">
                  <c:v>18</c:v>
                </c:pt>
                <c:pt idx="1">
                  <c:v>12</c:v>
                </c:pt>
                <c:pt idx="2">
                  <c:v>16</c:v>
                </c:pt>
                <c:pt idx="3">
                  <c:v>20</c:v>
                </c:pt>
                <c:pt idx="4">
                  <c:v>21</c:v>
                </c:pt>
                <c:pt idx="5">
                  <c:v>161</c:v>
                </c:pt>
                <c:pt idx="6">
                  <c:v>57</c:v>
                </c:pt>
                <c:pt idx="7">
                  <c:v>1</c:v>
                </c:pt>
              </c:numCache>
            </c:numRef>
          </c:val>
          <c:extLst>
            <c:ext xmlns:c16="http://schemas.microsoft.com/office/drawing/2014/chart" uri="{C3380CC4-5D6E-409C-BE32-E72D297353CC}">
              <c16:uniqueId val="{00000000-0EB2-4AB9-BB88-573FD2FB991C}"/>
            </c:ext>
          </c:extLst>
        </c:ser>
        <c:dLbls>
          <c:showLegendKey val="0"/>
          <c:showVal val="0"/>
          <c:showCatName val="0"/>
          <c:showSerName val="0"/>
          <c:showPercent val="0"/>
          <c:showBubbleSize val="0"/>
        </c:dLbls>
        <c:gapWidth val="219"/>
        <c:overlap val="-27"/>
        <c:axId val="1658256671"/>
        <c:axId val="1658247551"/>
      </c:barChart>
      <c:catAx>
        <c:axId val="1658256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58247551"/>
        <c:crosses val="autoZero"/>
        <c:auto val="1"/>
        <c:lblAlgn val="ctr"/>
        <c:lblOffset val="100"/>
        <c:noMultiLvlLbl val="0"/>
      </c:catAx>
      <c:valAx>
        <c:axId val="1658247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5825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PIVOT!$H$14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C4-4818-8FB3-A288B51FA0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C4-4818-8FB3-A288B51FA0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C4-4818-8FB3-A288B51FA05C}"/>
              </c:ext>
            </c:extLst>
          </c:dPt>
          <c:cat>
            <c:strRef>
              <c:f>PIVOT!$G$15:$G$18</c:f>
              <c:strCache>
                <c:ptCount val="3"/>
                <c:pt idx="0">
                  <c:v>Child</c:v>
                </c:pt>
                <c:pt idx="1">
                  <c:v>Husband</c:v>
                </c:pt>
                <c:pt idx="2">
                  <c:v>Wife</c:v>
                </c:pt>
              </c:strCache>
            </c:strRef>
          </c:cat>
          <c:val>
            <c:numRef>
              <c:f>PIVOT!$H$15:$H$18</c:f>
              <c:numCache>
                <c:formatCode>General</c:formatCode>
                <c:ptCount val="3"/>
                <c:pt idx="0">
                  <c:v>77</c:v>
                </c:pt>
                <c:pt idx="1">
                  <c:v>20</c:v>
                </c:pt>
                <c:pt idx="2">
                  <c:v>35</c:v>
                </c:pt>
              </c:numCache>
            </c:numRef>
          </c:val>
          <c:extLst>
            <c:ext xmlns:c16="http://schemas.microsoft.com/office/drawing/2014/chart" uri="{C3380CC4-5D6E-409C-BE32-E72D297353CC}">
              <c16:uniqueId val="{00000006-12C4-4818-8FB3-A288B51FA0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c:f>
              <c:strCache>
                <c:ptCount val="1"/>
                <c:pt idx="0">
                  <c:v>Total</c:v>
                </c:pt>
              </c:strCache>
            </c:strRef>
          </c:tx>
          <c:spPr>
            <a:solidFill>
              <a:schemeClr val="accent1"/>
            </a:solidFill>
            <a:ln>
              <a:noFill/>
            </a:ln>
            <a:effectLst/>
          </c:spPr>
          <c:invertIfNegative val="0"/>
          <c:cat>
            <c:strRef>
              <c:f>PIVOT!$A$2:$A$4</c:f>
              <c:strCache>
                <c:ptCount val="2"/>
                <c:pt idx="0">
                  <c:v>PKWTT</c:v>
                </c:pt>
                <c:pt idx="1">
                  <c:v>PKWT</c:v>
                </c:pt>
              </c:strCache>
            </c:strRef>
          </c:cat>
          <c:val>
            <c:numRef>
              <c:f>PIVOT!$B$2:$B$4</c:f>
              <c:numCache>
                <c:formatCode>General</c:formatCode>
                <c:ptCount val="2"/>
                <c:pt idx="0">
                  <c:v>111</c:v>
                </c:pt>
                <c:pt idx="1">
                  <c:v>290</c:v>
                </c:pt>
              </c:numCache>
            </c:numRef>
          </c:val>
          <c:extLst>
            <c:ext xmlns:c16="http://schemas.microsoft.com/office/drawing/2014/chart" uri="{C3380CC4-5D6E-409C-BE32-E72D297353CC}">
              <c16:uniqueId val="{00000001-5D59-4DA3-84BE-0ED2AF2CF041}"/>
            </c:ext>
          </c:extLst>
        </c:ser>
        <c:dLbls>
          <c:showLegendKey val="0"/>
          <c:showVal val="0"/>
          <c:showCatName val="0"/>
          <c:showSerName val="0"/>
          <c:showPercent val="0"/>
          <c:showBubbleSize val="0"/>
        </c:dLbls>
        <c:gapWidth val="150"/>
        <c:overlap val="100"/>
        <c:axId val="1678409551"/>
        <c:axId val="1678410991"/>
      </c:barChart>
      <c:catAx>
        <c:axId val="167840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8410991"/>
        <c:crosses val="autoZero"/>
        <c:auto val="1"/>
        <c:lblAlgn val="ctr"/>
        <c:lblOffset val="100"/>
        <c:noMultiLvlLbl val="0"/>
      </c:catAx>
      <c:valAx>
        <c:axId val="167841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840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601580</xdr:colOff>
      <xdr:row>3</xdr:row>
      <xdr:rowOff>2</xdr:rowOff>
    </xdr:from>
    <xdr:to>
      <xdr:col>14</xdr:col>
      <xdr:colOff>594896</xdr:colOff>
      <xdr:row>12</xdr:row>
      <xdr:rowOff>6727</xdr:rowOff>
    </xdr:to>
    <xdr:graphicFrame macro="">
      <xdr:nvGraphicFramePr>
        <xdr:cNvPr id="8" name="Bagan 7">
          <a:extLst>
            <a:ext uri="{FF2B5EF4-FFF2-40B4-BE49-F238E27FC236}">
              <a16:creationId xmlns:a16="http://schemas.microsoft.com/office/drawing/2014/main" id="{E42CDCA2-438A-42FB-8C58-455E5B305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587597</xdr:colOff>
      <xdr:row>11</xdr:row>
      <xdr:rowOff>180473</xdr:rowOff>
    </xdr:from>
    <xdr:to>
      <xdr:col>19</xdr:col>
      <xdr:colOff>605805</xdr:colOff>
      <xdr:row>21</xdr:row>
      <xdr:rowOff>43793</xdr:rowOff>
    </xdr:to>
    <xdr:graphicFrame macro="">
      <xdr:nvGraphicFramePr>
        <xdr:cNvPr id="13" name="Bagan 12">
          <a:extLst>
            <a:ext uri="{FF2B5EF4-FFF2-40B4-BE49-F238E27FC236}">
              <a16:creationId xmlns:a16="http://schemas.microsoft.com/office/drawing/2014/main" id="{71A3BB3B-8106-4133-A8CA-7BD18ED7F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126999</xdr:colOff>
      <xdr:row>3</xdr:row>
      <xdr:rowOff>2004</xdr:rowOff>
    </xdr:from>
    <xdr:to>
      <xdr:col>5</xdr:col>
      <xdr:colOff>86895</xdr:colOff>
      <xdr:row>12</xdr:row>
      <xdr:rowOff>13701</xdr:rowOff>
    </xdr:to>
    <mc:AlternateContent xmlns:mc="http://schemas.openxmlformats.org/markup-compatibility/2006" xmlns:a14="http://schemas.microsoft.com/office/drawing/2010/main">
      <mc:Choice Requires="a14">
        <xdr:graphicFrame macro="">
          <xdr:nvGraphicFramePr>
            <xdr:cNvPr id="11" name="Divison">
              <a:extLst>
                <a:ext uri="{FF2B5EF4-FFF2-40B4-BE49-F238E27FC236}">
                  <a16:creationId xmlns:a16="http://schemas.microsoft.com/office/drawing/2014/main" id="{964A41BC-072E-E59C-F043-5466F4ACC442}"/>
                </a:ext>
              </a:extLst>
            </xdr:cNvPr>
            <xdr:cNvGraphicFramePr/>
          </xdr:nvGraphicFramePr>
          <xdr:xfrm>
            <a:off x="0" y="0"/>
            <a:ext cx="0" cy="0"/>
          </xdr:xfrm>
          <a:graphic>
            <a:graphicData uri="http://schemas.microsoft.com/office/drawing/2010/slicer">
              <sle:slicer xmlns:sle="http://schemas.microsoft.com/office/drawing/2010/slicer" name="Divison"/>
            </a:graphicData>
          </a:graphic>
        </xdr:graphicFrame>
      </mc:Choice>
      <mc:Fallback xmlns="">
        <xdr:sp macro="" textlink="">
          <xdr:nvSpPr>
            <xdr:cNvPr id="0" name=""/>
            <xdr:cNvSpPr>
              <a:spLocks noTextEdit="1"/>
            </xdr:cNvSpPr>
          </xdr:nvSpPr>
          <xdr:spPr>
            <a:xfrm>
              <a:off x="126999" y="549418"/>
              <a:ext cx="3025413" cy="165393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257341</xdr:colOff>
      <xdr:row>3</xdr:row>
      <xdr:rowOff>2005</xdr:rowOff>
    </xdr:from>
    <xdr:to>
      <xdr:col>9</xdr:col>
      <xdr:colOff>589547</xdr:colOff>
      <xdr:row>12</xdr:row>
      <xdr:rowOff>7299</xdr:rowOff>
    </xdr:to>
    <mc:AlternateContent xmlns:mc="http://schemas.openxmlformats.org/markup-compatibility/2006" xmlns:a14="http://schemas.microsoft.com/office/drawing/2010/main">
      <mc:Choice Requires="a14">
        <xdr:graphicFrame macro="">
          <xdr:nvGraphicFramePr>
            <xdr:cNvPr id="14" name="Job Level">
              <a:extLst>
                <a:ext uri="{FF2B5EF4-FFF2-40B4-BE49-F238E27FC236}">
                  <a16:creationId xmlns:a16="http://schemas.microsoft.com/office/drawing/2014/main" id="{AD98D720-4A11-7998-484D-3B629B0E374C}"/>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mlns="">
        <xdr:sp macro="" textlink="">
          <xdr:nvSpPr>
            <xdr:cNvPr id="0" name=""/>
            <xdr:cNvSpPr>
              <a:spLocks noTextEdit="1"/>
            </xdr:cNvSpPr>
          </xdr:nvSpPr>
          <xdr:spPr>
            <a:xfrm>
              <a:off x="3298657" y="376321"/>
              <a:ext cx="2770606" cy="168241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9</xdr:col>
      <xdr:colOff>585611</xdr:colOff>
      <xdr:row>12</xdr:row>
      <xdr:rowOff>21897</xdr:rowOff>
    </xdr:from>
    <xdr:to>
      <xdr:col>14</xdr:col>
      <xdr:colOff>585611</xdr:colOff>
      <xdr:row>21</xdr:row>
      <xdr:rowOff>51091</xdr:rowOff>
    </xdr:to>
    <xdr:graphicFrame macro="">
      <xdr:nvGraphicFramePr>
        <xdr:cNvPr id="3" name="Chart 2">
          <a:extLst>
            <a:ext uri="{FF2B5EF4-FFF2-40B4-BE49-F238E27FC236}">
              <a16:creationId xmlns:a16="http://schemas.microsoft.com/office/drawing/2014/main" id="{15BF9776-2464-43FF-83B5-FF43E2758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xdr:row>
      <xdr:rowOff>28223</xdr:rowOff>
    </xdr:from>
    <xdr:to>
      <xdr:col>5</xdr:col>
      <xdr:colOff>91722</xdr:colOff>
      <xdr:row>21</xdr:row>
      <xdr:rowOff>49390</xdr:rowOff>
    </xdr:to>
    <xdr:graphicFrame macro="">
      <xdr:nvGraphicFramePr>
        <xdr:cNvPr id="6" name="Chart 5">
          <a:extLst>
            <a:ext uri="{FF2B5EF4-FFF2-40B4-BE49-F238E27FC236}">
              <a16:creationId xmlns:a16="http://schemas.microsoft.com/office/drawing/2014/main" id="{AE9FBA8C-32CE-4857-85E2-79B00F22F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84668</xdr:colOff>
      <xdr:row>12</xdr:row>
      <xdr:rowOff>14598</xdr:rowOff>
    </xdr:from>
    <xdr:to>
      <xdr:col>9</xdr:col>
      <xdr:colOff>578557</xdr:colOff>
      <xdr:row>21</xdr:row>
      <xdr:rowOff>56445</xdr:rowOff>
    </xdr:to>
    <xdr:graphicFrame macro="">
      <xdr:nvGraphicFramePr>
        <xdr:cNvPr id="16" name="Chart 15">
          <a:extLst>
            <a:ext uri="{FF2B5EF4-FFF2-40B4-BE49-F238E27FC236}">
              <a16:creationId xmlns:a16="http://schemas.microsoft.com/office/drawing/2014/main" id="{ECABA82C-0F98-4028-AB01-3B1BD2E5D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578556</xdr:colOff>
      <xdr:row>2</xdr:row>
      <xdr:rowOff>176389</xdr:rowOff>
    </xdr:from>
    <xdr:to>
      <xdr:col>20</xdr:col>
      <xdr:colOff>0</xdr:colOff>
      <xdr:row>12</xdr:row>
      <xdr:rowOff>21166</xdr:rowOff>
    </xdr:to>
    <xdr:graphicFrame macro="">
      <xdr:nvGraphicFramePr>
        <xdr:cNvPr id="17" name="Chart 16">
          <a:extLst>
            <a:ext uri="{FF2B5EF4-FFF2-40B4-BE49-F238E27FC236}">
              <a16:creationId xmlns:a16="http://schemas.microsoft.com/office/drawing/2014/main" id="{3A9F33B5-97FB-45D2-952B-CB659DAD2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hyu Diansyah" refreshedDate="46225.375716898146" createdVersion="8" refreshedVersion="8" minRefreshableVersion="3" recordCount="132" xr:uid="{94CB9F08-45A8-4E07-AC2F-7F6ABEB89329}">
  <cacheSource type="worksheet">
    <worksheetSource name="Tabel6"/>
  </cacheSource>
  <cacheFields count="12">
    <cacheField name="Employee Number" numFmtId="49">
      <sharedItems containsSemiMixedTypes="0" containsString="0" containsNumber="1" containsInteger="1" minValue="201441797" maxValue="202646180"/>
    </cacheField>
    <cacheField name="Family Card Number (KK)" numFmtId="49">
      <sharedItems/>
    </cacheField>
    <cacheField name="Full Name" numFmtId="0">
      <sharedItems/>
    </cacheField>
    <cacheField name="National ID Family" numFmtId="49">
      <sharedItems/>
    </cacheField>
    <cacheField name="Family Member Name" numFmtId="49">
      <sharedItems/>
    </cacheField>
    <cacheField name="Relation" numFmtId="49">
      <sharedItems count="3">
        <s v="Wife"/>
        <s v="Child"/>
        <s v="Husband"/>
      </sharedItems>
    </cacheField>
    <cacheField name="Gender" numFmtId="49">
      <sharedItems/>
    </cacheField>
    <cacheField name="Date of Birth" numFmtId="49">
      <sharedItems/>
    </cacheField>
    <cacheField name="Age" numFmtId="49">
      <sharedItems containsSemiMixedTypes="0" containsString="0" containsNumber="1" containsInteger="1" minValue="1" maxValue="54"/>
    </cacheField>
    <cacheField name="Occupation" numFmtId="49">
      <sharedItems/>
    </cacheField>
    <cacheField name="BPJS Status" numFmtId="49">
      <sharedItems/>
    </cacheField>
    <cacheField name="No. JKN" numFmtId="4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hyu Diansyah" refreshedDate="46225.375716898146" createdVersion="8" refreshedVersion="8" minRefreshableVersion="3" recordCount="306" xr:uid="{D086251E-664E-432C-8C81-9531A1C9330C}">
  <cacheSource type="worksheet">
    <worksheetSource name="Tabel29"/>
  </cacheSource>
  <cacheFields count="13">
    <cacheField name="Employee Number" numFmtId="0">
      <sharedItems containsSemiMixedTypes="0" containsString="0" containsNumber="1" containsInteger="1" minValue="201441661" maxValue="202646255"/>
    </cacheField>
    <cacheField name="Full Name" numFmtId="0">
      <sharedItems/>
    </cacheField>
    <cacheField name="Gender" numFmtId="0">
      <sharedItems count="2">
        <s v="Female"/>
        <s v="Male"/>
      </sharedItems>
    </cacheField>
    <cacheField name="No. Contract" numFmtId="14">
      <sharedItems/>
    </cacheField>
    <cacheField name="Duration (Month)" numFmtId="14">
      <sharedItems/>
    </cacheField>
    <cacheField name="Divison" numFmtId="14">
      <sharedItems/>
    </cacheField>
    <cacheField name="Departemen" numFmtId="14">
      <sharedItems count="8">
        <s v="Management"/>
        <s v="Corporate Governance"/>
        <s v="Human Resources"/>
        <s v="Information Technology"/>
        <s v="Commercial &amp; Marketing"/>
        <s v="Supply Chain Management"/>
        <s v="Top Management"/>
        <s v="Manufacturing"/>
      </sharedItems>
    </cacheField>
    <cacheField name="Job Title" numFmtId="14">
      <sharedItems/>
    </cacheField>
    <cacheField name="Job Level" numFmtId="0">
      <sharedItems count="17">
        <s v="Officer / Executive"/>
        <s v="Staff"/>
        <s v="Administrator"/>
        <s v="Supervisor"/>
        <s v="Manager"/>
        <s v="Chairman Commissioner"/>
        <s v="Commissioner"/>
        <s v="General Manager"/>
        <s v="Internship"/>
        <s v="Senior Professional / Engineer / Analyst"/>
        <s v="Director"/>
        <s v="Leader"/>
        <s v="Operator"/>
        <s v="Komisaris" u="1"/>
        <s v="General Manager / Komisaris Utama" u="1"/>
        <s v="Staff " u="1"/>
        <s v="Driver" u="1"/>
      </sharedItems>
    </cacheField>
    <cacheField name="Join Date" numFmtId="165">
      <sharedItems containsSemiMixedTypes="0" containsNonDate="0" containsDate="1" containsString="0" minDate="2000-03-03T00:00:00" maxDate="2026-07-18T00:00:00"/>
    </cacheField>
    <cacheField name="End Date" numFmtId="165">
      <sharedItems containsDate="1" containsMixedTypes="1" minDate="2026-07-24T00:00:00" maxDate="2031-06-16T00:00:00"/>
    </cacheField>
    <cacheField name="Contract Balance" numFmtId="0">
      <sharedItems/>
    </cacheField>
    <cacheField name="Status Reminder" numFmtId="0">
      <sharedItems count="7">
        <s v="Active"/>
        <s v="Review Needed"/>
        <s v="Urgent Renewal"/>
        <s v="Permanent" u="1"/>
        <s v="Safe ( &gt; 3 Month )" u="1"/>
        <s v="Evaluation Period ( 2 - 3 Mo )" u="1"/>
        <s v="Urgent Processing ( &lt; 1 Month )"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hyu Diansyah" refreshedDate="46225.524456944448" createdVersion="8" refreshedVersion="8" minRefreshableVersion="3" recordCount="401" xr:uid="{87798110-23D8-4E7A-A7C7-2F5338E8E6E5}">
  <cacheSource type="worksheet">
    <worksheetSource name="Tabel1"/>
  </cacheSource>
  <cacheFields count="33">
    <cacheField name="Employee Number" numFmtId="0">
      <sharedItems containsSemiMixedTypes="0" containsString="0" containsNumber="1" containsInteger="1" minValue="201247302" maxValue="202646255"/>
    </cacheField>
    <cacheField name="Full Name" numFmtId="0">
      <sharedItems/>
    </cacheField>
    <cacheField name="National ID Number (NIK)" numFmtId="0">
      <sharedItems/>
    </cacheField>
    <cacheField name="Family Card Number (KK)" numFmtId="0">
      <sharedItems containsMixedTypes="1" containsNumber="1" containsInteger="1" minValue="2206649275120280" maxValue="2206649275120280"/>
    </cacheField>
    <cacheField name="Place of Birth" numFmtId="0">
      <sharedItems/>
    </cacheField>
    <cacheField name="Date of Birth" numFmtId="14">
      <sharedItems containsDate="1" containsMixedTypes="1" minDate="1961-07-23T00:00:00" maxDate="2010-12-14T00:00:00"/>
    </cacheField>
    <cacheField name="Gender" numFmtId="1">
      <sharedItems/>
    </cacheField>
    <cacheField name="Marital Status" numFmtId="49">
      <sharedItems/>
    </cacheField>
    <cacheField name="Dependent count" numFmtId="0">
      <sharedItems containsSemiMixedTypes="0" containsString="0" containsNumber="1" containsInteger="1" minValue="0" maxValue="3"/>
    </cacheField>
    <cacheField name="Religion" numFmtId="1">
      <sharedItems/>
    </cacheField>
    <cacheField name="Blood Type" numFmtId="14">
      <sharedItems/>
    </cacheField>
    <cacheField name="Join Date" numFmtId="14">
      <sharedItems containsSemiMixedTypes="0" containsNonDate="0" containsDate="1" containsString="0" minDate="1986-04-23T00:00:00" maxDate="2026-07-18T00:00:00"/>
    </cacheField>
    <cacheField name="End Date" numFmtId="14">
      <sharedItems containsNonDate="0" containsDate="1" containsString="0" containsBlank="1" minDate="2016-03-05T00:00:00" maxDate="2031-06-16T00:00:00"/>
    </cacheField>
    <cacheField name="Exit Date" numFmtId="14">
      <sharedItems containsDate="1" containsBlank="1" containsMixedTypes="1" minDate="2014-10-10T00:00:00" maxDate="2026-05-20T00:00:00"/>
    </cacheField>
    <cacheField name="Reason Saparation" numFmtId="0">
      <sharedItems containsBlank="1" count="7">
        <s v=""/>
        <s v="PHK"/>
        <s v="Maternity Leave (Cuti Melahirkan)"/>
        <s v="End of Contract"/>
        <m/>
        <s v="Retired"/>
        <s v="Resigned"/>
      </sharedItems>
    </cacheField>
    <cacheField name="Employee Status" numFmtId="0">
      <sharedItems count="2">
        <s v="Active"/>
        <s v="Non-Active"/>
      </sharedItems>
    </cacheField>
    <cacheField name="Employment Status" numFmtId="0">
      <sharedItems count="7">
        <s v="PKWTT"/>
        <s v="PKWT"/>
        <s v="Permanent" u="1"/>
        <s v="Contract 3" u="1"/>
        <s v="Probation" u="1"/>
        <s v="Contract 2" u="1"/>
        <s v="Contract 1" u="1"/>
      </sharedItems>
    </cacheField>
    <cacheField name="Education" numFmtId="14">
      <sharedItems/>
    </cacheField>
    <cacheField name="Major" numFmtId="0">
      <sharedItems containsBlank="1"/>
    </cacheField>
    <cacheField name="Divison" numFmtId="0">
      <sharedItems count="10">
        <s v="Management"/>
        <s v="Corporate Governance"/>
        <s v="Human Resources"/>
        <s v="Information Technology"/>
        <s v="Legal &amp; Compliance"/>
        <s v="Commercial &amp; Marketing"/>
        <s v="Supply Chain Management"/>
        <s v="Manufacturing"/>
        <s v="Research &amp; Development"/>
        <s v="Top Management" u="1"/>
      </sharedItems>
    </cacheField>
    <cacheField name="Departemen" numFmtId="0">
      <sharedItems/>
    </cacheField>
    <cacheField name="Job Level" numFmtId="0">
      <sharedItems count="17">
        <s v="Officer / Executive"/>
        <s v="Staff"/>
        <s v="Administrator"/>
        <s v="Supervisor"/>
        <s v="Manager"/>
        <s v="Chairman Commissioner"/>
        <s v="Commissioner"/>
        <s v="General Manager"/>
        <s v="Internship"/>
        <s v="Senior Professional / Engineer / Analyst"/>
        <s v="Leader"/>
        <s v="Operator"/>
        <s v="Director" u="1"/>
        <s v="Komisaris" u="1"/>
        <s v="General Manager / Komisaris Utama" u="1"/>
        <s v="Staff " u="1"/>
        <s v="Driver" u="1"/>
      </sharedItems>
    </cacheField>
    <cacheField name="Job Title" numFmtId="0">
      <sharedItems/>
    </cacheField>
    <cacheField name="Grade" numFmtId="0">
      <sharedItems/>
    </cacheField>
    <cacheField name="PTKP" numFmtId="0">
      <sharedItems/>
    </cacheField>
    <cacheField name="Tax IDE (NPWP)" numFmtId="1">
      <sharedItems containsMixedTypes="1" containsNumber="1" containsInteger="1" minValue="115482930630000" maxValue="465366701555651"/>
    </cacheField>
    <cacheField name="BPJS KPJ" numFmtId="1">
      <sharedItems containsMixedTypes="1" containsNumber="1" containsInteger="1" minValue="16015394823" maxValue="19087491523"/>
    </cacheField>
    <cacheField name="BPJS JKN" numFmtId="0">
      <sharedItems containsMixedTypes="1" containsNumber="1" containsInteger="1" minValue="1154829362" maxValue="3951482618"/>
    </cacheField>
    <cacheField name="Bank Name" numFmtId="14">
      <sharedItems/>
    </cacheField>
    <cacheField name="Bank Acount" numFmtId="0">
      <sharedItems containsMixedTypes="1" containsNumber="1" containsInteger="1" minValue="293817456" maxValue="62101093842504"/>
    </cacheField>
    <cacheField name="Mobile Phone" numFmtId="0">
      <sharedItems containsMixedTypes="1" containsNumber="1" containsInteger="1" minValue="81194857213" maxValue="87839482715"/>
    </cacheField>
    <cacheField name="Email" numFmtId="0">
      <sharedItems/>
    </cacheField>
    <cacheField name="Current Address" numFmtId="0">
      <sharedItems/>
    </cacheField>
  </cacheFields>
  <extLst>
    <ext xmlns:x14="http://schemas.microsoft.com/office/spreadsheetml/2009/9/main" uri="{725AE2AE-9491-48be-B2B4-4EB974FC3084}">
      <x14:pivotCacheDefinition pivotCacheId="2005033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n v="202144393"/>
    <s v="2496360035248341"/>
    <s v="Yusuf Saputra"/>
    <s v="3679148205614831"/>
    <s v="Jelita Wijaya"/>
    <x v="0"/>
    <s v="Female"/>
    <s v="25/07/1988"/>
    <n v="37"/>
    <s v="Housewife"/>
    <s v="Registed"/>
    <s v="8173459201847"/>
  </r>
  <r>
    <n v="202144393"/>
    <s v="2496360035248341"/>
    <s v="Yusuf Saputra"/>
    <s v="3679148205614832"/>
    <s v="Fadli Ramadhan"/>
    <x v="1"/>
    <s v="Male"/>
    <s v="24/06/2014"/>
    <n v="12"/>
    <s v="Elementary Student"/>
    <s v="Registed"/>
    <s v="6029184735601"/>
  </r>
  <r>
    <n v="201943549"/>
    <s v="1415111111606982"/>
    <s v="Rizky Hidayat"/>
    <s v="5124867301948251"/>
    <s v="Novi Permata"/>
    <x v="0"/>
    <s v="Female"/>
    <s v="01/01/1990"/>
    <n v="36"/>
    <s v="Housewife"/>
    <s v="Registed"/>
    <s v="9451738204619"/>
  </r>
  <r>
    <n v="201943549"/>
    <s v="1415111111606982"/>
    <s v="Rizky Hidayat"/>
    <s v="5124867301948252"/>
    <s v="Jelita Kurniawan"/>
    <x v="1"/>
    <s v="Female"/>
    <s v="05/01/2015"/>
    <n v="11"/>
    <s v="Housewife"/>
    <s v="Registed"/>
    <s v="7319054826173"/>
  </r>
  <r>
    <n v="201742831"/>
    <s v="8616949168909269"/>
    <s v="Dedi Hidayat"/>
    <s v="8246701593482161"/>
    <s v="Gita Kusuma"/>
    <x v="0"/>
    <s v="Female"/>
    <s v="10/12/1982"/>
    <n v="43"/>
    <s v="Housewife"/>
    <s v="Registed"/>
    <s v="2846173958204"/>
  </r>
  <r>
    <n v="201742831"/>
    <s v="8616949168909269"/>
    <s v="Dedi Hidayat"/>
    <s v="8246701593482162"/>
    <s v="Yudha Hidayat"/>
    <x v="1"/>
    <s v="Male"/>
    <s v="08/12/2014"/>
    <n v="11"/>
    <s v="Elementary Student"/>
    <s v="Registed"/>
    <s v="5938204716508"/>
  </r>
  <r>
    <n v="201742831"/>
    <s v="8616949168909269"/>
    <s v="Dedi Hidayat"/>
    <s v="8246701593482163"/>
    <s v="Reza Susanto"/>
    <x v="1"/>
    <s v="Male"/>
    <s v="09/11/2016"/>
    <n v="9"/>
    <s v="Elementary Student"/>
    <s v="Registed"/>
    <s v="1746283950176"/>
  </r>
  <r>
    <n v="202043954"/>
    <s v="7257837349082723"/>
    <s v="Nadia Lestari"/>
    <s v="1938457260184371"/>
    <s v="Kevin Lesmana"/>
    <x v="2"/>
    <s v="Male"/>
    <s v="12/04/1979"/>
    <n v="47"/>
    <s v="Civil Servant"/>
    <s v="Registed"/>
    <s v="8263950471835"/>
  </r>
  <r>
    <n v="202043916"/>
    <s v="4485016280872613"/>
    <s v="Dedi Kusuma"/>
    <s v="6582947105361821"/>
    <s v="Gina Kusuma"/>
    <x v="0"/>
    <s v="Female"/>
    <s v="27/11/1981"/>
    <n v="44"/>
    <s v="Housewife"/>
    <s v="Registed"/>
    <s v="4609182735641"/>
  </r>
  <r>
    <n v="202043916"/>
    <s v="4485016280872613"/>
    <s v="Dedi Kusuma"/>
    <s v="6582947105361822"/>
    <s v="Joko Permata"/>
    <x v="1"/>
    <s v="Male"/>
    <s v="13/06/2011"/>
    <n v="15"/>
    <s v="Junior High Student"/>
    <s v="Registed"/>
    <s v="9183746502817"/>
  </r>
  <r>
    <n v="201943527"/>
    <s v="5245230852064504"/>
    <s v="Bambang Wijaya"/>
    <s v="4719638251076481"/>
    <s v="Julia Firmansyah"/>
    <x v="0"/>
    <s v="Female"/>
    <s v="24/11/1971"/>
    <n v="54"/>
    <s v="Housewife"/>
    <s v="Registed"/>
    <s v="3057192846503"/>
  </r>
  <r>
    <n v="201943527"/>
    <s v="5245230852064504"/>
    <s v="Bambang Wijaya"/>
    <s v="4719638251076482"/>
    <s v="Nur Wijaya"/>
    <x v="1"/>
    <s v="Male"/>
    <s v="30/03/2010"/>
    <n v="16"/>
    <s v="Senior High Student"/>
    <s v="Registed"/>
    <s v="7428601953746"/>
  </r>
  <r>
    <n v="201943527"/>
    <s v="5245230852064504"/>
    <s v="Bambang Wijaya"/>
    <s v="4719638251076483"/>
    <s v="Endah Setiawan"/>
    <x v="1"/>
    <s v="Female"/>
    <s v="28/08/2013"/>
    <n v="12"/>
    <s v="Elementary Student"/>
    <s v="Registed"/>
    <s v="5817392046185"/>
  </r>
  <r>
    <n v="202044061"/>
    <s v="7730066736813181"/>
    <s v="Lina Permata"/>
    <s v="9021548763407191"/>
    <s v="Qomar Setiawan"/>
    <x v="2"/>
    <s v="Male"/>
    <s v="26/11/1974"/>
    <n v="51"/>
    <s v="Freelancer"/>
    <s v="Registed"/>
    <s v="1938472650814"/>
  </r>
  <r>
    <n v="201642614"/>
    <s v="7959468099866577"/>
    <s v="Andi Maulana"/>
    <s v="2847163950284611"/>
    <s v="Eka Wardani"/>
    <x v="0"/>
    <s v="Female"/>
    <s v="17/12/1975"/>
    <n v="50"/>
    <s v="Housewife"/>
    <s v="Registed"/>
    <s v="6502948173659"/>
  </r>
  <r>
    <n v="201943658"/>
    <s v="2473439042449944"/>
    <s v="Yusuf Pratama"/>
    <s v="2847163950284612"/>
    <s v="Firman Puspita"/>
    <x v="1"/>
    <s v="Male"/>
    <s v="18/03/2015"/>
    <n v="11"/>
    <s v="Elementary Student"/>
    <s v="Registed"/>
    <s v="2746183950472"/>
  </r>
  <r>
    <n v="202043987"/>
    <s v="8037517371109425"/>
    <s v="Musdalifah"/>
    <s v="7350284916573201"/>
    <s v="Made Lestari"/>
    <x v="2"/>
    <s v="Male"/>
    <s v="22/02/1981"/>
    <n v="45"/>
    <s v="Teacher"/>
    <s v="Registed"/>
    <s v="8372059164837"/>
  </r>
  <r>
    <n v="202144474"/>
    <s v="8878899300053875"/>
    <s v="Rahmat Sari"/>
    <s v="8463917250841631"/>
    <s v="Dian Saputra"/>
    <x v="0"/>
    <s v="Female"/>
    <s v="01/11/1997"/>
    <n v="28"/>
    <s v="Housewife"/>
    <s v="Registed"/>
    <s v="4605729183640"/>
  </r>
  <r>
    <n v="202144474"/>
    <s v="8878899300053875"/>
    <s v="Rahmat Sari"/>
    <s v="8463917250841632"/>
    <s v="Iwan Hidayat"/>
    <x v="1"/>
    <s v="Male"/>
    <s v="20/12/2016"/>
    <n v="9"/>
    <s v="Elementary Student"/>
    <s v="Registed"/>
    <s v="9182637450195"/>
  </r>
  <r>
    <n v="202043917"/>
    <s v="8975850746827978"/>
    <s v="Nadia Wijaya"/>
    <s v="5917402863159741"/>
    <s v="Latif Lestari"/>
    <x v="2"/>
    <s v="Male"/>
    <s v="17/08/1979"/>
    <n v="46"/>
    <s v="Teacher"/>
    <s v="Registed"/>
    <s v="1573948206813"/>
  </r>
  <r>
    <n v="201642499"/>
    <s v="5260052675651565"/>
    <s v="Rina Santoso"/>
    <s v="2604891735284061"/>
    <s v="Doni Wijaya"/>
    <x v="2"/>
    <s v="Male"/>
    <s v="20/03/1995"/>
    <n v="31"/>
    <s v="Entrepreneur"/>
    <s v="Registed"/>
    <s v="6392817450638"/>
  </r>
  <r>
    <n v="202144525"/>
    <s v="1985042518665965"/>
    <s v="Yusuf Kusuma"/>
    <s v="9182736450192831"/>
    <s v="Julia Puspita"/>
    <x v="0"/>
    <s v="Female"/>
    <s v="14/07/1981"/>
    <n v="45"/>
    <s v="Housewife"/>
    <s v="Registed"/>
    <s v="4829173501649"/>
  </r>
  <r>
    <n v="202144525"/>
    <s v="1985042518665965"/>
    <s v="Yusuf Kusuma"/>
    <s v="9182736450192832"/>
    <s v="Kirana Santoso"/>
    <x v="1"/>
    <s v="Female"/>
    <s v="25/04/2012"/>
    <n v="14"/>
    <s v="Junior High Student"/>
    <s v="Registed"/>
    <s v="7501938462751"/>
  </r>
  <r>
    <n v="202144525"/>
    <s v="1985042518665965"/>
    <s v="Yusuf Kusuma"/>
    <s v="9182736450192833"/>
    <s v="Yudha Salsabila"/>
    <x v="1"/>
    <s v="Male"/>
    <s v="08/09/2014"/>
    <n v="11"/>
    <s v="Elementary Student"/>
    <s v="Registed"/>
    <s v="3918462750193"/>
  </r>
  <r>
    <n v="202043974"/>
    <s v="9463795218005823"/>
    <s v="Bayu Saputra"/>
    <s v="4058271639405821"/>
    <s v="Fani Lestari"/>
    <x v="0"/>
    <s v="Female"/>
    <s v="20/06/1994"/>
    <n v="32"/>
    <s v="Private Employee"/>
    <s v="Registed"/>
    <s v="8452017395648"/>
  </r>
  <r>
    <n v="202043974"/>
    <s v="9463795218005823"/>
    <s v="Bayu Saputra"/>
    <s v="4058271639405822"/>
    <s v="Winda Utami"/>
    <x v="1"/>
    <s v="Female"/>
    <s v="01/08/2023"/>
    <n v="2"/>
    <s v="Toddler"/>
    <s v="Registed"/>
    <s v="2063948175206"/>
  </r>
  <r>
    <n v="201743013"/>
    <s v="2008506307534749"/>
    <s v="Bayu Santoso"/>
    <s v="7361948250736191"/>
    <s v="Jelita Nugroho"/>
    <x v="0"/>
    <s v="Female"/>
    <s v="25/07/1979"/>
    <n v="46"/>
    <s v="Private Employee"/>
    <s v="Registed"/>
    <s v="5739182640573"/>
  </r>
  <r>
    <n v="201743013"/>
    <s v="2008506307534749"/>
    <s v="Bayu Santoso"/>
    <s v="7361948250736192"/>
    <s v="Qonita Hidayat"/>
    <x v="1"/>
    <s v="Female"/>
    <s v="08/01/2012"/>
    <n v="14"/>
    <s v="Junior High Student"/>
    <s v="Registed"/>
    <s v="9146502738914"/>
  </r>
  <r>
    <n v="201743013"/>
    <s v="2008506307534749"/>
    <s v="Bayu Santoso"/>
    <s v="7361948250736193"/>
    <s v="Citra Kurniawan"/>
    <x v="1"/>
    <s v="Female"/>
    <s v="25/06/2014"/>
    <n v="12"/>
    <s v="Elementary Student"/>
    <s v="Registed"/>
    <s v="3602948175360"/>
  </r>
  <r>
    <n v="202043922"/>
    <s v="2535723676203132"/>
    <s v="Andi Sari"/>
    <s v="1526384709152631"/>
    <s v="Cici Pratama"/>
    <x v="0"/>
    <s v="Female"/>
    <s v="21/02/1991"/>
    <n v="35"/>
    <s v="Freelancer"/>
    <s v="Registed"/>
    <s v="7293846501729"/>
  </r>
  <r>
    <n v="202043922"/>
    <s v="2535723676203132"/>
    <s v="Andi Sari"/>
    <s v="1526384709152632"/>
    <s v="Mira Maulana"/>
    <x v="1"/>
    <s v="Female"/>
    <s v="04/08/2021"/>
    <n v="4"/>
    <s v="Kindergarten Student"/>
    <s v="Registed"/>
    <s v="1847392056184"/>
  </r>
  <r>
    <n v="202144397"/>
    <s v="6333807636555146"/>
    <s v="Farhan Santoso"/>
    <s v="6849201753684921"/>
    <s v="Laras Utami"/>
    <x v="0"/>
    <s v="Female"/>
    <s v="27/12/1987"/>
    <n v="38"/>
    <s v="Housewife"/>
    <s v="Registed"/>
    <s v="6052817394605"/>
  </r>
  <r>
    <n v="202144397"/>
    <s v="6333807636555146"/>
    <s v="Farhan Santoso"/>
    <s v="6849201753684922"/>
    <s v="Tania Utami"/>
    <x v="1"/>
    <s v="Female"/>
    <s v="17/06/2012"/>
    <n v="14"/>
    <s v="Junior High Student"/>
    <s v="Registed"/>
    <s v="9384716250938"/>
  </r>
  <r>
    <n v="202144397"/>
    <s v="6333807636555146"/>
    <s v="Farhan Santoso"/>
    <s v="6849201753684923"/>
    <s v="Novi Firmansyah"/>
    <x v="1"/>
    <s v="Female"/>
    <s v="24/06/2015"/>
    <n v="11"/>
    <s v="Elementary Student"/>
    <s v="Registed"/>
    <s v="4729501836472"/>
  </r>
  <r>
    <n v="201843355"/>
    <s v="6595100018993041"/>
    <s v="Rudi Wijaya"/>
    <s v="3791052846379101"/>
    <s v="Tania Lestari"/>
    <x v="0"/>
    <s v="Female"/>
    <s v="14/06/2000"/>
    <n v="26"/>
    <s v="Housewife"/>
    <s v="Registed"/>
    <s v="8193746502819"/>
  </r>
  <r>
    <n v="201843355"/>
    <s v="6595100018993041"/>
    <s v="Rudi Wijaya"/>
    <s v="3791052846379102"/>
    <s v="Cahyo Lestari"/>
    <x v="1"/>
    <s v="Male"/>
    <s v="10/11/2019"/>
    <n v="6"/>
    <s v="Kindergarten Student"/>
    <s v="Registed"/>
    <s v="2538406179253"/>
  </r>
  <r>
    <n v="201943575"/>
    <s v="5339784715990609"/>
    <s v="Yoga Kusuma"/>
    <s v="5284061937528401"/>
    <s v="Cici Lestari"/>
    <x v="0"/>
    <s v="Female"/>
    <s v="03/03/1990"/>
    <n v="36"/>
    <s v="Civil Servant"/>
    <s v="Registed"/>
    <s v="7619253840761"/>
  </r>
  <r>
    <n v="201943575"/>
    <s v="5339784715990609"/>
    <s v="Yoga Kusuma"/>
    <s v="5284061937528402"/>
    <s v="Intan Pangestu"/>
    <x v="1"/>
    <s v="Female"/>
    <s v="14/11/2012"/>
    <n v="13"/>
    <s v="Junior High Student"/>
    <s v="Registed"/>
    <s v="3948502716394"/>
  </r>
  <r>
    <n v="201943575"/>
    <s v="5339784715990609"/>
    <s v="Yoga Kusuma"/>
    <s v="5284061937528403"/>
    <s v="Hendra Pangestu"/>
    <x v="1"/>
    <s v="Male"/>
    <s v="13/06/2018"/>
    <n v="8"/>
    <s v="Elementary Student"/>
    <s v="Registed"/>
    <s v="6801739452680"/>
  </r>
  <r>
    <n v="202043936"/>
    <s v="4630131291841621"/>
    <s v="Putri Ramadhan"/>
    <s v="9405172638940511"/>
    <s v="Reza Wardani"/>
    <x v="2"/>
    <s v="Male"/>
    <s v="22/05/1977"/>
    <n v="49"/>
    <s v="Freelancer"/>
    <s v="Registed"/>
    <s v="1273948506127"/>
  </r>
  <r>
    <n v="201441797"/>
    <s v="6297683498710681"/>
    <s v="Dedi Permata"/>
    <s v="6172839405617281"/>
    <s v="Endah Sari"/>
    <x v="0"/>
    <s v="Female"/>
    <s v="09/07/1978"/>
    <n v="48"/>
    <s v="Housewife"/>
    <s v="Registed"/>
    <s v="5482719360548"/>
  </r>
  <r>
    <n v="201441797"/>
    <s v="6297683498710681"/>
    <s v="Dedi Permata"/>
    <s v="6172839405617282"/>
    <s v="Zahra Salsabila"/>
    <x v="1"/>
    <s v="Female"/>
    <s v="16/04/2010"/>
    <n v="16"/>
    <s v="Senior High Student"/>
    <s v="Registed"/>
    <s v="8936401752893"/>
  </r>
  <r>
    <n v="201843432"/>
    <s v="5379411953542881"/>
    <s v="Agus Kusuma"/>
    <s v="4839201756483921"/>
    <s v="Bella Puspita"/>
    <x v="0"/>
    <s v="Female"/>
    <s v="02/05/2000"/>
    <n v="26"/>
    <s v="Civil Servant"/>
    <s v="Registed"/>
    <s v="3168057294316"/>
  </r>
  <r>
    <n v="201843432"/>
    <s v="5379411953542881"/>
    <s v="Agus Kusuma"/>
    <s v="4839201756483922"/>
    <s v="Novi Salsabila"/>
    <x v="1"/>
    <s v="Female"/>
    <s v="28/01/2020"/>
    <n v="6"/>
    <s v="Kindergarten Student"/>
    <s v="Registed"/>
    <s v="7592183640759"/>
  </r>
  <r>
    <n v="201943713"/>
    <s v="7336090485047921"/>
    <s v="Rudi Santoso"/>
    <s v="7051628394705161"/>
    <s v="Nia Pangestu"/>
    <x v="0"/>
    <s v="Female"/>
    <s v="20/09/1995"/>
    <n v="30"/>
    <s v="Nurse"/>
    <s v="Registed"/>
    <s v="2816374950281"/>
  </r>
  <r>
    <n v="201943713"/>
    <s v="7336090485047921"/>
    <s v="Rudi Santoso"/>
    <s v="7051628394705162"/>
    <s v="Zahra Permata"/>
    <x v="1"/>
    <s v="Female"/>
    <s v="27/12/2020"/>
    <n v="5"/>
    <s v="Kindergarten Student"/>
    <s v="Registed"/>
    <s v="9047152638904"/>
  </r>
  <r>
    <n v="201843375"/>
    <s v="1282423837071414"/>
    <s v="Yusuf Ramadhan"/>
    <s v="3648192750364811"/>
    <s v="Jelita Saputra"/>
    <x v="0"/>
    <s v="Female"/>
    <s v="23/08/1996"/>
    <n v="29"/>
    <s v="Nurse"/>
    <s v="Registed"/>
    <s v="6350482719635"/>
  </r>
  <r>
    <n v="202144493"/>
    <s v="8242274765808210"/>
    <s v="Dedi Kusuma"/>
    <s v="8517203946851721"/>
    <s v="Ika Wibowo"/>
    <x v="0"/>
    <s v="Female"/>
    <s v="11/06/1998"/>
    <n v="28"/>
    <s v="Housewife"/>
    <s v="Registed"/>
    <s v="4728613950472"/>
  </r>
  <r>
    <n v="202144493"/>
    <s v="8242274765808210"/>
    <s v="Dedi Kusuma"/>
    <s v="8517203946851722"/>
    <s v="Nanda Pangestu"/>
    <x v="1"/>
    <s v="Male"/>
    <s v="27/05/2021"/>
    <n v="5"/>
    <s v="Kindergarten Student"/>
    <s v="Registed"/>
    <s v="8502739461850"/>
  </r>
  <r>
    <n v="202144493"/>
    <s v="8242274765808210"/>
    <s v="Dedi Kusuma"/>
    <s v="8517203946851723"/>
    <s v="Krisna Rahayu"/>
    <x v="1"/>
    <s v="Male"/>
    <s v="12/11/2023"/>
    <n v="2"/>
    <s v="Toddler"/>
    <s v="Registed"/>
    <s v="1973648502197"/>
  </r>
  <r>
    <n v="201642597"/>
    <s v="1009783596581448"/>
    <s v="Dedi Wijaya"/>
    <s v="2963847150296381"/>
    <s v="Zahra Kusuma"/>
    <x v="0"/>
    <s v="Female"/>
    <s v="04/10/1980"/>
    <n v="45"/>
    <s v="Housewife"/>
    <s v="Registed"/>
    <s v="6205847193620"/>
  </r>
  <r>
    <n v="201642597"/>
    <s v="1009783596581448"/>
    <s v="Dedi Wijaya"/>
    <s v="2963847150296382"/>
    <s v="Mega Susanto"/>
    <x v="1"/>
    <s v="Female"/>
    <s v="02/05/2016"/>
    <n v="10"/>
    <s v="Elementary Student"/>
    <s v="Registed"/>
    <s v="3847192056384"/>
  </r>
  <r>
    <n v="201742748"/>
    <s v="0940401704809732"/>
    <s v="Budi Kurniawan"/>
    <s v="7319504826731951"/>
    <s v="Cahyo Maulana"/>
    <x v="1"/>
    <s v="Male"/>
    <s v="27/04/2016"/>
    <n v="10"/>
    <s v="Elementary Student"/>
    <s v="Registed"/>
    <s v="9150273648915"/>
  </r>
  <r>
    <n v="201742748"/>
    <s v="0940401704809732"/>
    <s v="Budi Kurniawan"/>
    <s v="7319504826731952"/>
    <s v="Jelita Hidayat"/>
    <x v="1"/>
    <s v="Female"/>
    <s v="24/06/2013"/>
    <n v="13"/>
    <s v="Junior High Student"/>
    <s v="Registed"/>
    <s v="2638491705263"/>
  </r>
  <r>
    <n v="202144470"/>
    <s v="8617685180882309"/>
    <s v="Rudi Pratama"/>
    <s v="6482051739648201"/>
    <s v="Gilang Kurniawan"/>
    <x v="1"/>
    <s v="Male"/>
    <s v="13/02/2015"/>
    <n v="11"/>
    <s v="Elementary Student"/>
    <s v="Registed"/>
    <s v="7483051926748"/>
  </r>
  <r>
    <n v="201843255"/>
    <s v="3752767456233787"/>
    <s v="Aulia Ramadhan"/>
    <s v="5194372860519431"/>
    <s v="Mega Permata"/>
    <x v="1"/>
    <s v="Female"/>
    <s v="23/05/2016"/>
    <n v="10"/>
    <s v="Elementary Student"/>
    <s v="Registed"/>
    <s v="5301948267530"/>
  </r>
  <r>
    <n v="201642544"/>
    <s v="7108825544669347"/>
    <s v="Budi Kurniawan"/>
    <s v="8702163549870211"/>
    <s v="Mega Maulana"/>
    <x v="1"/>
    <s v="Female"/>
    <s v="17/06/2017"/>
    <n v="9"/>
    <s v="Elementary Student"/>
    <s v="Registed"/>
    <s v="8617293450861"/>
  </r>
  <r>
    <n v="201642373"/>
    <s v="4160946139683242"/>
    <s v="Firman Pangestu"/>
    <s v="4528193760452811"/>
    <s v="Endah Permata"/>
    <x v="1"/>
    <s v="Female"/>
    <s v="07/07/2021"/>
    <n v="5"/>
    <s v="Kindergarten Student"/>
    <s v="Registed"/>
    <s v="2946175830294"/>
  </r>
  <r>
    <n v="202345041"/>
    <s v="9756803375309701"/>
    <s v="Putri Kusuma"/>
    <s v="1863475209186341"/>
    <s v="Lukman Ramadhan"/>
    <x v="1"/>
    <s v="Male"/>
    <s v="13/04/2015"/>
    <n v="11"/>
    <s v="Elementary Student"/>
    <s v="Registed"/>
    <s v="6753829140675"/>
  </r>
  <r>
    <n v="201743026"/>
    <s v="5183770246714878"/>
    <s v="Indah Wijaya"/>
    <s v="6039182745603911"/>
    <s v="Joko Suryani"/>
    <x v="1"/>
    <s v="Male"/>
    <s v="28/09/2009"/>
    <n v="16"/>
    <s v="Senior High Student"/>
    <s v="Registed"/>
    <s v="1439205867143"/>
  </r>
  <r>
    <n v="201642675"/>
    <s v="3204761041223093"/>
    <s v="Kadek Dwi Arum"/>
    <s v="9427051638942701"/>
    <s v="Tania Handayani"/>
    <x v="1"/>
    <s v="Female"/>
    <s v="28/02/2024"/>
    <n v="2"/>
    <s v="Toddler"/>
    <s v="Registed"/>
    <s v="8075619243807"/>
  </r>
  <r>
    <n v="201642410"/>
    <s v="8308884190330878"/>
    <s v="Puta Pra Ramadhan"/>
    <s v="3176504982317651"/>
    <s v="Anisa Kristanto"/>
    <x v="1"/>
    <s v="Female"/>
    <s v="17/06/2013"/>
    <n v="13"/>
    <s v="Junior High Student"/>
    <s v="Registed"/>
    <s v="3528946172352"/>
  </r>
  <r>
    <n v="202144304"/>
    <s v="9725075839427925"/>
    <s v="Aulia Wijaya"/>
    <s v="8049261735804921"/>
    <s v="Anisa Halim"/>
    <x v="1"/>
    <s v="Female"/>
    <s v="10/09/2015"/>
    <n v="10"/>
    <s v="Elementary Student"/>
    <s v="Registed"/>
    <s v="9640182735964"/>
  </r>
  <r>
    <n v="201642621"/>
    <s v="2462027223851864"/>
    <s v="Siti Kurniawan"/>
    <s v="2751638409275161"/>
    <s v="Iwan Halim"/>
    <x v="2"/>
    <s v="Male"/>
    <s v="18/05/1998"/>
    <n v="28"/>
    <s v="Private Employee"/>
    <s v="Registed"/>
    <s v="5812467390581"/>
  </r>
  <r>
    <n v="201642621"/>
    <s v="2462027223851864"/>
    <s v="Siti Kurniawan"/>
    <s v="2751638409275162"/>
    <s v="Kevin Santoso"/>
    <x v="1"/>
    <s v="Male"/>
    <s v="26/11/2019"/>
    <n v="6"/>
    <s v="Kindergarten Student"/>
    <s v="Registed"/>
    <s v="2309481765230"/>
  </r>
  <r>
    <n v="201642621"/>
    <s v="2462027223851864"/>
    <s v="Siti Kurniawan"/>
    <s v="2751638409275163"/>
    <s v="Kartika Permata"/>
    <x v="1"/>
    <s v="Female"/>
    <s v="22/04/2022"/>
    <n v="4"/>
    <s v="Kindergarten Student"/>
    <s v="Registed"/>
    <s v="7183652940718"/>
  </r>
  <r>
    <n v="202445543"/>
    <s v="4551002570879752"/>
    <s v="Budi Wijaya"/>
    <s v="5609183472560911"/>
    <s v="Oktavia Kristanto"/>
    <x v="1"/>
    <s v="Female"/>
    <s v="29/08/2011"/>
    <n v="14"/>
    <s v="Junior High Student"/>
    <s v="Registed"/>
    <s v="4961528376496"/>
  </r>
  <r>
    <n v="202545791"/>
    <s v="9763789239727901"/>
    <s v="Siti Santoso"/>
    <s v="7384051926738401"/>
    <s v="Joko Wibowo"/>
    <x v="1"/>
    <s v="Male"/>
    <s v="22/12/2021"/>
    <n v="4"/>
    <s v="Kindergarten Student"/>
    <s v="Registed"/>
    <s v="8752039461875"/>
  </r>
  <r>
    <n v="202144360"/>
    <s v="7738019845705712"/>
    <s v="Budi Sari"/>
    <s v="9148205637914821"/>
    <s v="Lukman Wijaya"/>
    <x v="1"/>
    <s v="Male"/>
    <s v="08/10/2009"/>
    <n v="16"/>
    <s v="Senior High Student"/>
    <s v="Registed"/>
    <s v="3197846502319"/>
  </r>
  <r>
    <n v="202144287"/>
    <s v="4163036908394398"/>
    <s v="Dedi Pangestu"/>
    <s v="4916372850491631"/>
    <s v="Galih Salsabila"/>
    <x v="1"/>
    <s v="Male"/>
    <s v="30/05/2010"/>
    <n v="16"/>
    <s v="Senior High Student"/>
    <s v="Registed"/>
    <s v="6520173948652"/>
  </r>
  <r>
    <n v="202044084"/>
    <s v="8482558623155840"/>
    <s v="Nisa Noor F. Halimah"/>
    <s v="6205849137620581"/>
    <s v="Hana Pangestu"/>
    <x v="1"/>
    <s v="Female"/>
    <s v="02/01/2013"/>
    <n v="13"/>
    <s v="Junior High Student"/>
    <s v="Registed"/>
    <s v="1846052739184"/>
  </r>
  <r>
    <n v="202043907"/>
    <s v="9459454797742185"/>
    <s v="Dewi Sari"/>
    <s v="1582937460158291"/>
    <s v="Qonita Puspita"/>
    <x v="1"/>
    <s v="Female"/>
    <s v="28/08/2009"/>
    <n v="16"/>
    <s v="Senior High Student"/>
    <s v="Registed"/>
    <s v="9374618250937"/>
  </r>
  <r>
    <n v="202043907"/>
    <s v="9459454797742185"/>
    <s v="Dewi Sari"/>
    <s v="1582937460158292"/>
    <s v="Qonita Handayani"/>
    <x v="1"/>
    <s v="Female"/>
    <s v="20/07/2014"/>
    <n v="12"/>
    <s v="Elementary Student"/>
    <s v="Registed"/>
    <s v="4705921836470"/>
  </r>
  <r>
    <n v="201642668"/>
    <s v="5396268764900697"/>
    <s v="Yulia Kurniawan"/>
    <s v="3471609285347161"/>
    <s v="Bella Kurniawan"/>
    <x v="1"/>
    <s v="Female"/>
    <s v="06/07/2017"/>
    <n v="9"/>
    <s v="Elementary Student"/>
    <s v="Registed"/>
    <s v="8257394610825"/>
  </r>
  <r>
    <n v="201642668"/>
    <s v="5396268764900697"/>
    <s v="Yulia Kurniawan"/>
    <s v="3471609285347162"/>
    <s v="Tania Wibowo"/>
    <x v="1"/>
    <s v="Female"/>
    <s v="10/06/2019"/>
    <n v="7"/>
    <s v="Elementary Student"/>
    <s v="Registed"/>
    <s v="2618450937261"/>
  </r>
  <r>
    <n v="202646180"/>
    <s v="8174727723024306"/>
    <s v="Andi Hidayat"/>
    <s v="8263941750826391"/>
    <s v="Hendra Halim"/>
    <x v="1"/>
    <s v="Male"/>
    <s v="01/02/2010"/>
    <n v="16"/>
    <s v="Senior High Student"/>
    <s v="Registed"/>
    <s v="7901348265790"/>
  </r>
  <r>
    <n v="202646180"/>
    <s v="8174727723024306"/>
    <s v="Andi Hidayat"/>
    <s v="8263941750826392"/>
    <s v="Nia Firmansyah"/>
    <x v="1"/>
    <s v="Female"/>
    <s v="18/10/2013"/>
    <n v="12"/>
    <s v="Elementary Student"/>
    <s v="Registed"/>
    <s v="5438261709543"/>
  </r>
  <r>
    <n v="202545846"/>
    <s v="2823948242201454"/>
    <s v="Nadia Utami"/>
    <s v="7059182634705911"/>
    <s v="Jaya Permata"/>
    <x v="2"/>
    <s v="Male"/>
    <s v="30/12/1988"/>
    <n v="37"/>
    <s v="Private Employee"/>
    <s v="Registed"/>
    <s v="9187052436918"/>
  </r>
  <r>
    <n v="202043908"/>
    <s v="1981732621458966"/>
    <s v="Andi Ramadhan"/>
    <s v="6192837450619281"/>
    <s v="Bunga Saputra"/>
    <x v="0"/>
    <s v="Female"/>
    <s v="01/03/1981"/>
    <n v="45"/>
    <s v="Freelancer"/>
    <s v="Registed"/>
    <s v="3064719582306"/>
  </r>
  <r>
    <n v="202043908"/>
    <s v="1981732621458966"/>
    <s v="Andi Ramadhan"/>
    <s v="6192837450619282"/>
    <s v="Cici Gunawan"/>
    <x v="1"/>
    <s v="Female"/>
    <s v="03/03/2016"/>
    <n v="10"/>
    <s v="Elementary Student"/>
    <s v="Registed"/>
    <s v="6749301825674"/>
  </r>
  <r>
    <n v="201742744"/>
    <s v="0832902389588048"/>
    <s v="Nadia Santoso"/>
    <s v="2384059176238401"/>
    <s v="Joko Gunawan"/>
    <x v="2"/>
    <s v="Male"/>
    <s v="09/02/1981"/>
    <n v="45"/>
    <s v="Entrepreneur"/>
    <s v="Registed"/>
    <s v="1592846370159"/>
  </r>
  <r>
    <n v="202044080"/>
    <s v="3247209749777825"/>
    <s v="Rudi Nugroho"/>
    <s v="4701928365470191"/>
    <s v="Anisa Rahayu"/>
    <x v="0"/>
    <s v="Female"/>
    <s v="19/06/1990"/>
    <n v="36"/>
    <s v="Housewife"/>
    <s v="Registed"/>
    <s v="8326401957832"/>
  </r>
  <r>
    <n v="201843391"/>
    <s v="4849722960441078"/>
    <s v="Bayu Saputra"/>
    <s v="5837261940583721"/>
    <s v="Cici Hidayat"/>
    <x v="0"/>
    <s v="Female"/>
    <s v="21/09/1993"/>
    <n v="32"/>
    <s v="Housewife"/>
    <s v="Registed"/>
    <s v="4215978360421"/>
  </r>
  <r>
    <n v="201843391"/>
    <s v="4849722960441078"/>
    <s v="Bayu Saputra"/>
    <s v="5837261940583722"/>
    <s v="Oki Setiawan"/>
    <x v="1"/>
    <s v="Male"/>
    <s v="23/03/2024"/>
    <n v="2"/>
    <s v="Toddler"/>
    <s v="Registed"/>
    <s v="7051839462705"/>
  </r>
  <r>
    <n v="202043929"/>
    <s v="3260076619459365"/>
    <s v="Aulia Permata"/>
    <s v="1928473650192841"/>
    <s v="Krisna Wijaya"/>
    <x v="2"/>
    <s v="Male"/>
    <s v="27/08/1984"/>
    <n v="41"/>
    <s v="Entrepreneur"/>
    <s v="Registed"/>
    <s v="2984716503298"/>
  </r>
  <r>
    <n v="202244911"/>
    <s v="7700585616611204"/>
    <s v="Monica Putri Ayu"/>
    <s v="8045172936804511"/>
    <s v="Dimas Wijaya"/>
    <x v="2"/>
    <s v="Male"/>
    <s v="11/10/1981"/>
    <n v="44"/>
    <s v="Freelancer"/>
    <s v="Registed"/>
    <s v="6417309582641"/>
  </r>
  <r>
    <n v="201943597"/>
    <s v="0953501545832019"/>
    <s v="Rizky Santoso"/>
    <s v="7316284950731621"/>
    <s v="Mega Puspita"/>
    <x v="0"/>
    <s v="Female"/>
    <s v="21/08/1996"/>
    <n v="29"/>
    <s v="Housewife"/>
    <s v="Registed"/>
    <s v="8742156390874"/>
  </r>
  <r>
    <n v="201943597"/>
    <s v="0953501545832019"/>
    <s v="Rizky Santoso"/>
    <s v="7316284950731622"/>
    <s v="Citra Pangestu"/>
    <x v="1"/>
    <s v="Female"/>
    <s v="06/03/2017"/>
    <n v="9"/>
    <s v="Elementary Student"/>
    <s v="Registed"/>
    <s v="3156902847315"/>
  </r>
  <r>
    <n v="202044146"/>
    <s v="3784794058906662"/>
    <s v="Dedi Hidayat"/>
    <s v="4658091732465801"/>
    <s v="Laila Saputra"/>
    <x v="0"/>
    <s v="Female"/>
    <s v="24/12/1982"/>
    <n v="43"/>
    <s v="Nurse"/>
    <s v="Registed"/>
    <s v="9573184620957"/>
  </r>
  <r>
    <n v="202044146"/>
    <s v="3784794058906662"/>
    <s v="Dedi Hidayat"/>
    <s v="4658091732465802"/>
    <s v="Dimas Setiawan"/>
    <x v="1"/>
    <s v="Male"/>
    <s v="04/01/2016"/>
    <n v="10"/>
    <s v="Elementary Student"/>
    <s v="Registed"/>
    <s v="2084637195208"/>
  </r>
  <r>
    <n v="202044146"/>
    <s v="3784794058906662"/>
    <s v="Dedi Hidayat"/>
    <s v="4658091732465803"/>
    <s v="Yudha Prasetyo"/>
    <x v="1"/>
    <s v="Male"/>
    <s v="28/03/2021"/>
    <n v="5"/>
    <s v="Kindergarten Student"/>
    <s v="Registed"/>
    <s v="7861043952786"/>
  </r>
  <r>
    <n v="202144538"/>
    <s v="2433250722310176"/>
    <s v="Rizky Santoso"/>
    <s v="9027361548902731"/>
    <s v="Novi Halim"/>
    <x v="0"/>
    <s v="Female"/>
    <s v="25/06/1989"/>
    <n v="37"/>
    <s v="Housewife"/>
    <s v="Registed"/>
    <s v="5328714609532"/>
  </r>
  <r>
    <n v="202144538"/>
    <s v="2433250722310176"/>
    <s v="Rizky Santoso"/>
    <s v="9027361548902732"/>
    <s v="Julia Prasetyo"/>
    <x v="1"/>
    <s v="Female"/>
    <s v="30/08/2010"/>
    <n v="15"/>
    <s v="Junior High Student"/>
    <s v="Registed"/>
    <s v="1493827605149"/>
  </r>
  <r>
    <n v="202144538"/>
    <s v="2433250722310176"/>
    <s v="Rizky Santoso"/>
    <s v="9027361548902733"/>
    <s v="Anisa Santoso"/>
    <x v="1"/>
    <s v="Female"/>
    <s v="05/12/2014"/>
    <n v="11"/>
    <s v="Elementary Student"/>
    <s v="Registed"/>
    <s v="6905248173690"/>
  </r>
  <r>
    <n v="202244562"/>
    <s v="5520442228637766"/>
    <s v="Indah Permata"/>
    <s v="3184059276318401"/>
    <s v="Joko Wijaya"/>
    <x v="2"/>
    <s v="Male"/>
    <s v="22/07/1986"/>
    <n v="40"/>
    <s v="Entrepreneur"/>
    <s v="Registed"/>
    <s v="8739502641873"/>
  </r>
  <r>
    <n v="201943744"/>
    <s v="7422164456473144"/>
    <s v="Yusuf Saputra"/>
    <s v="5472619384547261"/>
    <s v="Laras Pangestu"/>
    <x v="0"/>
    <s v="Female"/>
    <s v="09/11/1974"/>
    <n v="51"/>
    <s v="Freelancer"/>
    <s v="Registed"/>
    <s v="4251867390425"/>
  </r>
  <r>
    <n v="201943744"/>
    <s v="7422164456473144"/>
    <s v="Yusuf Saputra"/>
    <s v="5472619384547262"/>
    <s v="Zainal Setiawan"/>
    <x v="1"/>
    <s v="Male"/>
    <s v="17/01/2009"/>
    <n v="17"/>
    <s v="Senior High Student"/>
    <s v="Registed"/>
    <s v="7180429536718"/>
  </r>
  <r>
    <n v="202345114"/>
    <s v="9678406480291727"/>
    <s v="Rahmat Wijaya"/>
    <s v="7839405162783941"/>
    <s v="Oktavia Pratama"/>
    <x v="0"/>
    <s v="Female"/>
    <s v="07/01/1984"/>
    <n v="42"/>
    <s v="Housewife"/>
    <s v="Registed"/>
    <s v="3516298471351"/>
  </r>
  <r>
    <n v="202345114"/>
    <s v="9678406480291727"/>
    <s v="Rahmat Wijaya"/>
    <s v="7839405162783942"/>
    <s v="Vino Suryani"/>
    <x v="1"/>
    <s v="Male"/>
    <s v="26/01/2010"/>
    <n v="16"/>
    <s v="Senior High Student"/>
    <s v="Registed"/>
    <s v="9624837150962"/>
  </r>
  <r>
    <n v="202345114"/>
    <s v="9678406480291727"/>
    <s v="Rahmat Wijaya"/>
    <s v="7839405162783943"/>
    <s v="Irfan Wardani"/>
    <x v="1"/>
    <s v="Male"/>
    <s v="20/01/2014"/>
    <n v="12"/>
    <s v="Elementary Student"/>
    <s v="Registed"/>
    <s v="5071948263507"/>
  </r>
  <r>
    <n v="202144365"/>
    <s v="5060351608604102"/>
    <s v="Aulia Pratama"/>
    <s v="2691837450269181"/>
    <s v="Sari Lestari"/>
    <x v="0"/>
    <s v="Female"/>
    <s v="22/08/1998"/>
    <n v="27"/>
    <s v="Housewife"/>
    <s v="Registed"/>
    <s v="1842739506184"/>
  </r>
  <r>
    <n v="202144365"/>
    <s v="5060351608604102"/>
    <s v="Aulia Pratama"/>
    <s v="2691837450269182"/>
    <s v="Oscar Maulana"/>
    <x v="2"/>
    <s v="Male"/>
    <s v="24/03/1984"/>
    <n v="42"/>
    <s v="Teacher"/>
    <s v="Registed"/>
    <s v="6398502714639"/>
  </r>
  <r>
    <n v="202144365"/>
    <s v="5060351608604102"/>
    <s v="Aulia Pratama"/>
    <s v="2691837450269183"/>
    <s v="Bella Firmansyah"/>
    <x v="1"/>
    <s v="Female"/>
    <s v="07/09/2022"/>
    <n v="3"/>
    <s v="Toddler"/>
    <s v="Registed"/>
    <s v="2759406183275"/>
  </r>
  <r>
    <n v="202043848"/>
    <s v="8329678128751848"/>
    <s v="Fajar Hidayat"/>
    <s v="4159207368415921"/>
    <s v="Tania Setiawan"/>
    <x v="0"/>
    <s v="Female"/>
    <s v="31/07/1974"/>
    <n v="51"/>
    <s v="Housewife"/>
    <s v="Registed"/>
    <s v="8146372950814"/>
  </r>
  <r>
    <n v="202043848"/>
    <s v="8329678128751848"/>
    <s v="Fajar Hidayat"/>
    <s v="4159207368415922"/>
    <s v="Firman Permata"/>
    <x v="1"/>
    <s v="Male"/>
    <s v="21/12/2012"/>
    <n v="13"/>
    <s v="Junior High Student"/>
    <s v="Registed"/>
    <s v="3605819472360"/>
  </r>
  <r>
    <n v="201642732"/>
    <s v="9798159305146066"/>
    <s v="Junaedi"/>
    <s v="9502748163950271"/>
    <s v="Dimas Maulana"/>
    <x v="1"/>
    <s v="Male"/>
    <s v="27/12/2010"/>
    <n v="15"/>
    <s v="Junior High Student"/>
    <s v="Registed"/>
    <s v="9572408163957"/>
  </r>
  <r>
    <n v="201642732"/>
    <s v="9798159305146066"/>
    <s v="Junaedi"/>
    <s v="9502748163950272"/>
    <s v="Winda Rahayu"/>
    <x v="1"/>
    <s v="Female"/>
    <s v="16/12/2012"/>
    <n v="13"/>
    <s v="Junior High Student"/>
    <s v="Registed"/>
    <s v="4027195836402"/>
  </r>
  <r>
    <n v="202043906"/>
    <s v="5572191666971911"/>
    <s v="Yulia Lestari"/>
    <s v="6384712059638471"/>
    <s v="Lukman Salsabila"/>
    <x v="2"/>
    <s v="Male"/>
    <s v="30/10/1984"/>
    <n v="41"/>
    <s v="Teacher"/>
    <s v="Registed"/>
    <s v="6819352047681"/>
  </r>
  <r>
    <n v="202043868"/>
    <s v="2171657844166987"/>
    <s v="Dea Karunisa"/>
    <s v="1748293650174821"/>
    <s v="Gina Pratama"/>
    <x v="0"/>
    <s v="Female"/>
    <s v="14/01/1981"/>
    <n v="45"/>
    <s v="Freelancer"/>
    <s v="Registed"/>
    <s v="2358741906235"/>
  </r>
  <r>
    <n v="202043868"/>
    <s v="2171657844166987"/>
    <s v="Dea Karunisa"/>
    <s v="1748293650174822"/>
    <s v="Erlangga Suryani"/>
    <x v="1"/>
    <s v="Male"/>
    <s v="11/11/2012"/>
    <n v="13"/>
    <s v="Junior High Student"/>
    <s v="Registed"/>
    <s v="7935614820793"/>
  </r>
  <r>
    <n v="201742985"/>
    <s v="1654518842360613"/>
    <s v="Aulia Lestari"/>
    <s v="8261504739826151"/>
    <s v="Firman Setiawan"/>
    <x v="2"/>
    <s v="Male"/>
    <s v="15/08/2001"/>
    <n v="24"/>
    <s v="Entrepreneur"/>
    <s v="Registed"/>
    <s v="5184209376518"/>
  </r>
  <r>
    <n v="201642522"/>
    <s v="4992489172846821"/>
    <s v="Lina Kurniawan"/>
    <s v="3947182650394711"/>
    <s v="Iwan Maulana"/>
    <x v="2"/>
    <s v="Male"/>
    <s v="15/09/1999"/>
    <n v="26"/>
    <s v="Unemployment"/>
    <s v="Registed"/>
    <s v="1468952730146"/>
  </r>
  <r>
    <n v="201642522"/>
    <s v="4992489172846821"/>
    <s v="Lina Kurniawan"/>
    <s v="3947182650394712"/>
    <s v="Kirana Firmansyah"/>
    <x v="1"/>
    <s v="Female"/>
    <s v="26/06/2018"/>
    <n v="8"/>
    <s v="Elementary Student"/>
    <s v="Registed"/>
    <s v="8253746910825"/>
  </r>
  <r>
    <n v="201542229"/>
    <s v="2072594701169996"/>
    <s v="Budi Saputra"/>
    <s v="5816039274581601"/>
    <s v="Intan Salsabila"/>
    <x v="0"/>
    <s v="Female"/>
    <s v="19/02/1989"/>
    <n v="37"/>
    <s v="Freelancer"/>
    <s v="Registed"/>
    <s v="3071589426307"/>
  </r>
  <r>
    <n v="201542229"/>
    <s v="2072594701169996"/>
    <s v="Budi Saputra"/>
    <s v="5816039274581602"/>
    <s v="Mira Firmansyah"/>
    <x v="1"/>
    <s v="Female"/>
    <s v="05/10/2015"/>
    <n v="10"/>
    <s v="Elementary Student"/>
    <s v="Registed"/>
    <s v="6742819534674"/>
  </r>
  <r>
    <n v="201542229"/>
    <s v="2072594701169996"/>
    <s v="Budi Saputra"/>
    <s v="5816039274581603"/>
    <s v="Taufik Rahayu"/>
    <x v="1"/>
    <s v="Male"/>
    <s v="25/12/2017"/>
    <n v="8"/>
    <s v="Elementary Student"/>
    <s v="Registed"/>
    <s v="2194738650219"/>
  </r>
  <r>
    <n v="201843238"/>
    <s v="5415270243272780"/>
    <s v="Yusuf Pangestu"/>
    <s v="2471958360247191"/>
    <s v="Citra Kristanto"/>
    <x v="1"/>
    <s v="Female"/>
    <s v="27/04/2009"/>
    <n v="17"/>
    <s v="Senior High Student"/>
    <s v="Registed"/>
    <s v="8506942713850"/>
  </r>
  <r>
    <n v="202043964"/>
    <s v="7272656753019484"/>
    <s v="Nadia Sari"/>
    <s v="7064839152706481"/>
    <s v="Panji Pangestu"/>
    <x v="2"/>
    <s v="Male"/>
    <s v="05/01/1996"/>
    <n v="30"/>
    <s v="Entrepreneur"/>
    <s v="Registed"/>
    <s v="4918273506491"/>
  </r>
  <r>
    <n v="202043964"/>
    <s v="7272656753019484"/>
    <s v="Nadia Sari"/>
    <s v="7064839152706482"/>
    <s v="Joko Kurniawan"/>
    <x v="1"/>
    <s v="Male"/>
    <s v="23/12/2019"/>
    <n v="6"/>
    <s v="Kindergarten Student"/>
    <s v="Registed"/>
    <s v="7360582149736"/>
  </r>
  <r>
    <n v="201642722"/>
    <s v="5332839755320470"/>
    <s v="Andi Santoso"/>
    <s v="5392048176539201"/>
    <s v="Endah Lestari"/>
    <x v="0"/>
    <s v="Female"/>
    <s v="02/04/1979"/>
    <n v="47"/>
    <s v="Nurse"/>
    <s v="Registed"/>
    <s v="2849516370284"/>
  </r>
  <r>
    <n v="201642722"/>
    <s v="5332839755320470"/>
    <s v="Andi Santoso"/>
    <s v="5392048176539202"/>
    <s v="Doni Utami"/>
    <x v="1"/>
    <s v="Male"/>
    <s v="28/08/2011"/>
    <n v="14"/>
    <s v="Junior High Student"/>
    <s v="Registed"/>
    <s v="9637420185963"/>
  </r>
  <r>
    <n v="201642722"/>
    <s v="5332839755320470"/>
    <s v="Andi Santoso"/>
    <s v="5392048176539203"/>
    <s v="Fani Utami"/>
    <x v="1"/>
    <s v="Female"/>
    <s v="28/03/2017"/>
    <n v="9"/>
    <s v="Elementary Student"/>
    <s v="Registed"/>
    <s v="5078361942507"/>
  </r>
  <r>
    <n v="202144394"/>
    <s v="3876312460663168"/>
    <s v="Farhan Sari"/>
    <s v="6819502734681951"/>
    <s v="Citra Santoso"/>
    <x v="0"/>
    <s v="Female"/>
    <s v="30/01/1993"/>
    <n v="33"/>
    <s v="Teacher"/>
    <s v="Registed"/>
    <s v="1482695730148"/>
  </r>
  <r>
    <n v="202144394"/>
    <s v="3876312460663168"/>
    <s v="Farhan Sari"/>
    <s v="6819502734681952"/>
    <s v="Iwan Pangestu"/>
    <x v="1"/>
    <s v="Male"/>
    <s v="17/05/2014"/>
    <n v="12"/>
    <s v="Elementary Student"/>
    <s v="Registed"/>
    <s v="6953178425695"/>
  </r>
  <r>
    <n v="202144394"/>
    <s v="3876312460663168"/>
    <s v="Farhan Sari"/>
    <s v="6819502734681953"/>
    <s v="Ika Nugroho"/>
    <x v="1"/>
    <s v="Female"/>
    <s v="26/03/2018"/>
    <n v="8"/>
    <s v="Elementary Student"/>
    <s v="Registed"/>
    <s v="8321946507832"/>
  </r>
  <r>
    <n v="202044158"/>
    <s v="7247852454896329"/>
    <s v="Indah Wijaya"/>
    <s v="1285739460128571"/>
    <s v="Bagus Pangestu"/>
    <x v="2"/>
    <s v="Male"/>
    <s v="26/09/1994"/>
    <n v="31"/>
    <s v="Freelancer"/>
    <s v="Registed"/>
    <s v="4716852390471"/>
  </r>
  <r>
    <n v="202044158"/>
    <s v="7247852454896329"/>
    <s v="Indah Wijaya"/>
    <s v="1285739460128572"/>
    <s v="Nanda Sari"/>
    <x v="1"/>
    <s v="Male"/>
    <s v="18/10/2024"/>
    <n v="1"/>
    <s v="Toddler"/>
    <s v="Registed"/>
    <s v="9263508147926"/>
  </r>
  <r>
    <n v="201943644"/>
    <s v="1518942608955194"/>
    <s v="Bayu Maulana"/>
    <s v="9436172508943611"/>
    <s v="Zainal Nugroho"/>
    <x v="2"/>
    <s v="Male"/>
    <s v="13/08/1985"/>
    <n v="40"/>
    <s v="Unemployment"/>
    <s v="Registed"/>
    <s v="3507284916350"/>
  </r>
  <r>
    <n v="201642575"/>
    <s v="0493552594574343"/>
    <s v="Indah Permata"/>
    <s v="3602849175360281"/>
    <s v="Wahyu Puspita"/>
    <x v="2"/>
    <s v="Male"/>
    <s v="07/12/1985"/>
    <n v="40"/>
    <s v="Unemployment"/>
    <s v="Registed"/>
    <s v="3507284916350"/>
  </r>
  <r>
    <n v="202043910"/>
    <s v="0942111413173870"/>
    <s v="Rudi Utami"/>
    <s v="5179362840517931"/>
    <s v="Desi Firmansyah"/>
    <x v="0"/>
    <s v="Female"/>
    <s v="31/01/1995"/>
    <n v="31"/>
    <s v="Teacher"/>
    <s v="Registed"/>
    <s v="3507284916350"/>
  </r>
  <r>
    <n v="202043910"/>
    <s v="0942111413173870"/>
    <s v="Rudi Utami"/>
    <s v="5179362840517932"/>
    <s v="Marco Kristanto"/>
    <x v="1"/>
    <s v="Male"/>
    <s v="07/12/2020"/>
    <n v="5"/>
    <s v="Kindergarten Student"/>
    <s v="Registed"/>
    <s v="3507284916350"/>
  </r>
  <r>
    <n v="202043910"/>
    <s v="0942111413173870"/>
    <s v="Rudi Utami"/>
    <s v="5179362840517933"/>
    <s v="Reza Santoso"/>
    <x v="1"/>
    <s v="Male"/>
    <s v="06/01/2025"/>
    <n v="1"/>
    <s v="Toddler"/>
    <s v="Registed"/>
    <s v="35072849163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n v="201743091"/>
    <s v="Dewi Pratama"/>
    <x v="0"/>
    <s v="Permanent"/>
    <s v="Permanent"/>
    <s v="Accounting"/>
    <x v="0"/>
    <s v="Accounting Officer"/>
    <x v="0"/>
    <d v="2017-12-22T00:00:00"/>
    <s v=""/>
    <s v=""/>
    <x v="0"/>
  </r>
  <r>
    <n v="201843228"/>
    <s v="Aulia Kurniawan"/>
    <x v="0"/>
    <s v="Permanent"/>
    <s v="Permanent"/>
    <s v="Accounting"/>
    <x v="0"/>
    <s v="Accounting Officer"/>
    <x v="0"/>
    <d v="2018-05-08T00:00:00"/>
    <s v=""/>
    <s v=""/>
    <x v="0"/>
  </r>
  <r>
    <n v="202043936"/>
    <s v="Putri Ramadhan"/>
    <x v="0"/>
    <s v="Contract 3"/>
    <s v="60 Month"/>
    <s v="Accounting"/>
    <x v="0"/>
    <s v="Accounting Staff"/>
    <x v="1"/>
    <d v="2023-04-15T00:00:00"/>
    <d v="2028-04-15T00:00:00"/>
    <s v="633 Days"/>
    <x v="0"/>
  </r>
  <r>
    <n v="201743026"/>
    <s v="Indah Wijaya"/>
    <x v="0"/>
    <s v="Contract 2"/>
    <s v="24 Month"/>
    <s v="Economics"/>
    <x v="0"/>
    <s v="Accounting Staff"/>
    <x v="1"/>
    <d v="2024-10-18T00:00:00"/>
    <d v="2029-10-18T00:00:00"/>
    <s v="1184 Days"/>
    <x v="0"/>
  </r>
  <r>
    <n v="201642668"/>
    <s v="Yulia Kurniawan"/>
    <x v="0"/>
    <s v="Contract 3"/>
    <s v="60 Month"/>
    <s v="Business Administration"/>
    <x v="0"/>
    <s v="Accounting Administration Staff"/>
    <x v="2"/>
    <d v="2021-10-25T00:00:00"/>
    <d v="2027-01-25T00:00:00"/>
    <s v="187 Days"/>
    <x v="0"/>
  </r>
  <r>
    <n v="201843210"/>
    <s v="Rudi Saputra"/>
    <x v="1"/>
    <s v="Permanent"/>
    <s v="Permanent"/>
    <s v="Accounting"/>
    <x v="0"/>
    <s v="Accounting Supervisor"/>
    <x v="3"/>
    <d v="2018-04-20T00:00:00"/>
    <s v=""/>
    <s v=""/>
    <x v="0"/>
  </r>
  <r>
    <n v="202043917"/>
    <s v="Nadia Wijaya"/>
    <x v="0"/>
    <s v="Permanent"/>
    <s v="Permanent"/>
    <s v="Accounting"/>
    <x v="1"/>
    <s v="Audit Committee Staff"/>
    <x v="1"/>
    <d v="2018-03-27T00:00:00"/>
    <s v=""/>
    <s v=""/>
    <x v="0"/>
  </r>
  <r>
    <n v="201642597"/>
    <s v="Dedi Wijaya"/>
    <x v="1"/>
    <s v="Permanent"/>
    <s v="Permanent"/>
    <s v="Accounting"/>
    <x v="1"/>
    <s v="Audit Committee Manager"/>
    <x v="4"/>
    <d v="2016-08-15T00:00:00"/>
    <s v=""/>
    <s v=""/>
    <x v="0"/>
  </r>
  <r>
    <n v="202043908"/>
    <s v="Andi Ramadhan"/>
    <x v="1"/>
    <s v="Permanent"/>
    <s v="Permanent"/>
    <s v="Management"/>
    <x v="1"/>
    <s v="Audit Committee Staff"/>
    <x v="1"/>
    <d v="2019-03-18T00:00:00"/>
    <s v=""/>
    <s v=""/>
    <x v="0"/>
  </r>
  <r>
    <n v="202043954"/>
    <s v="Nadia Lestari"/>
    <x v="0"/>
    <s v="Permanent"/>
    <s v="Permanent"/>
    <s v="Psychology"/>
    <x v="1"/>
    <s v="Chairman Commissioner"/>
    <x v="5"/>
    <d v="2004-05-03T00:00:00"/>
    <s v=""/>
    <s v=""/>
    <x v="0"/>
  </r>
  <r>
    <n v="201943658"/>
    <s v="Yusuf Pratama"/>
    <x v="1"/>
    <s v="Permanent"/>
    <s v="Permanent"/>
    <s v="Law"/>
    <x v="1"/>
    <s v="Commissioner"/>
    <x v="6"/>
    <d v="2001-07-12T00:00:00"/>
    <s v=""/>
    <s v=""/>
    <x v="0"/>
  </r>
  <r>
    <n v="201441797"/>
    <s v="Dedi Permata"/>
    <x v="1"/>
    <s v="Permanent"/>
    <s v="Permanent"/>
    <s v="Accounting"/>
    <x v="1"/>
    <s v="Commissioner"/>
    <x v="6"/>
    <d v="2002-06-07T00:00:00"/>
    <s v=""/>
    <s v=""/>
    <x v="0"/>
  </r>
  <r>
    <n v="202244911"/>
    <s v="Monica Putri Ayu"/>
    <x v="0"/>
    <s v="Contract 3"/>
    <s v="60 Month"/>
    <s v="Business Administration"/>
    <x v="1"/>
    <s v="Corporate Secretary"/>
    <x v="0"/>
    <d v="2022-12-16T00:00:00"/>
    <d v="2027-12-16T00:00:00"/>
    <s v="512 Days"/>
    <x v="0"/>
  </r>
  <r>
    <n v="201542050"/>
    <s v="Fajar Hidayat"/>
    <x v="1"/>
    <s v="Permanent"/>
    <s v="Permanent"/>
    <s v="Economics"/>
    <x v="0"/>
    <s v="Finance Officer"/>
    <x v="0"/>
    <d v="2015-02-15T00:00:00"/>
    <s v=""/>
    <s v=""/>
    <x v="0"/>
  </r>
  <r>
    <n v="202144304"/>
    <s v="Aulia Wijaya"/>
    <x v="0"/>
    <s v="Contract 2"/>
    <s v="24 Month"/>
    <s v="Economics"/>
    <x v="0"/>
    <s v="Finance Officer"/>
    <x v="0"/>
    <d v="2025-04-18T00:00:00"/>
    <d v="2027-04-18T00:00:00"/>
    <s v="270 Days"/>
    <x v="0"/>
  </r>
  <r>
    <n v="202043907"/>
    <s v="Dewi Sari"/>
    <x v="0"/>
    <s v="Permanent"/>
    <s v="Permanent"/>
    <s v="Accounting"/>
    <x v="0"/>
    <s v="Finance Staff"/>
    <x v="1"/>
    <d v="2020-03-17T00:00:00"/>
    <s v=""/>
    <s v=""/>
    <x v="0"/>
  </r>
  <r>
    <n v="201742744"/>
    <s v="Nadia Santoso"/>
    <x v="0"/>
    <s v="Contract 1"/>
    <s v="12 Month"/>
    <s v="Communication"/>
    <x v="0"/>
    <s v="Finance Administration Staff"/>
    <x v="2"/>
    <d v="2026-01-09T00:00:00"/>
    <d v="2027-01-09T00:00:00"/>
    <s v="171 Days"/>
    <x v="0"/>
  </r>
  <r>
    <n v="202445629"/>
    <s v="Jajang Kusuma"/>
    <x v="1"/>
    <s v="Permanent"/>
    <s v="Permanent"/>
    <s v="Accounting"/>
    <x v="0"/>
    <s v="Finance Manager"/>
    <x v="4"/>
    <d v="2016-12-03T00:00:00"/>
    <s v=""/>
    <s v=""/>
    <x v="0"/>
  </r>
  <r>
    <n v="201743013"/>
    <s v="Bayu Santoso"/>
    <x v="1"/>
    <s v="Permanent"/>
    <s v="Permanent"/>
    <s v="Accounting"/>
    <x v="0"/>
    <s v="Finance, Accounting &amp; Tax Manager"/>
    <x v="7"/>
    <d v="2017-10-05T00:00:00"/>
    <s v=""/>
    <s v=""/>
    <x v="0"/>
  </r>
  <r>
    <n v="202244751"/>
    <s v="Fajar Saputra"/>
    <x v="1"/>
    <s v="Permanent"/>
    <s v="Permanent"/>
    <s v="Accounting"/>
    <x v="0"/>
    <s v="Finance Supervisor"/>
    <x v="3"/>
    <d v="2015-07-09T00:00:00"/>
    <s v=""/>
    <s v=""/>
    <x v="0"/>
  </r>
  <r>
    <n v="201943709"/>
    <s v="Farhan Arif Firmansyah"/>
    <x v="1"/>
    <s v="Permanent"/>
    <s v="Permanent"/>
    <s v="Law"/>
    <x v="2"/>
    <s v="Human Resources Manager"/>
    <x v="4"/>
    <d v="2017-09-01T00:00:00"/>
    <s v=""/>
    <s v=""/>
    <x v="0"/>
  </r>
  <r>
    <n v="201743013"/>
    <s v="Bayu Santoso"/>
    <x v="1"/>
    <s v="Permanent"/>
    <s v="Permanent"/>
    <s v="Accounting"/>
    <x v="0"/>
    <s v="Finance, Accounting &amp; Tax Manager"/>
    <x v="7"/>
    <d v="2017-10-05T00:00:00"/>
    <s v=""/>
    <s v=""/>
    <x v="0"/>
  </r>
  <r>
    <n v="202044117"/>
    <s v="Reza Nurfadilah Restu"/>
    <x v="1"/>
    <s v="Permanent"/>
    <s v="Permanent"/>
    <s v="Psychology"/>
    <x v="2"/>
    <s v="Learning &amp; Development Officer"/>
    <x v="0"/>
    <d v="2018-10-13T00:00:00"/>
    <s v=""/>
    <s v=""/>
    <x v="0"/>
  </r>
  <r>
    <n v="202043987"/>
    <s v="Musdalifah"/>
    <x v="0"/>
    <s v="Permanent"/>
    <s v="Permanent"/>
    <s v="Psychology"/>
    <x v="2"/>
    <s v="HR Communications Officer"/>
    <x v="0"/>
    <d v="2020-06-05T00:00:00"/>
    <s v=""/>
    <s v=""/>
    <x v="0"/>
  </r>
  <r>
    <n v="201943752"/>
    <s v="Rizky Permata"/>
    <x v="1"/>
    <s v="Permanent"/>
    <s v="Permanent"/>
    <s v="Management"/>
    <x v="2"/>
    <s v="Payroll &amp; Benefits Officer"/>
    <x v="0"/>
    <d v="2019-10-14T00:00:00"/>
    <s v=""/>
    <s v=""/>
    <x v="0"/>
  </r>
  <r>
    <n v="202144365"/>
    <s v="Aulia Pratama"/>
    <x v="0"/>
    <s v="Contract 1"/>
    <s v="12 Month"/>
    <s v="Psychology"/>
    <x v="2"/>
    <s v="Recruitment Staff"/>
    <x v="1"/>
    <d v="2025-08-18T00:00:00"/>
    <d v="2027-08-18T00:00:00"/>
    <s v="392 Days"/>
    <x v="0"/>
  </r>
  <r>
    <n v="202044146"/>
    <s v="Dedi Hidayat"/>
    <x v="1"/>
    <s v="Permanent"/>
    <s v="Permanent"/>
    <s v="Psychology"/>
    <x v="2"/>
    <s v="Recruitment Staff"/>
    <x v="1"/>
    <d v="2020-11-11T00:00:00"/>
    <s v=""/>
    <s v=""/>
    <x v="0"/>
  </r>
  <r>
    <n v="202044084"/>
    <s v="Nisa Noor F. Halimah"/>
    <x v="0"/>
    <s v="Permanent"/>
    <s v="Permanent"/>
    <s v="Business Administration"/>
    <x v="2"/>
    <s v="HR Operations &amp; General Affairs Staff"/>
    <x v="1"/>
    <d v="2020-09-10T00:00:00"/>
    <s v=""/>
    <s v=""/>
    <x v="0"/>
  </r>
  <r>
    <n v="201642614"/>
    <s v="Andi Maulana"/>
    <x v="1"/>
    <s v="Contract 2"/>
    <s v="24 Month"/>
    <s v="Communication"/>
    <x v="2"/>
    <s v="Employer Branding Staff"/>
    <x v="1"/>
    <d v="2024-09-01T00:00:00"/>
    <d v="2026-09-01T00:00:00"/>
    <s v="41 Days"/>
    <x v="1"/>
  </r>
  <r>
    <n v="202044094"/>
    <s v="Fajar Pratama"/>
    <x v="1"/>
    <s v="Permanent"/>
    <s v="Permanent"/>
    <s v="Human Resource Management"/>
    <x v="2"/>
    <s v="HR Operations &amp; General Affairs Staff"/>
    <x v="1"/>
    <d v="2020-09-20T00:00:00"/>
    <s v=""/>
    <s v=""/>
    <x v="0"/>
  </r>
  <r>
    <n v="202044053"/>
    <s v="Dewi Pangestu"/>
    <x v="0"/>
    <s v="Permanent"/>
    <s v="Permanent"/>
    <s v="Human Resource Management"/>
    <x v="2"/>
    <s v="HR Operations &amp; General Affairs Staff"/>
    <x v="1"/>
    <d v="2020-08-10T00:00:00"/>
    <s v=""/>
    <s v=""/>
    <x v="0"/>
  </r>
  <r>
    <n v="201642722"/>
    <s v="Andi Santoso"/>
    <x v="1"/>
    <s v="Contract 2"/>
    <s v="24 Month"/>
    <s v="Law"/>
    <x v="2"/>
    <s v="Recruitment Staff"/>
    <x v="1"/>
    <d v="2023-12-18T00:00:00"/>
    <d v="2026-12-18T00:00:00"/>
    <s v="149 Days"/>
    <x v="0"/>
  </r>
  <r>
    <n v="202545684"/>
    <s v="Siti Nugroho"/>
    <x v="0"/>
    <s v="Contract 1"/>
    <s v="12 Month"/>
    <s v="Marketing"/>
    <x v="2"/>
    <s v="Data Entry Intern"/>
    <x v="8"/>
    <d v="2026-01-27T00:00:00"/>
    <d v="2027-01-27T00:00:00"/>
    <s v="189 Days"/>
    <x v="0"/>
  </r>
  <r>
    <n v="202044026"/>
    <s v="Ine Agraeni"/>
    <x v="0"/>
    <s v="Permanent"/>
    <s v="Permanent"/>
    <s v="Natural Sciences (IPA)"/>
    <x v="2"/>
    <s v="HR Administration"/>
    <x v="2"/>
    <d v="2020-07-14T00:00:00"/>
    <s v=""/>
    <s v=""/>
    <x v="0"/>
  </r>
  <r>
    <n v="202244602"/>
    <s v="Nadia Hidayat"/>
    <x v="0"/>
    <s v="Contract 3"/>
    <s v="60 Month"/>
    <s v="Social Sciences (IPS)"/>
    <x v="2"/>
    <s v="HR Administration"/>
    <x v="2"/>
    <d v="2022-02-10T00:00:00"/>
    <d v="2027-02-10T00:00:00"/>
    <s v="203 Days"/>
    <x v="0"/>
  </r>
  <r>
    <n v="202043999"/>
    <s v="Nadia Pangestu"/>
    <x v="1"/>
    <s v="Permanent"/>
    <s v="Permanent"/>
    <s v="Information Systems"/>
    <x v="3"/>
    <s v="IT Manager"/>
    <x v="4"/>
    <d v="2015-12-17T00:00:00"/>
    <s v=""/>
    <s v=""/>
    <x v="0"/>
  </r>
  <r>
    <n v="201743014"/>
    <s v="Putri Sari"/>
    <x v="1"/>
    <s v="Permanent"/>
    <s v="Permanent"/>
    <s v="Electrical Engineering"/>
    <x v="3"/>
    <s v="IT Supervisor"/>
    <x v="3"/>
    <d v="2017-10-06T00:00:00"/>
    <s v=""/>
    <s v=""/>
    <x v="0"/>
  </r>
  <r>
    <n v="201642621"/>
    <s v="Siti Kurniawan"/>
    <x v="1"/>
    <s v="Permanent"/>
    <s v="Permanent"/>
    <s v="Information Systems"/>
    <x v="3"/>
    <s v="Programmer"/>
    <x v="9"/>
    <d v="2016-09-08T00:00:00"/>
    <s v=""/>
    <s v=""/>
    <x v="0"/>
  </r>
  <r>
    <n v="201642522"/>
    <s v="Lina Kurniawan"/>
    <x v="1"/>
    <s v="Permanent"/>
    <s v="Permanent"/>
    <s v="Information Systems"/>
    <x v="3"/>
    <s v="Programmer"/>
    <x v="9"/>
    <d v="2016-06-01T00:00:00"/>
    <s v=""/>
    <s v=""/>
    <x v="0"/>
  </r>
  <r>
    <n v="202043964"/>
    <s v="Nadia Sari"/>
    <x v="1"/>
    <s v="Permanent"/>
    <s v="Permanent"/>
    <s v="Information Systems"/>
    <x v="3"/>
    <s v="Programmer"/>
    <x v="9"/>
    <d v="2020-05-13T00:00:00"/>
    <s v=""/>
    <s v=""/>
    <x v="0"/>
  </r>
  <r>
    <n v="202044158"/>
    <s v="Indah Wijaya"/>
    <x v="1"/>
    <s v="Permanent"/>
    <s v="Permanent"/>
    <s v="Information Systems"/>
    <x v="3"/>
    <s v="Programmer"/>
    <x v="9"/>
    <d v="2020-11-23T00:00:00"/>
    <s v=""/>
    <s v=""/>
    <x v="0"/>
  </r>
  <r>
    <n v="202144222"/>
    <s v="Nadia Kusuma"/>
    <x v="1"/>
    <s v="Permanent"/>
    <s v="Permanent"/>
    <s v="Information Systems"/>
    <x v="3"/>
    <s v="Programmer"/>
    <x v="9"/>
    <d v="2021-01-26T00:00:00"/>
    <s v=""/>
    <s v=""/>
    <x v="0"/>
  </r>
  <r>
    <n v="201642559"/>
    <s v="Lina Ramadhan"/>
    <x v="0"/>
    <s v="Permanent"/>
    <s v="Permanent"/>
    <s v="Informatics Engineering"/>
    <x v="3"/>
    <s v="Programmer"/>
    <x v="9"/>
    <d v="2016-07-08T00:00:00"/>
    <s v=""/>
    <s v=""/>
    <x v="0"/>
  </r>
  <r>
    <n v="201642499"/>
    <s v="Rina Santoso"/>
    <x v="0"/>
    <s v="Contract 3"/>
    <s v="60 Month"/>
    <s v="Informatics Engineering"/>
    <x v="3"/>
    <s v="IT Support"/>
    <x v="1"/>
    <d v="2023-05-09T00:00:00"/>
    <d v="2028-05-09T00:00:00"/>
    <s v="657 Days"/>
    <x v="0"/>
  </r>
  <r>
    <n v="201943613"/>
    <s v="Nadia Maulana"/>
    <x v="1"/>
    <s v="Contract 2"/>
    <s v="24 Month"/>
    <s v="Informatics Engineering"/>
    <x v="3"/>
    <s v="IT Support"/>
    <x v="1"/>
    <d v="2024-05-28T00:00:00"/>
    <d v="2029-05-28T00:00:00"/>
    <s v="1041 Days"/>
    <x v="0"/>
  </r>
  <r>
    <n v="202043913"/>
    <s v="Indah Saputra"/>
    <x v="1"/>
    <s v="Contract 2"/>
    <s v="24 Month"/>
    <s v="Informatics Engineering"/>
    <x v="3"/>
    <s v="IT Support"/>
    <x v="1"/>
    <d v="2025-03-23T00:00:00"/>
    <d v="2027-03-23T00:00:00"/>
    <s v="244 Days"/>
    <x v="0"/>
  </r>
  <r>
    <n v="202244621"/>
    <s v="Siti Hidayat"/>
    <x v="1"/>
    <s v="Contract 3"/>
    <s v="60 Month"/>
    <s v="Informatics Engineering"/>
    <x v="3"/>
    <s v="IT Support"/>
    <x v="1"/>
    <d v="2022-03-01T00:00:00"/>
    <d v="2027-03-01T00:00:00"/>
    <s v="222 Days"/>
    <x v="0"/>
  </r>
  <r>
    <n v="201742985"/>
    <s v="Aulia Lestari"/>
    <x v="1"/>
    <s v="Permanent"/>
    <s v="Permanent"/>
    <s v="Electrical Engineering"/>
    <x v="3"/>
    <s v="IT Support"/>
    <x v="1"/>
    <d v="2020-09-07T00:00:00"/>
    <s v=""/>
    <s v=""/>
    <x v="0"/>
  </r>
  <r>
    <n v="202545966"/>
    <s v="Dewi Maulana"/>
    <x v="1"/>
    <s v="Contract 1"/>
    <s v="12 Month"/>
    <s v="Electrical Engineering"/>
    <x v="3"/>
    <s v="IT Support"/>
    <x v="1"/>
    <d v="2025-11-05T00:00:00"/>
    <d v="2027-11-05T00:00:00"/>
    <s v="471 Days"/>
    <x v="0"/>
  </r>
  <r>
    <n v="201843438"/>
    <s v="Aulia Maulana"/>
    <x v="0"/>
    <s v="Contract 3"/>
    <s v="60 Month"/>
    <s v="Electrical Engineering"/>
    <x v="3"/>
    <s v="IT Support"/>
    <x v="1"/>
    <d v="2022-12-04T00:00:00"/>
    <d v="2027-12-04T00:00:00"/>
    <s v="500 Days"/>
    <x v="0"/>
  </r>
  <r>
    <n v="202545815"/>
    <s v="Putri Kusuma"/>
    <x v="0"/>
    <s v="Contract 2"/>
    <s v="24 Month"/>
    <s v="Electrical Engineering"/>
    <x v="3"/>
    <s v="IT Support"/>
    <x v="1"/>
    <d v="2024-06-07T00:00:00"/>
    <d v="2027-06-07T00:00:00"/>
    <s v="320 Days"/>
    <x v="0"/>
  </r>
  <r>
    <n v="201843428"/>
    <s v="Indra Ramadhan"/>
    <x v="1"/>
    <s v="Contract 1"/>
    <s v="12 Month"/>
    <s v="Software Engineering (RPL)"/>
    <x v="3"/>
    <s v="Data Entry Intern"/>
    <x v="8"/>
    <d v="2025-11-24T00:00:00"/>
    <d v="2026-11-24T00:00:00"/>
    <s v="125 Days"/>
    <x v="0"/>
  </r>
  <r>
    <n v="201642522"/>
    <s v="Lina Kurniawan"/>
    <x v="1"/>
    <s v="Permanent"/>
    <s v="Permanent"/>
    <s v="Information Systems"/>
    <x v="3"/>
    <s v="Programmer"/>
    <x v="9"/>
    <d v="2016-06-01T00:00:00"/>
    <s v=""/>
    <s v=""/>
    <x v="0"/>
  </r>
  <r>
    <n v="202345041"/>
    <s v="Putri Kusuma"/>
    <x v="0"/>
    <s v="Contract 3"/>
    <s v="60 Month"/>
    <s v="Marketing"/>
    <x v="4"/>
    <s v="Marketing Officer"/>
    <x v="0"/>
    <d v="2023-04-25T00:00:00"/>
    <d v="2028-04-25T00:00:00"/>
    <s v="643 Days"/>
    <x v="0"/>
  </r>
  <r>
    <n v="201642675"/>
    <s v="Kadek Dwi Arum"/>
    <x v="0"/>
    <s v="Permanent"/>
    <s v="Permanent"/>
    <s v="Marketing"/>
    <x v="4"/>
    <s v="Commercial &amp; Marketing Manager"/>
    <x v="4"/>
    <d v="2018-11-01T00:00:00"/>
    <s v=""/>
    <s v=""/>
    <x v="0"/>
  </r>
  <r>
    <n v="202044084"/>
    <s v="Nisa Noor F. Halimah"/>
    <x v="0"/>
    <s v="Permanent"/>
    <s v="Permanent"/>
    <s v="Business Administration"/>
    <x v="2"/>
    <s v="HR Operations &amp; General Affairs Staff"/>
    <x v="1"/>
    <d v="2020-09-10T00:00:00"/>
    <s v=""/>
    <s v=""/>
    <x v="0"/>
  </r>
  <r>
    <n v="202545791"/>
    <s v="Siti Santoso"/>
    <x v="0"/>
    <s v="Contract 2"/>
    <s v="24 Month"/>
    <s v="Marketing"/>
    <x v="4"/>
    <s v="Marketing Officer"/>
    <x v="0"/>
    <d v="2025-05-14T00:00:00"/>
    <d v="2028-05-14T00:00:00"/>
    <s v="662 Days"/>
    <x v="0"/>
  </r>
  <r>
    <n v="201843255"/>
    <s v="Aulia Ramadhan"/>
    <x v="0"/>
    <s v="Permanent"/>
    <s v="Permanent"/>
    <s v="Marketing"/>
    <x v="4"/>
    <s v="Marketing Officer"/>
    <x v="0"/>
    <d v="2020-06-04T00:00:00"/>
    <s v=""/>
    <s v=""/>
    <x v="0"/>
  </r>
  <r>
    <n v="201843330"/>
    <s v="Rizky Pratama"/>
    <x v="1"/>
    <s v="Contract 3"/>
    <s v="60 Month"/>
    <s v="Marketing"/>
    <x v="4"/>
    <s v="Marketing Officer"/>
    <x v="0"/>
    <d v="2022-08-18T00:00:00"/>
    <d v="2027-08-18T00:00:00"/>
    <s v="392 Days"/>
    <x v="0"/>
  </r>
  <r>
    <n v="201843435"/>
    <s v="Lina Wijaya"/>
    <x v="0"/>
    <s v="Contract 3"/>
    <s v="60 Month"/>
    <s v="Economics"/>
    <x v="4"/>
    <s v="Marketing Officer"/>
    <x v="0"/>
    <d v="2021-12-01T00:00:00"/>
    <d v="2027-01-01T00:00:00"/>
    <s v="163 Days"/>
    <x v="0"/>
  </r>
  <r>
    <n v="201642563"/>
    <s v="Dwi Nugroho"/>
    <x v="1"/>
    <s v="Contract 2"/>
    <s v="24 Month"/>
    <s v="Economics"/>
    <x v="4"/>
    <s v="Marketing Staff"/>
    <x v="1"/>
    <d v="2025-07-12T00:00:00"/>
    <d v="2027-07-12T00:00:00"/>
    <s v="355 Days"/>
    <x v="0"/>
  </r>
  <r>
    <n v="201642610"/>
    <s v="Lina Kurniawan"/>
    <x v="0"/>
    <s v="Contract 1"/>
    <s v="12 Month"/>
    <s v="Economics"/>
    <x v="4"/>
    <s v="Marketing Staff"/>
    <x v="1"/>
    <d v="2026-02-28T00:00:00"/>
    <d v="2029-02-28T00:00:00"/>
    <s v="952 Days"/>
    <x v="0"/>
  </r>
  <r>
    <n v="201742737"/>
    <s v="Agung Kurniawan"/>
    <x v="1"/>
    <s v="Contract 1"/>
    <s v="12 Month"/>
    <s v="Economics"/>
    <x v="4"/>
    <s v="Marketing Staff"/>
    <x v="1"/>
    <d v="2026-01-02T00:00:00"/>
    <d v="2029-01-02T00:00:00"/>
    <s v="895 Days"/>
    <x v="0"/>
  </r>
  <r>
    <n v="201943726"/>
    <s v="Putri Kusuma"/>
    <x v="0"/>
    <s v="Contract 1"/>
    <s v="12 Month"/>
    <s v="Marketing"/>
    <x v="4"/>
    <s v="Data Entry Intern"/>
    <x v="8"/>
    <d v="2025-09-18T00:00:00"/>
    <d v="2026-09-18T00:00:00"/>
    <s v="58 Days"/>
    <x v="1"/>
  </r>
  <r>
    <n v="202044061"/>
    <s v="Lina Permata"/>
    <x v="0"/>
    <s v="Permanent"/>
    <s v="Permanent"/>
    <s v="Economics"/>
    <x v="1"/>
    <s v="Nomination &amp; Remuneration Committee Manager"/>
    <x v="4"/>
    <d v="2010-08-18T00:00:00"/>
    <s v=""/>
    <s v=""/>
    <x v="0"/>
  </r>
  <r>
    <n v="201943744"/>
    <s v="Yusuf Saputra"/>
    <x v="1"/>
    <s v="Permanent"/>
    <s v="Permanent"/>
    <s v="Communication"/>
    <x v="1"/>
    <s v="Nomination &amp; Remuneration Committee Staff"/>
    <x v="1"/>
    <d v="2018-10-06T00:00:00"/>
    <s v=""/>
    <s v=""/>
    <x v="0"/>
  </r>
  <r>
    <n v="202043848"/>
    <s v="Fajar Hidayat"/>
    <x v="1"/>
    <s v="Permanent"/>
    <s v="Permanent"/>
    <s v="Statistics"/>
    <x v="1"/>
    <s v="Nomination &amp; Remuneration Committee Staff"/>
    <x v="1"/>
    <d v="2020-01-18T00:00:00"/>
    <s v=""/>
    <s v=""/>
    <x v="0"/>
  </r>
  <r>
    <n v="201943561"/>
    <s v="Adi Mulyadi"/>
    <x v="1"/>
    <s v="Permanent"/>
    <s v="Permanent"/>
    <s v="Mechanical Engineering"/>
    <x v="5"/>
    <s v="Demand &amp; Supply Manager"/>
    <x v="4"/>
    <d v="2019-04-06T00:00:00"/>
    <s v=""/>
    <s v=""/>
    <x v="0"/>
  </r>
  <r>
    <n v="202043945"/>
    <s v="Muhammad Rizal"/>
    <x v="1"/>
    <s v="Contract 3"/>
    <s v="60 Month"/>
    <s v="Mechanical Engineering"/>
    <x v="5"/>
    <s v="Production Planning &amp; Control Supervisor"/>
    <x v="3"/>
    <d v="2023-04-24T00:00:00"/>
    <d v="2028-04-24T00:00:00"/>
    <s v="642 Days"/>
    <x v="0"/>
  </r>
  <r>
    <n v="202244877"/>
    <s v="Guido Nagoya"/>
    <x v="1"/>
    <s v="Contract 3"/>
    <s v="60 Month"/>
    <s v="Mechanical Engineering"/>
    <x v="5"/>
    <s v="Production Planning Analyst Supervisor"/>
    <x v="3"/>
    <d v="2021-11-12T00:00:00"/>
    <d v="2027-01-12T00:00:00"/>
    <s v="174 Days"/>
    <x v="0"/>
  </r>
  <r>
    <n v="201843321"/>
    <s v="M. Raden Nalindra P."/>
    <x v="1"/>
    <s v="Contract 2"/>
    <s v="24 Month"/>
    <s v="Economics"/>
    <x v="5"/>
    <s v="Inventory Control &amp; Planning Supervisor"/>
    <x v="3"/>
    <d v="2024-08-09T00:00:00"/>
    <d v="2029-08-09T00:00:00"/>
    <s v="1114 Days"/>
    <x v="0"/>
  </r>
  <r>
    <n v="202043868"/>
    <s v="Dea Karunisa"/>
    <x v="1"/>
    <s v="Permanent"/>
    <s v="Permanent"/>
    <s v="Business Administration"/>
    <x v="5"/>
    <s v="Production Planning Analyst"/>
    <x v="9"/>
    <d v="2020-02-07T00:00:00"/>
    <s v=""/>
    <s v=""/>
    <x v="0"/>
  </r>
  <r>
    <n v="201843367"/>
    <s v="Mummahad Agil Firmansyah"/>
    <x v="1"/>
    <s v="Permanent"/>
    <s v="Permanent"/>
    <s v="Automotive Engineering"/>
    <x v="5"/>
    <s v="Inventory Planning &amp; Control Administrator"/>
    <x v="2"/>
    <d v="2018-09-24T00:00:00"/>
    <s v=""/>
    <s v=""/>
    <x v="0"/>
  </r>
  <r>
    <n v="201943543"/>
    <s v="Agus Boediono"/>
    <x v="1"/>
    <s v="Permanent"/>
    <s v="Permanent"/>
    <s v="Automotive Engineering"/>
    <x v="5"/>
    <s v="Inventory Planning &amp; Control Administrator"/>
    <x v="2"/>
    <d v="2019-03-19T00:00:00"/>
    <s v=""/>
    <s v=""/>
    <x v="0"/>
  </r>
  <r>
    <n v="201642732"/>
    <s v="Junaedi"/>
    <x v="1"/>
    <s v="Permanent"/>
    <s v="Permanent"/>
    <s v="Natural Sciences (IPA)"/>
    <x v="5"/>
    <s v="Production Planning &amp; Control Administrator"/>
    <x v="2"/>
    <d v="2016-12-28T00:00:00"/>
    <s v=""/>
    <s v=""/>
    <x v="0"/>
  </r>
  <r>
    <n v="201743003"/>
    <s v="Yusuf Nugroho"/>
    <x v="1"/>
    <s v="Permanent"/>
    <s v="Permanent"/>
    <s v="Statistics"/>
    <x v="5"/>
    <s v="Production Planning &amp; Control Administrator"/>
    <x v="2"/>
    <d v="2017-09-25T00:00:00"/>
    <s v=""/>
    <s v=""/>
    <x v="0"/>
  </r>
  <r>
    <n v="201843298"/>
    <s v="Septiadi"/>
    <x v="1"/>
    <s v="Permanent"/>
    <s v="Permanent"/>
    <s v="Accounting"/>
    <x v="5"/>
    <s v="Production Planning &amp; Control Administrator"/>
    <x v="2"/>
    <d v="2018-07-17T00:00:00"/>
    <s v=""/>
    <s v=""/>
    <x v="0"/>
  </r>
  <r>
    <n v="202043978"/>
    <s v="Rudi Satria"/>
    <x v="1"/>
    <s v="Permanent"/>
    <s v="Permanent"/>
    <s v="Communication"/>
    <x v="5"/>
    <s v="Inventory Control &amp; Planning Officer"/>
    <x v="0"/>
    <d v="2020-05-27T00:00:00"/>
    <s v=""/>
    <s v=""/>
    <x v="0"/>
  </r>
  <r>
    <n v="201943552"/>
    <s v="Muhammad Yusril"/>
    <x v="1"/>
    <s v="Permanent"/>
    <s v="Permanent"/>
    <s v="Management"/>
    <x v="5"/>
    <s v="Inventory Control &amp; Planning Officer"/>
    <x v="0"/>
    <d v="2019-03-28T00:00:00"/>
    <s v=""/>
    <s v=""/>
    <x v="0"/>
  </r>
  <r>
    <n v="202545716"/>
    <s v="Mega Dewi Sartika"/>
    <x v="0"/>
    <s v="Contract 2"/>
    <s v="24 Month"/>
    <s v="Business Administration"/>
    <x v="5"/>
    <s v="Production Planning Analyst Staff"/>
    <x v="1"/>
    <d v="2025-02-28T00:00:00"/>
    <d v="2028-02-28T00:00:00"/>
    <s v="586 Days"/>
    <x v="0"/>
  </r>
  <r>
    <n v="202144402"/>
    <s v="Agus Wijaya"/>
    <x v="1"/>
    <s v="Contract 3"/>
    <s v="60 Month"/>
    <s v="Industrial Engineering"/>
    <x v="5"/>
    <s v="Production Planning &amp; Control Officer"/>
    <x v="0"/>
    <d v="2021-07-25T00:00:00"/>
    <d v="2026-10-25T00:00:00"/>
    <s v="95 Days"/>
    <x v="0"/>
  </r>
  <r>
    <n v="201742740"/>
    <s v="Andi Kurniawan"/>
    <x v="1"/>
    <s v="Permanent"/>
    <s v="Permanent"/>
    <s v="Mechanical Engineering"/>
    <x v="5"/>
    <s v="Production Planning &amp; Control Officer"/>
    <x v="0"/>
    <d v="2017-01-05T00:00:00"/>
    <s v=""/>
    <s v=""/>
    <x v="0"/>
  </r>
  <r>
    <n v="201943527"/>
    <s v="Bambang Wijaya"/>
    <x v="1"/>
    <s v="Permanent"/>
    <s v="Permanent"/>
    <s v="Management"/>
    <x v="6"/>
    <s v="President Director"/>
    <x v="10"/>
    <d v="2000-03-03T00:00:00"/>
    <s v=""/>
    <s v=""/>
    <x v="0"/>
  </r>
  <r>
    <n v="202144393"/>
    <s v="Yusuf Saputra"/>
    <x v="1"/>
    <s v="Contract 3"/>
    <s v="60 Month"/>
    <s v="Tourism"/>
    <x v="7"/>
    <s v="Line Leader"/>
    <x v="11"/>
    <d v="2022-07-16T00:00:00"/>
    <s v=""/>
    <s v=""/>
    <x v="0"/>
  </r>
  <r>
    <n v="202445543"/>
    <s v="Budi Wijaya"/>
    <x v="1"/>
    <s v="Permanent"/>
    <s v="Permanent"/>
    <s v="Mechanical Engineering"/>
    <x v="7"/>
    <s v="Production Manager"/>
    <x v="4"/>
    <d v="2019-09-08T00:00:00"/>
    <s v=""/>
    <s v=""/>
    <x v="0"/>
  </r>
  <r>
    <n v="202043929"/>
    <s v="Aulia Permata"/>
    <x v="0"/>
    <s v="Permanent"/>
    <s v="Permanent"/>
    <s v="Natural Sciences (IPA)"/>
    <x v="7"/>
    <s v="Line Leader"/>
    <x v="11"/>
    <d v="2020-04-08T00:00:00"/>
    <s v=""/>
    <s v=""/>
    <x v="0"/>
  </r>
  <r>
    <n v="201642575"/>
    <s v="Indah Permata"/>
    <x v="0"/>
    <s v="Permanent"/>
    <s v="Permanent"/>
    <s v="Statistics"/>
    <x v="7"/>
    <s v="Line Leader"/>
    <x v="11"/>
    <d v="2016-07-24T00:00:00"/>
    <s v=""/>
    <s v=""/>
    <x v="0"/>
  </r>
  <r>
    <n v="201742831"/>
    <s v="Dedi Hidayat"/>
    <x v="1"/>
    <s v="Permanent"/>
    <s v="Permanent"/>
    <s v="Communication"/>
    <x v="7"/>
    <s v="Line Leader"/>
    <x v="11"/>
    <d v="2017-04-06T00:00:00"/>
    <s v=""/>
    <s v=""/>
    <x v="0"/>
  </r>
  <r>
    <n v="201943575"/>
    <s v="Yoga Kusuma"/>
    <x v="1"/>
    <s v="Permanent"/>
    <s v="Permanent"/>
    <s v="Law"/>
    <x v="7"/>
    <s v="Line Leader"/>
    <x v="11"/>
    <d v="2019-04-20T00:00:00"/>
    <s v=""/>
    <s v=""/>
    <x v="0"/>
  </r>
  <r>
    <n v="202646180"/>
    <s v="Andi Hidayat"/>
    <x v="1"/>
    <s v="Permanent"/>
    <s v="Permanent"/>
    <s v="Tourism"/>
    <x v="7"/>
    <s v="Leader Line Production"/>
    <x v="11"/>
    <d v="2016-06-07T00:00:00"/>
    <s v=""/>
    <s v=""/>
    <x v="0"/>
  </r>
  <r>
    <n v="202344981"/>
    <s v="Rizky Nugroho"/>
    <x v="1"/>
    <s v="Permanent"/>
    <s v="Permanent"/>
    <s v="Electrical Engineering"/>
    <x v="7"/>
    <s v="Leader Line Production"/>
    <x v="11"/>
    <d v="2016-02-24T00:00:00"/>
    <s v=""/>
    <s v=""/>
    <x v="0"/>
  </r>
  <r>
    <n v="202044108"/>
    <s v="Agus Kurniawan"/>
    <x v="1"/>
    <s v="Permanent"/>
    <s v="Permanent"/>
    <s v="Mechanical Engineering"/>
    <x v="7"/>
    <s v="Production Supervisor"/>
    <x v="3"/>
    <d v="2017-10-04T00:00:00"/>
    <s v=""/>
    <s v=""/>
    <x v="0"/>
  </r>
  <r>
    <n v="201542229"/>
    <s v="Budi Saputra"/>
    <x v="1"/>
    <s v="Permanent"/>
    <s v="Permanent"/>
    <s v="Electrical Engineering"/>
    <x v="7"/>
    <s v="Leader Line Production"/>
    <x v="11"/>
    <d v="2015-08-13T00:00:00"/>
    <s v=""/>
    <s v=""/>
    <x v="0"/>
  </r>
  <r>
    <n v="201742748"/>
    <s v="Budi Kurniawan"/>
    <x v="1"/>
    <s v="Permanent"/>
    <s v="Permanent"/>
    <s v="Automotive Engineering"/>
    <x v="7"/>
    <s v="Leader Line Production"/>
    <x v="11"/>
    <d v="2017-01-13T00:00:00"/>
    <s v=""/>
    <s v=""/>
    <x v="0"/>
  </r>
  <r>
    <n v="202445365"/>
    <s v="Budi Ramadhan"/>
    <x v="1"/>
    <s v="Permanent"/>
    <s v="Permanent"/>
    <s v="Electrical Engineering"/>
    <x v="7"/>
    <s v="Leader Line Production"/>
    <x v="11"/>
    <d v="2014-03-14T00:00:00"/>
    <s v=""/>
    <s v=""/>
    <x v="0"/>
  </r>
  <r>
    <n v="201742739"/>
    <s v="Budi Hidayat"/>
    <x v="1"/>
    <s v="Permanent"/>
    <s v="Permanent"/>
    <s v="Metal Engineering"/>
    <x v="7"/>
    <s v="Leader Line Production"/>
    <x v="11"/>
    <d v="2017-01-04T00:00:00"/>
    <s v=""/>
    <s v=""/>
    <x v="0"/>
  </r>
  <r>
    <n v="201642646"/>
    <s v="Yoga Sari"/>
    <x v="1"/>
    <s v="Permanent"/>
    <s v="Permanent"/>
    <s v="Metal Engineering"/>
    <x v="7"/>
    <s v="Leader Line Production"/>
    <x v="11"/>
    <d v="2016-10-03T00:00:00"/>
    <s v=""/>
    <s v=""/>
    <x v="0"/>
  </r>
  <r>
    <n v="201943549"/>
    <s v="Rizky Hidayat"/>
    <x v="1"/>
    <s v="Permanent"/>
    <s v="Permanent"/>
    <s v="Electrical Engineering"/>
    <x v="7"/>
    <s v="Leader Line Production"/>
    <x v="11"/>
    <d v="2015-03-25T00:00:00"/>
    <s v=""/>
    <s v=""/>
    <x v="0"/>
  </r>
  <r>
    <n v="201742809"/>
    <s v="Budi Pangestu"/>
    <x v="1"/>
    <s v="Permanent"/>
    <s v="Permanent"/>
    <s v="Tourism"/>
    <x v="7"/>
    <s v="Leader Line Production"/>
    <x v="11"/>
    <d v="2017-03-15T00:00:00"/>
    <s v=""/>
    <s v=""/>
    <x v="0"/>
  </r>
  <r>
    <n v="202646162"/>
    <s v="Dedi Kusuma"/>
    <x v="1"/>
    <s v="Contract 1"/>
    <s v="12 Month"/>
    <s v="Automotive Engineering"/>
    <x v="7"/>
    <s v="QE Manager"/>
    <x v="4"/>
    <d v="2026-05-20T00:00:00"/>
    <d v="2029-05-20T00:00:00"/>
    <s v="1033 Days"/>
    <x v="0"/>
  </r>
  <r>
    <n v="201943644"/>
    <s v="Bayu Maulana"/>
    <x v="1"/>
    <s v="Contract 2"/>
    <s v="24 Month"/>
    <s v="Automotive Engineering"/>
    <x v="7"/>
    <s v="QA Manager"/>
    <x v="4"/>
    <d v="2024-06-28T00:00:00"/>
    <d v="2027-06-28T00:00:00"/>
    <s v="341 Days"/>
    <x v="0"/>
  </r>
  <r>
    <n v="202344946"/>
    <s v="Agus Kurniawan"/>
    <x v="1"/>
    <s v="Contract 3"/>
    <s v="60 Month"/>
    <s v="Automotive Engineering"/>
    <x v="7"/>
    <s v="QE Staff"/>
    <x v="3"/>
    <d v="2023-01-20T00:00:00"/>
    <d v="2028-01-20T00:00:00"/>
    <s v="547 Days"/>
    <x v="0"/>
  </r>
  <r>
    <n v="201943650"/>
    <s v="Dedi Sari"/>
    <x v="1"/>
    <s v="Contract 2"/>
    <s v="24 Month"/>
    <s v="Automotive Engineering"/>
    <x v="7"/>
    <s v="Quality Control Supervisor"/>
    <x v="3"/>
    <d v="2024-07-04T00:00:00"/>
    <d v="2027-07-04T00:00:00"/>
    <s v="347 Days"/>
    <x v="0"/>
  </r>
  <r>
    <n v="202144397"/>
    <s v="Farhan Santoso"/>
    <x v="1"/>
    <s v="Permanent"/>
    <s v="Permanent"/>
    <s v="Automotive Engineering"/>
    <x v="7"/>
    <s v="Leader Line Production"/>
    <x v="11"/>
    <d v="2014-07-20T00:00:00"/>
    <s v=""/>
    <s v=""/>
    <x v="0"/>
  </r>
  <r>
    <n v="202344977"/>
    <s v="Yoga Pratama"/>
    <x v="1"/>
    <s v="Contract 3"/>
    <s v="60 Month"/>
    <s v="Automotive Engineering"/>
    <x v="7"/>
    <s v="QE Staff"/>
    <x v="12"/>
    <d v="2023-02-20T00:00:00"/>
    <d v="2028-02-20T00:00:00"/>
    <s v="578 Days"/>
    <x v="0"/>
  </r>
  <r>
    <n v="201943823"/>
    <s v="Rizky Nugroho"/>
    <x v="1"/>
    <s v="Contract 2"/>
    <s v="24 Month"/>
    <s v="Automotive Engineering"/>
    <x v="7"/>
    <s v="QE Staff"/>
    <x v="12"/>
    <d v="2024-12-24T00:00:00"/>
    <d v="2029-12-24T00:00:00"/>
    <s v="1251 Days"/>
    <x v="0"/>
  </r>
  <r>
    <n v="202144538"/>
    <s v="Rizky Santoso"/>
    <x v="1"/>
    <s v="Permanent"/>
    <s v="Permanent"/>
    <s v="Automotive Engineering"/>
    <x v="7"/>
    <s v="Leader Line Production"/>
    <x v="11"/>
    <d v="2014-12-08T00:00:00"/>
    <s v=""/>
    <s v=""/>
    <x v="0"/>
  </r>
  <r>
    <n v="201642544"/>
    <s v="Budi Kurniawan"/>
    <x v="1"/>
    <s v="Contract 3"/>
    <s v="60 Month"/>
    <s v="Automotive Engineering"/>
    <x v="7"/>
    <s v="Quality Control Inspector"/>
    <x v="12"/>
    <d v="2023-06-23T00:00:00"/>
    <d v="2028-06-23T00:00:00"/>
    <s v="702 Days"/>
    <x v="0"/>
  </r>
  <r>
    <n v="202043904"/>
    <s v="Dedi Pratama"/>
    <x v="1"/>
    <s v="Contract 3"/>
    <s v="60 Month"/>
    <s v="Automotive Engineering"/>
    <x v="7"/>
    <s v="Quality Control Inspector"/>
    <x v="12"/>
    <d v="2023-03-14T00:00:00"/>
    <d v="2028-03-14T00:00:00"/>
    <s v="601 Days"/>
    <x v="0"/>
  </r>
  <r>
    <n v="201943483"/>
    <s v="Budi Kurniawan"/>
    <x v="1"/>
    <s v="Contract 2"/>
    <s v="24 Month"/>
    <s v="Automotive Engineering"/>
    <x v="7"/>
    <s v="Quality Control Inspector"/>
    <x v="12"/>
    <d v="2024-01-18T00:00:00"/>
    <d v="2029-01-18T00:00:00"/>
    <s v="911 Days"/>
    <x v="0"/>
  </r>
  <r>
    <n v="202144394"/>
    <s v="Farhan Sari"/>
    <x v="1"/>
    <s v="Permanent"/>
    <s v="Permanent"/>
    <s v="Automotive Engineering"/>
    <x v="7"/>
    <s v="Leader Line Production"/>
    <x v="11"/>
    <d v="2014-07-17T00:00:00"/>
    <s v=""/>
    <s v=""/>
    <x v="0"/>
  </r>
  <r>
    <n v="202043986"/>
    <s v="Fajar Hidayat"/>
    <x v="1"/>
    <s v="Contract 2"/>
    <s v="24 Month"/>
    <s v="Automotive Engineering"/>
    <x v="7"/>
    <s v="Quality Control Inspector"/>
    <x v="12"/>
    <d v="2025-06-04T00:00:00"/>
    <d v="2030-06-04T00:00:00"/>
    <s v="1413 Days"/>
    <x v="0"/>
  </r>
  <r>
    <n v="201843377"/>
    <s v="Rudi Lestari"/>
    <x v="1"/>
    <s v="Contract 2"/>
    <s v="24 Month"/>
    <s v="Automotive Engineering"/>
    <x v="7"/>
    <s v="Quality Control In-Coming"/>
    <x v="12"/>
    <d v="2023-10-04T00:00:00"/>
    <d v="2026-10-04T00:00:00"/>
    <s v="74 Days"/>
    <x v="0"/>
  </r>
  <r>
    <n v="201843399"/>
    <s v="Dedi Falah"/>
    <x v="1"/>
    <s v="Permanent"/>
    <s v="Permanent"/>
    <s v="Automotive Engineering"/>
    <x v="7"/>
    <s v="Leader Line Production"/>
    <x v="11"/>
    <d v="2016-10-26T00:00:00"/>
    <s v=""/>
    <s v=""/>
    <x v="0"/>
  </r>
  <r>
    <n v="201742743"/>
    <s v="Budi Permata"/>
    <x v="1"/>
    <s v="Contract 3"/>
    <s v="60 Month"/>
    <s v="Automotive Engineering"/>
    <x v="7"/>
    <s v="Quality Control In-Coming"/>
    <x v="12"/>
    <d v="2023-01-08T00:00:00"/>
    <d v="2028-01-08T00:00:00"/>
    <s v="535 Days"/>
    <x v="0"/>
  </r>
  <r>
    <n v="202445481"/>
    <s v="Budi Santoso"/>
    <x v="1"/>
    <s v="Contract 2"/>
    <s v="24 Month"/>
    <s v="Automotive Engineering"/>
    <x v="7"/>
    <s v="QE Staff"/>
    <x v="12"/>
    <d v="2024-07-08T00:00:00"/>
    <d v="2027-07-08T00:00:00"/>
    <s v="351 Days"/>
    <x v="0"/>
  </r>
  <r>
    <n v="201843238"/>
    <s v="Yusuf Pangestu"/>
    <x v="1"/>
    <s v="Permanent"/>
    <s v="Permanent"/>
    <s v="Automotive Engineering"/>
    <x v="7"/>
    <s v="Leader Line Production"/>
    <x v="11"/>
    <d v="2018-05-18T00:00:00"/>
    <s v=""/>
    <s v=""/>
    <x v="0"/>
  </r>
  <r>
    <n v="202345221"/>
    <s v="Farhan Saputra"/>
    <x v="1"/>
    <s v="Contract 2"/>
    <s v="24 Month"/>
    <s v="Automotive Engineering"/>
    <x v="7"/>
    <s v="QE Staff"/>
    <x v="12"/>
    <d v="2023-10-22T00:00:00"/>
    <d v="2026-10-22T00:00:00"/>
    <s v="92 Days"/>
    <x v="0"/>
  </r>
  <r>
    <n v="201743012"/>
    <s v="Lina Lestari"/>
    <x v="0"/>
    <s v="Contract 1"/>
    <s v="12 Month"/>
    <s v="Automotive Engineering"/>
    <x v="7"/>
    <s v="Production Administrator"/>
    <x v="2"/>
    <d v="2025-10-04T00:00:00"/>
    <d v="2028-10-04T00:00:00"/>
    <s v="805 Days"/>
    <x v="0"/>
  </r>
  <r>
    <n v="201943716"/>
    <s v="Rizky Utami"/>
    <x v="1"/>
    <s v="Contract 2"/>
    <s v="24 Month"/>
    <s v="Automotive Engineering"/>
    <x v="7"/>
    <s v="QE Staff"/>
    <x v="12"/>
    <d v="2024-09-08T00:00:00"/>
    <d v="2027-09-08T00:00:00"/>
    <s v="413 Days"/>
    <x v="0"/>
  </r>
  <r>
    <n v="202044015"/>
    <s v="Rudi Kurniawan"/>
    <x v="1"/>
    <s v="Contract 2"/>
    <s v="24 Month"/>
    <s v="Automotive Engineering"/>
    <x v="7"/>
    <s v="Production Operator"/>
    <x v="12"/>
    <d v="2025-07-03T00:00:00"/>
    <d v="2030-07-03T00:00:00"/>
    <s v="1442 Days"/>
    <x v="0"/>
  </r>
  <r>
    <n v="201642592"/>
    <s v="Fajar Kurniawan"/>
    <x v="1"/>
    <s v="Contract 2"/>
    <s v="24 Month"/>
    <s v="Automotive Engineering"/>
    <x v="7"/>
    <s v="Production Operator"/>
    <x v="12"/>
    <d v="2023-08-10T00:00:00"/>
    <d v="2028-08-10T00:00:00"/>
    <s v="750 Days"/>
    <x v="0"/>
  </r>
  <r>
    <n v="202044004"/>
    <s v="Putri Saputra"/>
    <x v="0"/>
    <s v="Contract 2"/>
    <s v="24 Month"/>
    <s v="Automotive Engineering"/>
    <x v="7"/>
    <s v="Production Administrator"/>
    <x v="2"/>
    <d v="2025-06-22T00:00:00"/>
    <d v="2027-06-22T00:00:00"/>
    <s v="335 Days"/>
    <x v="0"/>
  </r>
  <r>
    <n v="201843144"/>
    <s v="Aulia Lestari"/>
    <x v="0"/>
    <s v="Contract 2"/>
    <s v="24 Month"/>
    <s v="Automotive Engineering"/>
    <x v="7"/>
    <s v="Production Administrator"/>
    <x v="2"/>
    <d v="2025-02-13T00:00:00"/>
    <d v="2028-02-13T00:00:00"/>
    <s v="571 Days"/>
    <x v="0"/>
  </r>
  <r>
    <n v="201642621"/>
    <s v="Siti Kurniawan"/>
    <x v="1"/>
    <s v="Permanent"/>
    <s v="Permanent"/>
    <s v="Information Systems"/>
    <x v="3"/>
    <s v="Programmer"/>
    <x v="9"/>
    <d v="2016-09-08T00:00:00"/>
    <s v=""/>
    <s v=""/>
    <x v="0"/>
  </r>
  <r>
    <n v="201943782"/>
    <s v="Budi Kurniawan"/>
    <x v="1"/>
    <s v="Contract 2"/>
    <s v="24 Month"/>
    <s v="Automotive Engineering"/>
    <x v="7"/>
    <s v="Production Operator"/>
    <x v="12"/>
    <d v="2024-11-13T00:00:00"/>
    <d v="2026-11-13T00:00:00"/>
    <s v="114 Days"/>
    <x v="0"/>
  </r>
  <r>
    <n v="201642425"/>
    <s v="Dedi Kusuma"/>
    <x v="1"/>
    <s v="Contract 3"/>
    <s v="60 Month"/>
    <s v="Automotive Engineering"/>
    <x v="7"/>
    <s v="Production Operator"/>
    <x v="12"/>
    <d v="2023-02-25T00:00:00"/>
    <d v="2028-02-25T00:00:00"/>
    <s v="583 Days"/>
    <x v="0"/>
  </r>
  <r>
    <n v="201742748"/>
    <s v="Budi Kurniawan"/>
    <x v="1"/>
    <s v="Permanent"/>
    <s v="Permanent"/>
    <s v="Automotive Engineering"/>
    <x v="7"/>
    <s v="Leader Line Production"/>
    <x v="11"/>
    <d v="2017-01-13T00:00:00"/>
    <s v=""/>
    <s v=""/>
    <x v="0"/>
  </r>
  <r>
    <n v="201642724"/>
    <s v="Agus Lesmana"/>
    <x v="1"/>
    <s v="Contract 2"/>
    <s v="24 Month"/>
    <s v="Automotive Engineering"/>
    <x v="7"/>
    <s v="Production Operator"/>
    <x v="12"/>
    <d v="2023-12-20T00:00:00"/>
    <d v="2026-12-20T00:00:00"/>
    <s v="151 Days"/>
    <x v="0"/>
  </r>
  <r>
    <n v="202445315"/>
    <s v="Dedi Saputra"/>
    <x v="1"/>
    <s v="Contract 2"/>
    <s v="24 Month"/>
    <s v="Automotive Engineering"/>
    <x v="7"/>
    <s v="Production Operator"/>
    <x v="12"/>
    <d v="2024-01-24T00:00:00"/>
    <d v="2027-01-24T00:00:00"/>
    <s v="186 Days"/>
    <x v="0"/>
  </r>
  <r>
    <n v="201742971"/>
    <s v="Rina Santoso"/>
    <x v="0"/>
    <s v="Contract 1"/>
    <s v="12 Month"/>
    <s v="Automotive Engineering"/>
    <x v="7"/>
    <s v="Production Administrator"/>
    <x v="2"/>
    <d v="2025-08-24T00:00:00"/>
    <d v="2027-08-24T00:00:00"/>
    <s v="398 Days"/>
    <x v="0"/>
  </r>
  <r>
    <n v="201943804"/>
    <s v="Lina Pangestu"/>
    <x v="0"/>
    <s v="Contract 1"/>
    <s v="12 Month"/>
    <s v="Automotive Engineering"/>
    <x v="7"/>
    <s v="Production Administrator"/>
    <x v="2"/>
    <d v="2025-12-05T00:00:00"/>
    <d v="2027-12-05T00:00:00"/>
    <s v="501 Days"/>
    <x v="0"/>
  </r>
  <r>
    <n v="201642523"/>
    <s v="Andi Nugroho"/>
    <x v="1"/>
    <s v="Contract 3"/>
    <s v="60 Month"/>
    <s v="Automotive Engineering"/>
    <x v="7"/>
    <s v="Production Operator"/>
    <x v="12"/>
    <d v="2023-06-02T00:00:00"/>
    <d v="2028-06-02T00:00:00"/>
    <s v="681 Days"/>
    <x v="0"/>
  </r>
  <r>
    <n v="201843269"/>
    <s v="Lina Santoso"/>
    <x v="0"/>
    <s v="Contract 2"/>
    <s v="24 Month"/>
    <s v="Automotive Engineering"/>
    <x v="7"/>
    <s v="Production Administrator"/>
    <x v="2"/>
    <d v="2025-06-18T00:00:00"/>
    <d v="2028-06-18T00:00:00"/>
    <s v="697 Days"/>
    <x v="0"/>
  </r>
  <r>
    <n v="201943608"/>
    <s v="Indah Permata"/>
    <x v="0"/>
    <s v="Contract 2"/>
    <s v="24 Month"/>
    <s v="Automotive Engineering"/>
    <x v="7"/>
    <s v="Production Administrator"/>
    <x v="2"/>
    <d v="2025-05-23T00:00:00"/>
    <d v="2028-05-23T00:00:00"/>
    <s v="671 Days"/>
    <x v="0"/>
  </r>
  <r>
    <n v="202545907"/>
    <s v="Dewi Santoso"/>
    <x v="0"/>
    <s v="Contract 1"/>
    <s v="12 Month"/>
    <s v="Automotive Engineering"/>
    <x v="7"/>
    <s v="Production Administrator"/>
    <x v="2"/>
    <d v="2025-09-07T00:00:00"/>
    <d v="2027-09-07T00:00:00"/>
    <s v="412 Days"/>
    <x v="0"/>
  </r>
  <r>
    <n v="201642392"/>
    <s v="Fajar Saputra"/>
    <x v="1"/>
    <s v="Contract 3"/>
    <s v="60 Month"/>
    <s v="Automotive Engineering"/>
    <x v="7"/>
    <s v="Production Operator"/>
    <x v="12"/>
    <d v="2023-01-23T00:00:00"/>
    <d v="2028-01-23T00:00:00"/>
    <s v="550 Days"/>
    <x v="0"/>
  </r>
  <r>
    <n v="202044160"/>
    <s v="Dewi Lestari"/>
    <x v="0"/>
    <s v="Contract 1"/>
    <s v="12 Month"/>
    <s v="Electrical Engineering"/>
    <x v="7"/>
    <s v="Production Administrator"/>
    <x v="2"/>
    <d v="2025-11-25T00:00:00"/>
    <d v="2026-11-25T00:00:00"/>
    <s v="126 Days"/>
    <x v="0"/>
  </r>
  <r>
    <n v="202144405"/>
    <s v="Fajar Pratama"/>
    <x v="1"/>
    <s v="Contract 1"/>
    <s v="12 Month"/>
    <s v="Automotive Engineering"/>
    <x v="7"/>
    <s v="Production Operator"/>
    <x v="12"/>
    <d v="2025-07-28T00:00:00"/>
    <d v="2027-07-28T00:00:00"/>
    <s v="371 Days"/>
    <x v="0"/>
  </r>
  <r>
    <n v="201742763"/>
    <s v="Putri Saputra"/>
    <x v="0"/>
    <s v="Contract 2"/>
    <s v="24 Month"/>
    <s v="Electrical Engineering"/>
    <x v="7"/>
    <s v="Production Administrator"/>
    <x v="2"/>
    <d v="2025-01-28T00:00:00"/>
    <d v="2027-01-28T00:00:00"/>
    <s v="190 Days"/>
    <x v="0"/>
  </r>
  <r>
    <n v="202345000"/>
    <s v="Siti Santoso"/>
    <x v="0"/>
    <s v="Contract 2"/>
    <s v="24 Month"/>
    <s v="Electrical Engineering"/>
    <x v="7"/>
    <s v="Production Administrator"/>
    <x v="2"/>
    <d v="2024-03-15T00:00:00"/>
    <d v="2029-03-15T00:00:00"/>
    <s v="967 Days"/>
    <x v="0"/>
  </r>
  <r>
    <n v="202044150"/>
    <s v="Dewi Nugroho"/>
    <x v="0"/>
    <s v="Contract 1"/>
    <s v="12 Month"/>
    <s v="Electrical Engineering"/>
    <x v="7"/>
    <s v="Production Administrator"/>
    <x v="2"/>
    <d v="2025-11-15T00:00:00"/>
    <d v="2030-11-15T00:00:00"/>
    <s v="1577 Days"/>
    <x v="0"/>
  </r>
  <r>
    <n v="201843460"/>
    <s v="Farhan Kusuma"/>
    <x v="1"/>
    <s v="Contract 2"/>
    <s v="24 Month"/>
    <s v="Automotive Engineering"/>
    <x v="7"/>
    <s v="Production Operator"/>
    <x v="12"/>
    <d v="2023-12-26T00:00:00"/>
    <d v="2028-12-26T00:00:00"/>
    <s v="888 Days"/>
    <x v="0"/>
  </r>
  <r>
    <n v="201441771"/>
    <s v="Nadia Nugroho"/>
    <x v="0"/>
    <s v="Contract 1"/>
    <s v="12 Month"/>
    <s v="Electrical Engineering"/>
    <x v="7"/>
    <s v="Production Administrator"/>
    <x v="2"/>
    <d v="2026-05-12T00:00:00"/>
    <d v="2027-05-12T00:00:00"/>
    <s v="294 Days"/>
    <x v="0"/>
  </r>
  <r>
    <n v="201943691"/>
    <s v="Nadia Maulana"/>
    <x v="0"/>
    <s v="Contract 1"/>
    <s v="12 Month"/>
    <s v="Electrical Engineering"/>
    <x v="7"/>
    <s v="Production Administrator"/>
    <x v="2"/>
    <d v="2025-08-14T00:00:00"/>
    <d v="2027-08-14T00:00:00"/>
    <s v="388 Days"/>
    <x v="0"/>
  </r>
  <r>
    <n v="201642522"/>
    <s v="Lina Kurniawan"/>
    <x v="1"/>
    <s v="Permanent"/>
    <s v="Permanent"/>
    <s v="Information Systems"/>
    <x v="3"/>
    <s v="Programmer"/>
    <x v="9"/>
    <d v="2016-06-01T00:00:00"/>
    <s v=""/>
    <s v=""/>
    <x v="0"/>
  </r>
  <r>
    <n v="201943641"/>
    <s v="Dewi Hidayat"/>
    <x v="0"/>
    <s v="Contract 2"/>
    <s v="24 Month"/>
    <s v="Electrical Engineering"/>
    <x v="7"/>
    <s v="Production Administrator"/>
    <x v="2"/>
    <d v="2025-06-25T00:00:00"/>
    <d v="2027-06-25T00:00:00"/>
    <s v="338 Days"/>
    <x v="0"/>
  </r>
  <r>
    <n v="201843213"/>
    <s v="Angel Kusuma Dewi"/>
    <x v="0"/>
    <s v="Contract 2"/>
    <s v="24 Month"/>
    <s v="Electrical Engineering"/>
    <x v="7"/>
    <s v="Production Administrator"/>
    <x v="2"/>
    <d v="2025-04-23T00:00:00"/>
    <d v="2030-04-23T00:00:00"/>
    <s v="1371 Days"/>
    <x v="0"/>
  </r>
  <r>
    <n v="202345227"/>
    <s v="Putri Pratama"/>
    <x v="0"/>
    <s v="Contract 2"/>
    <s v="24 Month"/>
    <s v="Electrical Engineering"/>
    <x v="7"/>
    <s v="Production Administrator"/>
    <x v="2"/>
    <d v="2024-10-28T00:00:00"/>
    <d v="2027-10-28T00:00:00"/>
    <s v="463 Days"/>
    <x v="0"/>
  </r>
  <r>
    <n v="202244652"/>
    <s v="Bayu Pratama"/>
    <x v="1"/>
    <s v="Contract 1"/>
    <s v="12 Month"/>
    <s v="Automotive Engineering"/>
    <x v="7"/>
    <s v="Production Operator"/>
    <x v="12"/>
    <d v="2026-04-01T00:00:00"/>
    <d v="2031-04-01T00:00:00"/>
    <s v="1714 Days"/>
    <x v="0"/>
  </r>
  <r>
    <n v="202244764"/>
    <s v="Fajar Wijaya"/>
    <x v="1"/>
    <s v="Contract 1"/>
    <s v="12 Month"/>
    <s v="Automotive Engineering"/>
    <x v="7"/>
    <s v="Production Operator"/>
    <x v="12"/>
    <d v="2026-06-22T00:00:00"/>
    <d v="2027-07-22T00:00:00"/>
    <s v="365 Days"/>
    <x v="0"/>
  </r>
  <r>
    <n v="201943744"/>
    <s v="Yusuf Saputra"/>
    <x v="1"/>
    <s v="Permanent"/>
    <s v="Permanent"/>
    <s v="Communication"/>
    <x v="1"/>
    <s v="Nomination &amp; Remuneration Committee Staff"/>
    <x v="1"/>
    <d v="2018-10-06T00:00:00"/>
    <s v=""/>
    <s v=""/>
    <x v="0"/>
  </r>
  <r>
    <n v="202345177"/>
    <s v="Bayu Maulana"/>
    <x v="1"/>
    <s v="Contract 2"/>
    <s v="24 Month"/>
    <s v="Automotive Engineering"/>
    <x v="7"/>
    <s v="Production Operator"/>
    <x v="12"/>
    <d v="2023-09-08T00:00:00"/>
    <d v="2026-09-08T00:00:00"/>
    <s v="48 Days"/>
    <x v="1"/>
  </r>
  <r>
    <n v="201642680"/>
    <s v="Rahmat Sari"/>
    <x v="1"/>
    <s v="Contract 2"/>
    <s v="24 Month"/>
    <s v="Automotive Engineering"/>
    <x v="7"/>
    <s v="Production Operator"/>
    <x v="12"/>
    <d v="2023-11-06T00:00:00"/>
    <d v="2028-11-06T00:00:00"/>
    <s v="838 Days"/>
    <x v="0"/>
  </r>
  <r>
    <n v="201943797"/>
    <s v="Fajar Ramadhan"/>
    <x v="1"/>
    <s v="Contract 2"/>
    <s v="24 Month"/>
    <s v="Automotive Engineering"/>
    <x v="7"/>
    <s v="Production Operator"/>
    <x v="12"/>
    <d v="2024-11-28T00:00:00"/>
    <d v="2027-11-28T00:00:00"/>
    <s v="494 Days"/>
    <x v="0"/>
  </r>
  <r>
    <n v="201943729"/>
    <s v="Rahmat Lestari"/>
    <x v="1"/>
    <s v="Contract 2"/>
    <s v="24 Month"/>
    <s v="Automotive Engineering"/>
    <x v="7"/>
    <s v="Production Operator"/>
    <x v="12"/>
    <d v="2024-09-21T00:00:00"/>
    <d v="2026-09-21T00:00:00"/>
    <s v="61 Days"/>
    <x v="0"/>
  </r>
  <r>
    <n v="201742848"/>
    <s v="Yoga Ramadhan"/>
    <x v="1"/>
    <s v="Contract 3"/>
    <s v="60 Month"/>
    <s v="Automotive Engineering"/>
    <x v="7"/>
    <s v="Production Operator"/>
    <x v="12"/>
    <d v="2023-04-23T00:00:00"/>
    <d v="2028-04-23T00:00:00"/>
    <s v="641 Days"/>
    <x v="0"/>
  </r>
  <r>
    <n v="201742917"/>
    <s v="Rahmat Nugroho"/>
    <x v="1"/>
    <s v="Contract 2"/>
    <s v="24 Month"/>
    <s v="Automotive Engineering"/>
    <x v="7"/>
    <s v="Production Operator"/>
    <x v="12"/>
    <d v="2025-07-01T00:00:00"/>
    <d v="2027-07-01T00:00:00"/>
    <s v="344 Days"/>
    <x v="0"/>
  </r>
  <r>
    <n v="202244606"/>
    <s v="Yusuf Pangestu"/>
    <x v="1"/>
    <s v="Contract 1"/>
    <s v="12 Month"/>
    <s v="Automotive Engineering"/>
    <x v="7"/>
    <s v="Production Operator"/>
    <x v="12"/>
    <d v="2026-02-14T00:00:00"/>
    <d v="2028-02-14T00:00:00"/>
    <s v="572 Days"/>
    <x v="0"/>
  </r>
  <r>
    <n v="201642691"/>
    <s v="Raffi Kurniawan"/>
    <x v="1"/>
    <s v="Contract 2"/>
    <s v="24 Month"/>
    <s v="Automotive Engineering"/>
    <x v="7"/>
    <s v="Production Operator"/>
    <x v="12"/>
    <d v="2023-11-17T00:00:00"/>
    <d v="2026-11-17T00:00:00"/>
    <s v="118 Days"/>
    <x v="0"/>
  </r>
  <r>
    <n v="201742834"/>
    <s v="Rizky Santoso"/>
    <x v="1"/>
    <s v="Contract 3"/>
    <s v="60 Month"/>
    <s v="Automotive Engineering"/>
    <x v="7"/>
    <s v="Production Operator"/>
    <x v="12"/>
    <d v="2023-04-09T00:00:00"/>
    <d v="2028-04-09T00:00:00"/>
    <s v="627 Days"/>
    <x v="0"/>
  </r>
  <r>
    <n v="202545795"/>
    <s v="Farhan Saputra"/>
    <x v="1"/>
    <s v="Contract 2"/>
    <s v="24 Month"/>
    <s v="Automotive Engineering"/>
    <x v="7"/>
    <s v="Production Operator"/>
    <x v="12"/>
    <d v="2025-05-18T00:00:00"/>
    <d v="2030-05-18T00:00:00"/>
    <s v="1396 Days"/>
    <x v="0"/>
  </r>
  <r>
    <n v="201843184"/>
    <s v="Yusuf Kurniawan"/>
    <x v="1"/>
    <s v="Contract 3"/>
    <s v="60 Month"/>
    <s v="Automotive Engineering"/>
    <x v="7"/>
    <s v="Production Operator"/>
    <x v="12"/>
    <d v="2023-03-25T00:00:00"/>
    <d v="2028-03-25T00:00:00"/>
    <s v="612 Days"/>
    <x v="0"/>
  </r>
  <r>
    <n v="202044036"/>
    <s v="Rudi Lestari"/>
    <x v="1"/>
    <s v="Contract 1"/>
    <s v="12 Month"/>
    <s v="Automotive Engineering"/>
    <x v="7"/>
    <s v="Production Operator"/>
    <x v="12"/>
    <d v="2025-07-24T00:00:00"/>
    <d v="2026-07-24T00:00:00"/>
    <s v="2 Days"/>
    <x v="2"/>
  </r>
  <r>
    <n v="202043974"/>
    <s v="Bayu Saputra"/>
    <x v="1"/>
    <s v="Contract 2"/>
    <s v="24 Month"/>
    <s v="Automotive Engineering"/>
    <x v="7"/>
    <s v="Production Operator"/>
    <x v="12"/>
    <d v="2025-05-23T00:00:00"/>
    <d v="2030-05-23T00:00:00"/>
    <s v="1401 Days"/>
    <x v="0"/>
  </r>
  <r>
    <n v="202345166"/>
    <s v="Fajar Lestari"/>
    <x v="1"/>
    <s v="Contract 2"/>
    <s v="24 Month"/>
    <s v="Automotive Engineering"/>
    <x v="7"/>
    <s v="Production Operator"/>
    <x v="12"/>
    <d v="2023-08-28T00:00:00"/>
    <d v="2026-08-28T00:00:00"/>
    <s v="37 Days"/>
    <x v="1"/>
  </r>
  <r>
    <n v="202244604"/>
    <s v="Budi Wijaya"/>
    <x v="1"/>
    <s v="Contract 1"/>
    <s v="12 Month"/>
    <s v="Automotive Engineering"/>
    <x v="7"/>
    <s v="Production Operator"/>
    <x v="12"/>
    <d v="2026-02-12T00:00:00"/>
    <d v="2027-02-12T00:00:00"/>
    <s v="205 Days"/>
    <x v="0"/>
  </r>
  <r>
    <n v="201943597"/>
    <s v="Rizky Santoso"/>
    <x v="1"/>
    <s v="Permanent"/>
    <s v="Permanent"/>
    <s v="Automotive Engineering"/>
    <x v="7"/>
    <s v="Leader Line Production"/>
    <x v="11"/>
    <d v="2019-05-12T00:00:00"/>
    <s v=""/>
    <s v=""/>
    <x v="0"/>
  </r>
  <r>
    <n v="201843265"/>
    <s v="Yoga Ramadhan"/>
    <x v="1"/>
    <s v="Contract 3"/>
    <s v="60 Month"/>
    <s v="Automotive Engineering"/>
    <x v="7"/>
    <s v="Production Operator"/>
    <x v="12"/>
    <d v="2023-06-14T00:00:00"/>
    <d v="2028-06-14T00:00:00"/>
    <s v="693 Days"/>
    <x v="0"/>
  </r>
  <r>
    <n v="202043910"/>
    <s v="Rudi Utami"/>
    <x v="1"/>
    <s v="Permanent"/>
    <s v="Permanent"/>
    <s v="Automotive Engineering"/>
    <x v="7"/>
    <s v="Leader Line Production"/>
    <x v="11"/>
    <d v="2016-03-20T00:00:00"/>
    <s v=""/>
    <s v=""/>
    <x v="0"/>
  </r>
  <r>
    <n v="201943816"/>
    <s v="Rahmat Ramadhan"/>
    <x v="1"/>
    <s v="Contract 2"/>
    <s v="24 Month"/>
    <s v="Automotive Engineering"/>
    <x v="7"/>
    <s v="Production Operator"/>
    <x v="12"/>
    <d v="2024-12-17T00:00:00"/>
    <d v="2026-12-17T00:00:00"/>
    <s v="148 Days"/>
    <x v="0"/>
  </r>
  <r>
    <n v="202144474"/>
    <s v="Rahmat Sari"/>
    <x v="1"/>
    <s v="Permanent"/>
    <s v="Permanent"/>
    <s v="Automotive Engineering"/>
    <x v="7"/>
    <s v="Leader Line Production"/>
    <x v="11"/>
    <d v="2014-10-05T00:00:00"/>
    <s v=""/>
    <s v=""/>
    <x v="0"/>
  </r>
  <r>
    <n v="202144525"/>
    <s v="Yusuf Kusuma"/>
    <x v="1"/>
    <s v="Permanent"/>
    <s v="Permanent"/>
    <s v="Automotive Engineering"/>
    <x v="7"/>
    <s v="Leader Line Production"/>
    <x v="11"/>
    <d v="2014-11-25T00:00:00"/>
    <s v=""/>
    <s v=""/>
    <x v="0"/>
  </r>
  <r>
    <n v="201843355"/>
    <s v="Rudi Wijaya"/>
    <x v="1"/>
    <s v="Permanent"/>
    <s v="Permanent"/>
    <s v="Automotive Engineering"/>
    <x v="7"/>
    <s v="Leader Line Production"/>
    <x v="11"/>
    <d v="2018-09-12T00:00:00"/>
    <s v=""/>
    <s v=""/>
    <x v="0"/>
  </r>
  <r>
    <n v="201441661"/>
    <s v="Agus Wijaya"/>
    <x v="1"/>
    <s v="Contract 3"/>
    <s v="60 Month"/>
    <s v="Automotive Engineering"/>
    <x v="7"/>
    <s v="Production Operator"/>
    <x v="12"/>
    <d v="2023-01-22T00:00:00"/>
    <d v="2028-01-22T00:00:00"/>
    <s v="549 Days"/>
    <x v="0"/>
  </r>
  <r>
    <n v="201943713"/>
    <s v="Rudi Santoso"/>
    <x v="1"/>
    <s v="Permanent"/>
    <s v="Permanent"/>
    <s v="Automotive Engineering"/>
    <x v="7"/>
    <s v="Leader Line Production"/>
    <x v="11"/>
    <d v="2018-09-05T00:00:00"/>
    <s v=""/>
    <s v=""/>
    <x v="0"/>
  </r>
  <r>
    <n v="201943712"/>
    <s v="Bayu Pratama"/>
    <x v="1"/>
    <s v="Contract 2"/>
    <s v="24 Month"/>
    <s v="Automotive Engineering"/>
    <x v="7"/>
    <s v="Production Operator"/>
    <x v="12"/>
    <d v="2024-09-04T00:00:00"/>
    <d v="2029-09-04T00:00:00"/>
    <s v="1140 Days"/>
    <x v="0"/>
  </r>
  <r>
    <n v="201642451"/>
    <s v="Dedi Santoso"/>
    <x v="1"/>
    <s v="Contract 3"/>
    <s v="60 Month"/>
    <s v="Automotive Engineering"/>
    <x v="7"/>
    <s v="Production Operator"/>
    <x v="12"/>
    <d v="2023-03-22T00:00:00"/>
    <d v="2028-03-22T00:00:00"/>
    <s v="609 Days"/>
    <x v="0"/>
  </r>
  <r>
    <n v="202345218"/>
    <s v="Dedi Nugroho"/>
    <x v="1"/>
    <s v="Contract 2"/>
    <s v="24 Month"/>
    <s v="Automotive Engineering"/>
    <x v="7"/>
    <s v="Production Operator"/>
    <x v="12"/>
    <d v="2023-10-19T00:00:00"/>
    <d v="2026-10-19T00:00:00"/>
    <s v="89 Days"/>
    <x v="0"/>
  </r>
  <r>
    <n v="202344990"/>
    <s v="Yusuf Lestari"/>
    <x v="1"/>
    <s v="Contract 3"/>
    <s v="60 Month"/>
    <s v="Automotive Engineering"/>
    <x v="7"/>
    <s v="Production Operator"/>
    <x v="12"/>
    <d v="2023-03-05T00:00:00"/>
    <d v="2028-03-05T00:00:00"/>
    <s v="592 Days"/>
    <x v="0"/>
  </r>
  <r>
    <n v="202345147"/>
    <s v="Rizky Saputra"/>
    <x v="1"/>
    <s v="Contract 2"/>
    <s v="24 Month"/>
    <s v="Automotive Engineering"/>
    <x v="7"/>
    <s v="Production Operator"/>
    <x v="12"/>
    <d v="2023-08-09T00:00:00"/>
    <d v="2026-08-09T00:00:00"/>
    <s v="18 Days"/>
    <x v="2"/>
  </r>
  <r>
    <n v="202244574"/>
    <s v="Rudi Utami"/>
    <x v="1"/>
    <s v="Contract 1"/>
    <s v="12 Month"/>
    <s v="Automotive Engineering"/>
    <x v="7"/>
    <s v="Production Operator"/>
    <x v="12"/>
    <d v="2026-01-13T00:00:00"/>
    <d v="2028-01-13T00:00:00"/>
    <s v="540 Days"/>
    <x v="0"/>
  </r>
  <r>
    <n v="201843207"/>
    <s v="Rahmat Kusuma"/>
    <x v="1"/>
    <s v="Contract 3"/>
    <s v="60 Month"/>
    <s v="Automotive Engineering"/>
    <x v="7"/>
    <s v="Production Operator"/>
    <x v="12"/>
    <d v="2023-04-17T00:00:00"/>
    <d v="2028-04-17T00:00:00"/>
    <s v="635 Days"/>
    <x v="0"/>
  </r>
  <r>
    <n v="201843299"/>
    <s v="Farhan Santoso"/>
    <x v="1"/>
    <s v="Contract 3"/>
    <s v="60 Month"/>
    <s v="Automotive Engineering"/>
    <x v="7"/>
    <s v="Production Operator"/>
    <x v="12"/>
    <d v="2023-07-18T00:00:00"/>
    <d v="2028-07-18T00:00:00"/>
    <s v="727 Days"/>
    <x v="0"/>
  </r>
  <r>
    <n v="201843266"/>
    <s v="Bayu Maulana"/>
    <x v="1"/>
    <s v="Contract 3"/>
    <s v="60 Month"/>
    <s v="Automotive Engineering"/>
    <x v="7"/>
    <s v="Production Operator"/>
    <x v="12"/>
    <d v="2023-06-15T00:00:00"/>
    <d v="2028-06-15T00:00:00"/>
    <s v="694 Days"/>
    <x v="0"/>
  </r>
  <r>
    <n v="201642487"/>
    <s v="Rudi Lestari"/>
    <x v="1"/>
    <s v="Contract 3"/>
    <s v="60 Month"/>
    <s v="Automotive Engineering"/>
    <x v="7"/>
    <s v="Production Operator"/>
    <x v="12"/>
    <d v="2023-04-27T00:00:00"/>
    <d v="2028-04-27T00:00:00"/>
    <s v="645 Days"/>
    <x v="0"/>
  </r>
  <r>
    <n v="202244719"/>
    <s v="Bayu Hidayat"/>
    <x v="1"/>
    <s v="Contract 1"/>
    <s v="12 Month"/>
    <s v="Automotive Engineering"/>
    <x v="7"/>
    <s v="Production Operator"/>
    <x v="12"/>
    <d v="2026-06-07T00:00:00"/>
    <d v="2027-06-07T00:00:00"/>
    <s v="320 Days"/>
    <x v="0"/>
  </r>
  <r>
    <n v="201642693"/>
    <s v="Fajar Utami"/>
    <x v="1"/>
    <s v="Contract 2"/>
    <s v="24 Month"/>
    <s v="Automotive Engineering"/>
    <x v="7"/>
    <s v="Production Operator"/>
    <x v="12"/>
    <d v="2023-11-19T00:00:00"/>
    <d v="2028-11-19T00:00:00"/>
    <s v="851 Days"/>
    <x v="0"/>
  </r>
  <r>
    <n v="201542187"/>
    <s v="Rudi Lestari"/>
    <x v="1"/>
    <s v="Contract 3"/>
    <s v="60 Month"/>
    <s v="Automotive Engineering"/>
    <x v="7"/>
    <s v="Production Operator"/>
    <x v="12"/>
    <d v="2023-07-02T00:00:00"/>
    <d v="2028-07-02T00:00:00"/>
    <s v="711 Days"/>
    <x v="0"/>
  </r>
  <r>
    <n v="202144520"/>
    <s v="Dedi Nugroho"/>
    <x v="1"/>
    <s v="Contract 1"/>
    <s v="12 Month"/>
    <s v="Automotive Engineering"/>
    <x v="7"/>
    <s v="Production Operator"/>
    <x v="12"/>
    <d v="2025-11-20T00:00:00"/>
    <d v="2027-11-20T00:00:00"/>
    <s v="486 Days"/>
    <x v="0"/>
  </r>
  <r>
    <n v="201943535"/>
    <s v="Andi Utami"/>
    <x v="1"/>
    <s v="Contract 2"/>
    <s v="24 Month"/>
    <s v="Automotive Engineering"/>
    <x v="7"/>
    <s v="Production Operator"/>
    <x v="12"/>
    <d v="2024-03-11T00:00:00"/>
    <d v="2027-03-11T00:00:00"/>
    <s v="232 Days"/>
    <x v="0"/>
  </r>
  <r>
    <n v="201843395"/>
    <s v="Budi Wijaya"/>
    <x v="1"/>
    <s v="Contract 2"/>
    <s v="24 Month"/>
    <s v="Automotive Engineering"/>
    <x v="7"/>
    <s v="Production Operator"/>
    <x v="12"/>
    <d v="2023-10-22T00:00:00"/>
    <d v="2026-10-22T00:00:00"/>
    <s v="92 Days"/>
    <x v="0"/>
  </r>
  <r>
    <n v="202545977"/>
    <s v="Yoga Permata"/>
    <x v="1"/>
    <s v="Contract 1"/>
    <s v="12 Month"/>
    <s v="Automotive Engineering"/>
    <x v="7"/>
    <s v="Production Operator"/>
    <x v="12"/>
    <d v="2025-11-16T00:00:00"/>
    <d v="2030-11-16T00:00:00"/>
    <s v="1578 Days"/>
    <x v="0"/>
  </r>
  <r>
    <n v="201441987"/>
    <s v="Rudi Maulana"/>
    <x v="1"/>
    <s v="Contract 2"/>
    <s v="24 Month"/>
    <s v="Automotive Engineering"/>
    <x v="7"/>
    <s v="Production Operator"/>
    <x v="12"/>
    <d v="2023-12-14T00:00:00"/>
    <d v="2026-12-14T00:00:00"/>
    <s v="145 Days"/>
    <x v="0"/>
  </r>
  <r>
    <n v="201843418"/>
    <s v="Yusuf Maulana"/>
    <x v="1"/>
    <s v="Contract 2"/>
    <s v="24 Month"/>
    <s v="Automotive Engineering"/>
    <x v="7"/>
    <s v="Production Operator"/>
    <x v="12"/>
    <d v="2023-11-14T00:00:00"/>
    <d v="2026-11-14T00:00:00"/>
    <s v="115 Days"/>
    <x v="0"/>
  </r>
  <r>
    <n v="202344945"/>
    <s v="Rudi Kurniawan"/>
    <x v="1"/>
    <s v="Contract 3"/>
    <s v="60 Month"/>
    <s v="Automotive Engineering"/>
    <x v="7"/>
    <s v="Production Operator"/>
    <x v="12"/>
    <d v="2023-01-19T00:00:00"/>
    <d v="2028-01-19T00:00:00"/>
    <s v="546 Days"/>
    <x v="0"/>
  </r>
  <r>
    <n v="201843419"/>
    <s v="Dwi Pratama"/>
    <x v="1"/>
    <s v="Contract 1"/>
    <s v="12 Month"/>
    <s v="Metal Engineering"/>
    <x v="7"/>
    <s v="Procution Intern"/>
    <x v="8"/>
    <d v="2025-11-15T00:00:00"/>
    <d v="2026-11-15T00:00:00"/>
    <s v="116 Days"/>
    <x v="0"/>
  </r>
  <r>
    <n v="202144522"/>
    <s v="Budi Maulana"/>
    <x v="1"/>
    <s v="Contract 1"/>
    <s v="12 Month"/>
    <s v="Automotive Engineering"/>
    <x v="7"/>
    <s v="Production Operator"/>
    <x v="12"/>
    <d v="2025-11-22T00:00:00"/>
    <d v="2030-11-22T00:00:00"/>
    <s v="1584 Days"/>
    <x v="0"/>
  </r>
  <r>
    <n v="201943796"/>
    <s v="Sapri Maulana"/>
    <x v="1"/>
    <s v="Contract 1"/>
    <s v="12 Month"/>
    <s v="Metal Engineering"/>
    <x v="7"/>
    <s v="Procution Intern"/>
    <x v="8"/>
    <d v="2025-11-27T00:00:00"/>
    <d v="2026-11-27T00:00:00"/>
    <s v="128 Days"/>
    <x v="0"/>
  </r>
  <r>
    <n v="201843252"/>
    <s v="Rizky Ramadhan"/>
    <x v="1"/>
    <s v="Contract 2"/>
    <s v="24 Month"/>
    <s v="Automotive Engineering"/>
    <x v="7"/>
    <s v="Production Operator"/>
    <x v="12"/>
    <d v="2025-06-01T00:00:00"/>
    <d v="2027-06-01T00:00:00"/>
    <s v="314 Days"/>
    <x v="0"/>
  </r>
  <r>
    <n v="201642471"/>
    <s v="Fajar Saputra"/>
    <x v="1"/>
    <s v="Contract 3"/>
    <s v="60 Month"/>
    <s v="Automotive Engineering"/>
    <x v="7"/>
    <s v="Production Operator"/>
    <x v="12"/>
    <d v="2023-04-11T00:00:00"/>
    <d v="2028-04-11T00:00:00"/>
    <s v="629 Days"/>
    <x v="0"/>
  </r>
  <r>
    <n v="202545968"/>
    <s v="Nanda Nugroho"/>
    <x v="1"/>
    <s v="Contract 1"/>
    <s v="12 Month"/>
    <s v="Metal Engineering"/>
    <x v="7"/>
    <s v="Procution Intern"/>
    <x v="8"/>
    <d v="2025-11-07T00:00:00"/>
    <d v="2026-11-07T00:00:00"/>
    <s v="108 Days"/>
    <x v="0"/>
  </r>
  <r>
    <n v="201742806"/>
    <s v="Rizky Saputra"/>
    <x v="1"/>
    <s v="Contract 3"/>
    <s v="60 Month"/>
    <s v="Automotive Engineering"/>
    <x v="7"/>
    <s v="Production Operator"/>
    <x v="12"/>
    <d v="2023-03-12T00:00:00"/>
    <d v="2028-03-12T00:00:00"/>
    <s v="599 Days"/>
    <x v="0"/>
  </r>
  <r>
    <n v="201843451"/>
    <s v="Budi Kusuma"/>
    <x v="1"/>
    <s v="Contract 2"/>
    <s v="24 Month"/>
    <s v="Automotive Engineering"/>
    <x v="7"/>
    <s v="Production Operator"/>
    <x v="12"/>
    <d v="2023-12-17T00:00:00"/>
    <d v="2028-12-17T00:00:00"/>
    <s v="879 Days"/>
    <x v="0"/>
  </r>
  <r>
    <n v="201943517"/>
    <s v="Yoga Kusuma"/>
    <x v="1"/>
    <s v="Contract 2"/>
    <s v="24 Month"/>
    <s v="Automotive Engineering"/>
    <x v="7"/>
    <s v="Production Operator"/>
    <x v="12"/>
    <d v="2024-02-21T00:00:00"/>
    <d v="2029-02-21T00:00:00"/>
    <s v="945 Days"/>
    <x v="0"/>
  </r>
  <r>
    <n v="201943725"/>
    <s v="Rizky Saputra"/>
    <x v="1"/>
    <s v="Contract 1"/>
    <s v="12 Month"/>
    <s v="Metal Engineering"/>
    <x v="7"/>
    <s v="Procution Intern"/>
    <x v="8"/>
    <d v="2025-09-17T00:00:00"/>
    <d v="2026-09-17T00:00:00"/>
    <s v="57 Days"/>
    <x v="1"/>
  </r>
  <r>
    <n v="202646042"/>
    <s v="Budi Kurniawan"/>
    <x v="1"/>
    <s v="Contract 1"/>
    <s v="12 Month"/>
    <s v="Automotive Engineering"/>
    <x v="7"/>
    <s v="Production Operator"/>
    <x v="12"/>
    <d v="2026-01-20T00:00:00"/>
    <d v="2031-01-20T00:00:00"/>
    <s v="1643 Days"/>
    <x v="0"/>
  </r>
  <r>
    <n v="202044155"/>
    <s v="Rizky Permata"/>
    <x v="1"/>
    <s v="Contract 1"/>
    <s v="12 Month"/>
    <s v="Automotive Engineering"/>
    <x v="7"/>
    <s v="Production Operator"/>
    <x v="12"/>
    <d v="2025-11-20T00:00:00"/>
    <d v="2026-11-20T00:00:00"/>
    <s v="121 Days"/>
    <x v="0"/>
  </r>
  <r>
    <n v="201843296"/>
    <s v="Dedi Maulana"/>
    <x v="1"/>
    <s v="Contract 3"/>
    <s v="60 Month"/>
    <s v="Automotive Engineering"/>
    <x v="7"/>
    <s v="Production Operator"/>
    <x v="12"/>
    <d v="2023-07-15T00:00:00"/>
    <d v="2028-07-15T00:00:00"/>
    <s v="724 Days"/>
    <x v="0"/>
  </r>
  <r>
    <n v="201742836"/>
    <s v="Putra Lesmana"/>
    <x v="1"/>
    <s v="Contract 1"/>
    <s v="12 Month"/>
    <s v="Automotive Engineering"/>
    <x v="7"/>
    <s v="Procution Intern"/>
    <x v="8"/>
    <d v="2026-04-11T00:00:00"/>
    <d v="2027-04-11T00:00:00"/>
    <s v="263 Days"/>
    <x v="0"/>
  </r>
  <r>
    <n v="201943818"/>
    <s v="Rudi Hidayat"/>
    <x v="1"/>
    <s v="Contract 2"/>
    <s v="24 Month"/>
    <s v="Automotive Engineering"/>
    <x v="7"/>
    <s v="Production Operator"/>
    <x v="12"/>
    <d v="2024-12-19T00:00:00"/>
    <d v="2026-12-19T00:00:00"/>
    <s v="150 Days"/>
    <x v="0"/>
  </r>
  <r>
    <n v="201743033"/>
    <s v="Yoga Pratama"/>
    <x v="1"/>
    <s v="Contract 2"/>
    <s v="24 Month"/>
    <s v="Automotive Engineering"/>
    <x v="7"/>
    <s v="Production Operator"/>
    <x v="12"/>
    <d v="2023-10-25T00:00:00"/>
    <d v="2026-10-25T00:00:00"/>
    <s v="95 Days"/>
    <x v="0"/>
  </r>
  <r>
    <n v="202445407"/>
    <s v="Rahmat Pangestu"/>
    <x v="1"/>
    <s v="Contract 2"/>
    <s v="24 Month"/>
    <s v="Automotive Engineering"/>
    <x v="7"/>
    <s v="Production Operator"/>
    <x v="12"/>
    <d v="2024-04-25T00:00:00"/>
    <d v="2029-04-25T00:00:00"/>
    <s v="1008 Days"/>
    <x v="0"/>
  </r>
  <r>
    <n v="202044056"/>
    <s v="Asep Hidayat"/>
    <x v="1"/>
    <s v="Contract 1"/>
    <s v="12 Month"/>
    <s v="Automotive Engineering"/>
    <x v="7"/>
    <s v="Procution Intern"/>
    <x v="8"/>
    <d v="2025-08-13T00:00:00"/>
    <d v="2026-08-13T00:00:00"/>
    <s v="22 Days"/>
    <x v="2"/>
  </r>
  <r>
    <n v="202345272"/>
    <s v="Farhan Hidayat"/>
    <x v="1"/>
    <s v="Contract 2"/>
    <s v="24 Month"/>
    <s v="Automotive Engineering"/>
    <x v="7"/>
    <s v="Production Operator"/>
    <x v="12"/>
    <d v="2023-12-12T00:00:00"/>
    <d v="2026-12-12T00:00:00"/>
    <s v="143 Days"/>
    <x v="0"/>
  </r>
  <r>
    <n v="202445398"/>
    <s v="Andi Ramadhan"/>
    <x v="1"/>
    <s v="Contract 2"/>
    <s v="24 Month"/>
    <s v="Automotive Engineering"/>
    <x v="7"/>
    <s v="Production Operator"/>
    <x v="12"/>
    <d v="2024-04-16T00:00:00"/>
    <d v="2027-04-16T00:00:00"/>
    <s v="268 Days"/>
    <x v="0"/>
  </r>
  <r>
    <n v="202545706"/>
    <s v="Andi Maulana"/>
    <x v="1"/>
    <s v="Contract 2"/>
    <s v="24 Month"/>
    <s v="Automotive Engineering"/>
    <x v="7"/>
    <s v="Production Operator"/>
    <x v="12"/>
    <d v="2025-02-18T00:00:00"/>
    <d v="2030-02-18T00:00:00"/>
    <s v="1307 Days"/>
    <x v="0"/>
  </r>
  <r>
    <n v="202646151"/>
    <s v="Egi Pratama"/>
    <x v="1"/>
    <s v="Contract 1"/>
    <s v="12 Month"/>
    <s v="Automotive Engineering"/>
    <x v="7"/>
    <s v="Procution Intern"/>
    <x v="8"/>
    <d v="2026-05-09T00:00:00"/>
    <d v="2027-05-09T00:00:00"/>
    <s v="291 Days"/>
    <x v="0"/>
  </r>
  <r>
    <n v="202445560"/>
    <s v="Yusuf Saputra"/>
    <x v="1"/>
    <s v="Contract 2"/>
    <s v="24 Month"/>
    <s v="Automotive Engineering"/>
    <x v="7"/>
    <s v="Production Operator"/>
    <x v="12"/>
    <d v="2024-09-25T00:00:00"/>
    <d v="2026-09-25T00:00:00"/>
    <s v="65 Days"/>
    <x v="0"/>
  </r>
  <r>
    <n v="202044023"/>
    <s v="Siti Maulana"/>
    <x v="0"/>
    <s v="Contract 1"/>
    <s v="12 Month"/>
    <s v="Automotive Engineering"/>
    <x v="7"/>
    <s v="Procution Intern"/>
    <x v="8"/>
    <d v="2026-07-11T00:00:00"/>
    <d v="2027-07-11T00:00:00"/>
    <s v="354 Days"/>
    <x v="0"/>
  </r>
  <r>
    <n v="202646255"/>
    <s v="Yusuf Maulana"/>
    <x v="1"/>
    <s v="Contract 1"/>
    <s v="12 Month"/>
    <s v="Automotive Engineering"/>
    <x v="7"/>
    <s v="Production Operator"/>
    <x v="12"/>
    <d v="2025-08-21T00:00:00"/>
    <d v="2027-08-21T00:00:00"/>
    <s v="395 Days"/>
    <x v="0"/>
  </r>
  <r>
    <n v="202545888"/>
    <s v="Farhan Utami"/>
    <x v="1"/>
    <s v="Contract 1"/>
    <s v="12 Month"/>
    <s v="Automotive Engineering"/>
    <x v="7"/>
    <s v="Production Operator"/>
    <x v="12"/>
    <d v="2025-08-19T00:00:00"/>
    <d v="2026-08-19T00:00:00"/>
    <s v="28 Days"/>
    <x v="2"/>
  </r>
  <r>
    <n v="202144404"/>
    <s v="Andi Maulana"/>
    <x v="1"/>
    <s v="Contract 1"/>
    <s v="12 Month"/>
    <s v="Automotive Engineering"/>
    <x v="7"/>
    <s v="Production Operator"/>
    <x v="12"/>
    <d v="2025-07-27T00:00:00"/>
    <d v="2026-07-27T00:00:00"/>
    <s v="5 Days"/>
    <x v="2"/>
  </r>
  <r>
    <n v="202244566"/>
    <s v="Budi Saputra"/>
    <x v="1"/>
    <s v="Contract 1"/>
    <s v="12 Month"/>
    <s v="Automotive Engineering"/>
    <x v="7"/>
    <s v="Production Operator"/>
    <x v="12"/>
    <d v="2026-01-05T00:00:00"/>
    <d v="2028-01-05T00:00:00"/>
    <s v="532 Days"/>
    <x v="0"/>
  </r>
  <r>
    <n v="202545951"/>
    <s v="Zidan Santoso"/>
    <x v="1"/>
    <s v="Contract 1"/>
    <s v="12 Month"/>
    <s v="Automotive Engineering"/>
    <x v="7"/>
    <s v="Procution Intern"/>
    <x v="8"/>
    <d v="2025-10-21T00:00:00"/>
    <d v="2026-10-21T00:00:00"/>
    <s v="91 Days"/>
    <x v="0"/>
  </r>
  <r>
    <n v="202044048"/>
    <s v="Budi Lestari"/>
    <x v="1"/>
    <s v="Contract 1"/>
    <s v="12 Month"/>
    <s v="Automotive Engineering"/>
    <x v="7"/>
    <s v="Production Operator"/>
    <x v="12"/>
    <d v="2025-08-05T00:00:00"/>
    <d v="2026-08-05T00:00:00"/>
    <s v="14 Days"/>
    <x v="2"/>
  </r>
  <r>
    <n v="202345147"/>
    <s v="Rizky Saputra"/>
    <x v="1"/>
    <s v="Contract 2"/>
    <s v="24 Month"/>
    <s v="Automotive Engineering"/>
    <x v="7"/>
    <s v="Production Operator"/>
    <x v="12"/>
    <d v="2023-08-09T00:00:00"/>
    <d v="2026-08-09T00:00:00"/>
    <s v="18 Days"/>
    <x v="2"/>
  </r>
  <r>
    <n v="202043917"/>
    <s v="Nadia Wijaya"/>
    <x v="0"/>
    <s v="Permanent"/>
    <s v="Permanent"/>
    <s v="Accounting"/>
    <x v="1"/>
    <s v="Audit Committee Staff"/>
    <x v="1"/>
    <d v="2018-03-27T00:00:00"/>
    <s v=""/>
    <s v=""/>
    <x v="0"/>
  </r>
  <r>
    <n v="202244568"/>
    <s v="Rizky Maulana"/>
    <x v="1"/>
    <s v="Contract 1"/>
    <s v="12 Month"/>
    <s v="Automotive Engineering"/>
    <x v="7"/>
    <s v="Production Operator"/>
    <x v="12"/>
    <d v="2026-01-07T00:00:00"/>
    <d v="2027-01-07T00:00:00"/>
    <s v="169 Days"/>
    <x v="0"/>
  </r>
  <r>
    <n v="202044149"/>
    <s v="Bayu Permata"/>
    <x v="1"/>
    <s v="Contract 1"/>
    <s v="12 Month"/>
    <s v="Automotive Engineering"/>
    <x v="7"/>
    <s v="Production Operator"/>
    <x v="12"/>
    <d v="2025-11-14T00:00:00"/>
    <d v="2027-11-14T00:00:00"/>
    <s v="480 Days"/>
    <x v="0"/>
  </r>
  <r>
    <n v="202445405"/>
    <s v="Bayu Utami"/>
    <x v="1"/>
    <s v="Contract 2"/>
    <s v="24 Month"/>
    <s v="Automotive Engineering"/>
    <x v="7"/>
    <s v="Production Operator"/>
    <x v="12"/>
    <d v="2024-04-23T00:00:00"/>
    <d v="2029-04-23T00:00:00"/>
    <s v="1006 Days"/>
    <x v="0"/>
  </r>
  <r>
    <n v="202646023"/>
    <s v="Rijal Pangestu"/>
    <x v="1"/>
    <s v="Contract 1"/>
    <s v="12 Month"/>
    <s v="Automotive Engineering"/>
    <x v="7"/>
    <s v="Procution Intern"/>
    <x v="8"/>
    <d v="2026-01-01T00:00:00"/>
    <d v="2027-01-01T00:00:00"/>
    <s v="163 Days"/>
    <x v="0"/>
  </r>
  <r>
    <n v="202545771"/>
    <s v="Dedi Hidayat"/>
    <x v="1"/>
    <s v="Contract 2"/>
    <s v="24 Month"/>
    <s v="Automotive Engineering"/>
    <x v="7"/>
    <s v="Production Operator"/>
    <x v="12"/>
    <d v="2025-04-24T00:00:00"/>
    <d v="2030-04-24T00:00:00"/>
    <s v="1372 Days"/>
    <x v="0"/>
  </r>
  <r>
    <n v="201642388"/>
    <s v="Andi Kusuma"/>
    <x v="1"/>
    <s v="Contract 3"/>
    <s v="60 Month"/>
    <s v="Automotive Engineering"/>
    <x v="7"/>
    <s v="Production Operator"/>
    <x v="12"/>
    <d v="2023-01-19T00:00:00"/>
    <d v="2028-01-19T00:00:00"/>
    <s v="546 Days"/>
    <x v="0"/>
  </r>
  <r>
    <n v="202345134"/>
    <s v="Rudi Utami"/>
    <x v="1"/>
    <s v="Contract 1"/>
    <s v="12 Month"/>
    <s v="Automotive Engineering"/>
    <x v="7"/>
    <s v="Production Operator"/>
    <x v="12"/>
    <d v="2025-07-27T00:00:00"/>
    <d v="2027-07-27T00:00:00"/>
    <s v="370 Days"/>
    <x v="0"/>
  </r>
  <r>
    <n v="202545998"/>
    <s v="Farhan Saputra"/>
    <x v="1"/>
    <s v="Contract 1"/>
    <s v="12 Month"/>
    <s v="Automotive Engineering"/>
    <x v="7"/>
    <s v="Production Operator"/>
    <x v="12"/>
    <d v="2025-12-07T00:00:00"/>
    <d v="2027-12-07T00:00:00"/>
    <s v="503 Days"/>
    <x v="0"/>
  </r>
  <r>
    <n v="202545921"/>
    <s v="Rahmat Santoso"/>
    <x v="1"/>
    <s v="Contract 1"/>
    <s v="12 Month"/>
    <s v="Automotive Engineering"/>
    <x v="7"/>
    <s v="Production Operator"/>
    <x v="12"/>
    <d v="2025-09-21T00:00:00"/>
    <d v="2030-09-21T00:00:00"/>
    <s v="1522 Days"/>
    <x v="0"/>
  </r>
  <r>
    <n v="201943809"/>
    <s v="Aulia Nugroho"/>
    <x v="1"/>
    <s v="Permanent"/>
    <s v="Permanent"/>
    <s v="Accounting"/>
    <x v="5"/>
    <s v="Purchasing Manager"/>
    <x v="4"/>
    <d v="2019-12-10T00:00:00"/>
    <s v=""/>
    <s v=""/>
    <x v="0"/>
  </r>
  <r>
    <n v="201943701"/>
    <s v="Nadia Ramadhan"/>
    <x v="0"/>
    <s v="Permanent"/>
    <s v="Permanent"/>
    <s v="Accounting"/>
    <x v="5"/>
    <s v="Purchasing Supervisor"/>
    <x v="3"/>
    <d v="2019-08-24T00:00:00"/>
    <s v=""/>
    <s v=""/>
    <x v="0"/>
  </r>
  <r>
    <n v="201742819"/>
    <s v="Nadia Saputra"/>
    <x v="0"/>
    <s v="Permanent"/>
    <s v="Permanent"/>
    <s v="Accounting"/>
    <x v="5"/>
    <s v="Purchasing Officer"/>
    <x v="0"/>
    <d v="2017-03-25T00:00:00"/>
    <s v=""/>
    <s v=""/>
    <x v="0"/>
  </r>
  <r>
    <n v="202345132"/>
    <s v="Indah Pratama"/>
    <x v="1"/>
    <s v="Contract 3"/>
    <s v="60 Month"/>
    <s v="Economics"/>
    <x v="5"/>
    <s v="Purchasing Officer"/>
    <x v="0"/>
    <d v="2022-07-25T00:00:00"/>
    <d v="2027-07-25T00:00:00"/>
    <s v="368 Days"/>
    <x v="0"/>
  </r>
  <r>
    <n v="201943629"/>
    <s v="Nadia Sari"/>
    <x v="0"/>
    <s v="Probation"/>
    <s v="63 Month"/>
    <s v="Economics"/>
    <x v="5"/>
    <s v="Purchasing Officer"/>
    <x v="0"/>
    <d v="2021-06-13T00:00:00"/>
    <s v=""/>
    <s v=""/>
    <x v="0"/>
  </r>
  <r>
    <n v="202044076"/>
    <s v="Indah Lestari"/>
    <x v="1"/>
    <s v="Contract 2"/>
    <s v="24 Month"/>
    <s v="Statistics"/>
    <x v="5"/>
    <s v="Purchasing Officer"/>
    <x v="0"/>
    <d v="2024-09-02T00:00:00"/>
    <d v="2027-09-02T00:00:00"/>
    <s v="407 Days"/>
    <x v="0"/>
  </r>
  <r>
    <n v="202144298"/>
    <s v="Rina Utami"/>
    <x v="1"/>
    <s v="Contract 3"/>
    <s v="60 Month"/>
    <s v="Economics"/>
    <x v="5"/>
    <s v="Purchasing Staff"/>
    <x v="1"/>
    <d v="2023-04-12T00:00:00"/>
    <d v="2028-04-12T00:00:00"/>
    <s v="630 Days"/>
    <x v="0"/>
  </r>
  <r>
    <n v="202244696"/>
    <s v="Putri Sari"/>
    <x v="0"/>
    <s v="Contract 3"/>
    <s v="60 Month"/>
    <s v="Business Administration"/>
    <x v="5"/>
    <s v="Purchasing Staff"/>
    <x v="1"/>
    <d v="2023-05-15T00:00:00"/>
    <d v="2028-05-15T00:00:00"/>
    <s v="663 Days"/>
    <x v="0"/>
  </r>
  <r>
    <n v="201943604"/>
    <s v="Indah Maulana"/>
    <x v="0"/>
    <s v="Contract 2"/>
    <s v="24 Month"/>
    <s v="Marketing"/>
    <x v="5"/>
    <s v="Purchasing Administrator"/>
    <x v="2"/>
    <d v="2024-05-19T00:00:00"/>
    <d v="2029-05-19T00:00:00"/>
    <s v="1032 Days"/>
    <x v="0"/>
  </r>
  <r>
    <n v="201943773"/>
    <s v="Putri Pratama"/>
    <x v="0"/>
    <s v="Contract 2"/>
    <s v="24 Month"/>
    <s v="Marketing"/>
    <x v="5"/>
    <s v="Purchasing Administrator"/>
    <x v="2"/>
    <d v="2024-11-04T00:00:00"/>
    <d v="2027-11-04T00:00:00"/>
    <s v="470 Days"/>
    <x v="0"/>
  </r>
  <r>
    <n v="202144512"/>
    <s v="Lina Utami"/>
    <x v="0"/>
    <s v="Contract 1"/>
    <s v="12 Month"/>
    <s v="Marketing"/>
    <x v="5"/>
    <s v="Data Entry Intern"/>
    <x v="8"/>
    <d v="2025-11-12T00:00:00"/>
    <d v="2026-11-12T00:00:00"/>
    <s v="113 Days"/>
    <x v="0"/>
  </r>
  <r>
    <n v="202144287"/>
    <s v="Dedi Pangestu"/>
    <x v="1"/>
    <s v="Permanent"/>
    <s v="Permanent"/>
    <s v="Management"/>
    <x v="7"/>
    <s v="QA Manager"/>
    <x v="4"/>
    <d v="2018-04-01T00:00:00"/>
    <s v=""/>
    <s v=""/>
    <x v="0"/>
  </r>
  <r>
    <n v="202144360"/>
    <s v="Budi Sari"/>
    <x v="1"/>
    <s v="Permanent"/>
    <s v="Permanent"/>
    <s v="Management"/>
    <x v="7"/>
    <s v="QE Manager"/>
    <x v="4"/>
    <d v="2015-06-13T00:00:00"/>
    <s v=""/>
    <s v=""/>
    <x v="0"/>
  </r>
  <r>
    <n v="202345071"/>
    <s v="Yusuf Sari"/>
    <x v="1"/>
    <s v="Permanent"/>
    <s v="Permanent"/>
    <s v="Mechanical Engineering"/>
    <x v="7"/>
    <s v="Quality Engineering Supervisor"/>
    <x v="3"/>
    <d v="2016-05-25T00:00:00"/>
    <s v=""/>
    <s v=""/>
    <x v="0"/>
  </r>
  <r>
    <n v="202345114"/>
    <s v="Rahmat Wijaya"/>
    <x v="1"/>
    <s v="Permanent"/>
    <s v="Permanent"/>
    <s v="Mechanical Engineering"/>
    <x v="7"/>
    <s v="Quality Engineering Supervisor"/>
    <x v="3"/>
    <d v="2019-07-07T00:00:00"/>
    <s v=""/>
    <s v=""/>
    <x v="0"/>
  </r>
  <r>
    <n v="202244562"/>
    <s v="Indah Permata"/>
    <x v="0"/>
    <s v="Permanent"/>
    <s v="Permanent"/>
    <s v="Economics"/>
    <x v="4"/>
    <s v="Sales Manager"/>
    <x v="4"/>
    <d v="2017-01-01T00:00:00"/>
    <s v=""/>
    <s v=""/>
    <x v="0"/>
  </r>
  <r>
    <n v="202043906"/>
    <s v="Yulia Lestari"/>
    <x v="0"/>
    <s v="Permanent"/>
    <s v="Permanent"/>
    <s v="Economics"/>
    <x v="4"/>
    <s v="Sales Supervisor"/>
    <x v="3"/>
    <d v="2019-03-16T00:00:00"/>
    <s v=""/>
    <s v=""/>
    <x v="0"/>
  </r>
  <r>
    <n v="201642410"/>
    <s v="Puta Pra Ramadhan"/>
    <x v="1"/>
    <s v="Contract 3"/>
    <s v="60 Month"/>
    <s v="Economics"/>
    <x v="4"/>
    <s v="Sales Executive"/>
    <x v="0"/>
    <d v="2022-02-10T00:00:00"/>
    <d v="2027-02-10T00:00:00"/>
    <s v="203 Days"/>
    <x v="0"/>
  </r>
  <r>
    <n v="201943644"/>
    <s v="Bayu Maulana"/>
    <x v="1"/>
    <s v="Contract 2"/>
    <s v="24 Month"/>
    <s v="Automotive Engineering"/>
    <x v="7"/>
    <s v="QA Manager"/>
    <x v="4"/>
    <d v="2024-06-28T00:00:00"/>
    <d v="2027-06-28T00:00:00"/>
    <s v="341 Days"/>
    <x v="0"/>
  </r>
  <r>
    <n v="202043864"/>
    <s v="Ary Setyo Prasetya"/>
    <x v="1"/>
    <s v="Contract 3"/>
    <s v="60 Month"/>
    <s v="Economics"/>
    <x v="4"/>
    <s v="Sales Executive"/>
    <x v="0"/>
    <d v="2023-02-03T00:00:00"/>
    <d v="2028-02-03T00:00:00"/>
    <s v="561 Days"/>
    <x v="0"/>
  </r>
  <r>
    <n v="202044136"/>
    <s v="Dadan Hidayat"/>
    <x v="1"/>
    <s v="Contract 2"/>
    <s v="24 Month"/>
    <s v="Economics"/>
    <x v="4"/>
    <s v="Sales Executive"/>
    <x v="0"/>
    <d v="2024-11-01T00:00:00"/>
    <d v="2026-11-01T00:00:00"/>
    <s v="102 Days"/>
    <x v="0"/>
  </r>
  <r>
    <n v="202345127"/>
    <s v="Dewi Kusuma"/>
    <x v="0"/>
    <s v="Contract 2"/>
    <s v="24 Month"/>
    <s v="Social Sciences (IPS)"/>
    <x v="4"/>
    <s v="Sales Administration"/>
    <x v="2"/>
    <d v="2025-07-20T00:00:00"/>
    <d v="2027-07-20T00:00:00"/>
    <s v="363 Days"/>
    <x v="0"/>
  </r>
  <r>
    <n v="201742972"/>
    <s v="Farah Lestari"/>
    <x v="0"/>
    <s v="Contract 1"/>
    <s v="12 Month"/>
    <s v="Marketing"/>
    <x v="4"/>
    <s v="Sales Administration"/>
    <x v="2"/>
    <d v="2026-06-15T00:00:00"/>
    <d v="2031-06-15T00:00:00"/>
    <s v="1789 Days"/>
    <x v="0"/>
  </r>
  <r>
    <n v="202144523"/>
    <s v="Rina Santoso"/>
    <x v="0"/>
    <s v="Contract 1"/>
    <s v="12 Month"/>
    <s v="Marketing"/>
    <x v="4"/>
    <s v="Data Entry Intern"/>
    <x v="8"/>
    <d v="2025-11-23T00:00:00"/>
    <d v="2026-11-23T00:00:00"/>
    <s v="124 Days"/>
    <x v="0"/>
  </r>
  <r>
    <n v="202144251"/>
    <s v="Ayu Lestari"/>
    <x v="0"/>
    <s v="Contract 3"/>
    <s v="60 Month"/>
    <s v="Economics"/>
    <x v="0"/>
    <s v="Tax Officer"/>
    <x v="0"/>
    <d v="2022-02-24T00:00:00"/>
    <s v=""/>
    <s v=""/>
    <x v="0"/>
  </r>
  <r>
    <n v="202344949"/>
    <s v="Rina Saputra"/>
    <x v="0"/>
    <s v="Contract 3"/>
    <s v="60 Month"/>
    <s v="Accounting"/>
    <x v="0"/>
    <s v="Tax Staff"/>
    <x v="1"/>
    <d v="2023-01-23T00:00:00"/>
    <d v="2028-01-23T00:00:00"/>
    <s v="550 Days"/>
    <x v="0"/>
  </r>
  <r>
    <n v="202044178"/>
    <s v="Rina Utami"/>
    <x v="0"/>
    <s v="Permanent"/>
    <s v="Permanent"/>
    <s v="Accounting"/>
    <x v="0"/>
    <s v="Tax Supervisor"/>
    <x v="3"/>
    <d v="2017-12-13T00:00:00"/>
    <s v=""/>
    <s v=""/>
    <x v="0"/>
  </r>
  <r>
    <n v="201843377"/>
    <s v="Rudi Lestari"/>
    <x v="1"/>
    <s v="Contract 2"/>
    <s v="24 Month"/>
    <s v="Automotive Engineering"/>
    <x v="7"/>
    <s v="Quality Control In-Coming"/>
    <x v="12"/>
    <d v="2023-10-04T00:00:00"/>
    <d v="2026-10-04T00:00:00"/>
    <s v="74 Days"/>
    <x v="0"/>
  </r>
  <r>
    <n v="202545977"/>
    <s v="Yoga Permata"/>
    <x v="1"/>
    <s v="Contract 1"/>
    <s v="12 Month"/>
    <s v="Automotive Engineering"/>
    <x v="7"/>
    <s v="Production Operator"/>
    <x v="12"/>
    <d v="2025-11-16T00:00:00"/>
    <d v="2030-11-16T00:00:00"/>
    <s v="1578 Days"/>
    <x v="0"/>
  </r>
  <r>
    <n v="202043916"/>
    <s v="Dedi Kusuma"/>
    <x v="1"/>
    <s v="Permanent"/>
    <s v="Permanent"/>
    <s v="Mechanical Engineering"/>
    <x v="5"/>
    <s v="Warehouse Manager"/>
    <x v="4"/>
    <d v="2016-03-26T00:00:00"/>
    <s v=""/>
    <s v=""/>
    <x v="0"/>
  </r>
  <r>
    <n v="201843195"/>
    <s v="Dewi Wijaya"/>
    <x v="0"/>
    <s v="Contract 2"/>
    <s v="24 Month"/>
    <s v="Economics"/>
    <x v="0"/>
    <s v="Tax Administration Staff"/>
    <x v="2"/>
    <d v="2025-04-05T00:00:00"/>
    <d v="2030-04-05T00:00:00"/>
    <s v="1353 Days"/>
    <x v="0"/>
  </r>
  <r>
    <n v="201743005"/>
    <s v="Yusuf Ramadhan"/>
    <x v="1"/>
    <s v="Contract 1"/>
    <s v="12 Month"/>
    <s v="Software Engineering (RPL)"/>
    <x v="5"/>
    <s v="Warehouse Staff"/>
    <x v="1"/>
    <d v="2025-09-27T00:00:00"/>
    <d v="2026-09-27T00:00:00"/>
    <s v="67 Days"/>
    <x v="0"/>
  </r>
  <r>
    <n v="202244615"/>
    <s v="Dewi Maulana"/>
    <x v="0"/>
    <s v="Contract 2"/>
    <s v="24 Month"/>
    <s v="Information Systems"/>
    <x v="0"/>
    <s v="Tax Officer"/>
    <x v="0"/>
    <d v="2024-02-23T00:00:00"/>
    <d v="2027-02-23T00:00:00"/>
    <s v="216 Days"/>
    <x v="0"/>
  </r>
  <r>
    <n v="201742816"/>
    <s v="Budi Utami"/>
    <x v="1"/>
    <s v="Contract 2"/>
    <s v="24 Month"/>
    <s v="Automotive Engineering"/>
    <x v="5"/>
    <s v="Forklift Operator"/>
    <x v="12"/>
    <d v="2024-03-22T00:00:00"/>
    <d v="2029-03-22T00:00:00"/>
    <s v="974 Days"/>
    <x v="0"/>
  </r>
  <r>
    <n v="201943679"/>
    <s v="Rudi Utami"/>
    <x v="1"/>
    <s v="Contract 1"/>
    <s v="12 Month"/>
    <s v="Automotive Engineering"/>
    <x v="5"/>
    <s v="Forklift Operator"/>
    <x v="12"/>
    <d v="2025-08-02T00:00:00"/>
    <d v="2026-08-02T00:00:00"/>
    <s v="11 Days"/>
    <x v="2"/>
  </r>
  <r>
    <n v="202545846"/>
    <s v="Nadia Utami"/>
    <x v="0"/>
    <s v="Permanent"/>
    <s v="Permanent"/>
    <s v="Economics"/>
    <x v="5"/>
    <s v="Warehouse Supervisor"/>
    <x v="3"/>
    <d v="2018-07-08T00:00:00"/>
    <s v=""/>
    <s v=""/>
    <x v="0"/>
  </r>
  <r>
    <n v="201542261"/>
    <s v="Putri Wijaya"/>
    <x v="0"/>
    <s v="Contract 1"/>
    <s v="12 Month"/>
    <s v="Tourism"/>
    <x v="5"/>
    <s v="Warehouse Administrator Staff"/>
    <x v="2"/>
    <d v="2025-09-14T00:00:00"/>
    <d v="2026-09-14T00:00:00"/>
    <s v="54 Days"/>
    <x v="1"/>
  </r>
  <r>
    <n v="201843326"/>
    <s v="Siti Kusuma"/>
    <x v="0"/>
    <s v="Contract 1"/>
    <s v="12 Month"/>
    <s v="Social Sciences (IPS)"/>
    <x v="5"/>
    <s v="Warehouse Administrator Staff"/>
    <x v="2"/>
    <d v="2025-08-14T00:00:00"/>
    <d v="2027-08-14T00:00:00"/>
    <s v="388 Days"/>
    <x v="0"/>
  </r>
  <r>
    <n v="201642513"/>
    <s v="Bayu Pratama"/>
    <x v="1"/>
    <s v="Contract 1"/>
    <s v="12 Month"/>
    <s v="Automotive Engineering"/>
    <x v="5"/>
    <s v="Forklift Operator"/>
    <x v="12"/>
    <d v="2026-05-23T00:00:00"/>
    <d v="2028-05-23T00:00:00"/>
    <s v="671 Days"/>
    <x v="0"/>
  </r>
  <r>
    <n v="201743044"/>
    <s v="Farhan Sari"/>
    <x v="1"/>
    <s v="Contract 1"/>
    <s v="12 Month"/>
    <s v="Automotive Engineering"/>
    <x v="5"/>
    <s v="Forklift Operator"/>
    <x v="12"/>
    <d v="2025-11-05T00:00:00"/>
    <d v="2027-11-05T00:00:00"/>
    <s v="471 Days"/>
    <x v="0"/>
  </r>
  <r>
    <n v="201642683"/>
    <s v="Fajar Kurniawan"/>
    <x v="1"/>
    <s v="Contract 1"/>
    <s v="12 Month"/>
    <s v="Automotive Engineering"/>
    <x v="5"/>
    <s v="Forklift Operator"/>
    <x v="12"/>
    <d v="2025-11-09T00:00:00"/>
    <d v="2026-11-09T00:00:00"/>
    <s v="110 Days"/>
    <x v="0"/>
  </r>
  <r>
    <n v="201642715"/>
    <s v="Indah Kurniawan"/>
    <x v="0"/>
    <s v="Contract 1"/>
    <s v="12 Month"/>
    <s v="Social Sciences (IPS)"/>
    <x v="5"/>
    <s v="Warehouse Administrator Staff"/>
    <x v="2"/>
    <d v="2025-12-11T00:00:00"/>
    <d v="2027-12-11T00:00:00"/>
    <s v="507 Days"/>
    <x v="0"/>
  </r>
  <r>
    <n v="202044015"/>
    <s v="Rudi Kurniawan"/>
    <x v="1"/>
    <s v="Contract 2"/>
    <s v="24 Month"/>
    <s v="Automotive Engineering"/>
    <x v="7"/>
    <s v="Production Operator"/>
    <x v="12"/>
    <d v="2025-07-03T00:00:00"/>
    <d v="2030-07-03T00:00:00"/>
    <s v="1442 Days"/>
    <x v="0"/>
  </r>
  <r>
    <n v="202445397"/>
    <s v="Lina Santoso"/>
    <x v="0"/>
    <s v="Contract 2"/>
    <s v="24 Month"/>
    <s v="Statistics"/>
    <x v="0"/>
    <s v="Tax Officer"/>
    <x v="0"/>
    <d v="2024-04-15T00:00:00"/>
    <d v="2027-04-15T00:00:00"/>
    <s v="267 Days"/>
    <x v="0"/>
  </r>
  <r>
    <n v="201642468"/>
    <s v="Andi Saputra"/>
    <x v="1"/>
    <s v="Contract 1"/>
    <s v="12 Month"/>
    <s v="Metal Engineering"/>
    <x v="5"/>
    <s v="Driver"/>
    <x v="12"/>
    <d v="2026-04-08T00:00:00"/>
    <d v="2031-04-08T00:00:00"/>
    <s v="1721 Days"/>
    <x v="0"/>
  </r>
  <r>
    <n v="202044125"/>
    <s v="Dewi Sari"/>
    <x v="0"/>
    <s v="Contract 1"/>
    <s v="12 Month"/>
    <s v="Statistics"/>
    <x v="0"/>
    <s v="Tax Staff"/>
    <x v="1"/>
    <d v="2025-10-21T00:00:00"/>
    <d v="2028-10-21T00:00:00"/>
    <s v="822 Days"/>
    <x v="0"/>
  </r>
  <r>
    <n v="202144470"/>
    <s v="Rudi Pratama"/>
    <x v="1"/>
    <s v="Contract 3"/>
    <s v="60 Month"/>
    <s v="Electrical Engineering"/>
    <x v="5"/>
    <s v="Driver"/>
    <x v="12"/>
    <d v="2021-10-01T00:00:00"/>
    <d v="2026-12-01T00:00:00"/>
    <s v="132 Days"/>
    <x v="0"/>
  </r>
  <r>
    <n v="201642544"/>
    <s v="Budi Kurniawan"/>
    <x v="1"/>
    <s v="Contract 3"/>
    <s v="60 Month"/>
    <s v="Automotive Engineering"/>
    <x v="7"/>
    <s v="Quality Control Inspector"/>
    <x v="12"/>
    <d v="2023-06-23T00:00:00"/>
    <d v="2028-06-23T00:00:00"/>
    <s v="702 Days"/>
    <x v="0"/>
  </r>
  <r>
    <n v="201642373"/>
    <s v="Firman Pangestu"/>
    <x v="1"/>
    <s v="Contract 3"/>
    <s v="60 Month"/>
    <s v="Social Sciences (IPS)"/>
    <x v="5"/>
    <s v="Warehouse Administrator Staff"/>
    <x v="2"/>
    <d v="2022-01-04T00:00:00"/>
    <d v="2027-01-04T00:00:00"/>
    <s v="166 Days"/>
    <x v="0"/>
  </r>
  <r>
    <n v="202043922"/>
    <s v="Andi Sari"/>
    <x v="1"/>
    <s v="Permanent"/>
    <s v="Permanent"/>
    <s v="Automotive Engineering"/>
    <x v="5"/>
    <s v="Driver"/>
    <x v="12"/>
    <d v="2020-04-01T00:00:00"/>
    <s v=""/>
    <s v=""/>
    <x v="0"/>
  </r>
  <r>
    <n v="201843391"/>
    <s v="Bayu Saputra"/>
    <x v="1"/>
    <s v="Permanent"/>
    <s v="Permanent"/>
    <s v="Automotive Engineering"/>
    <x v="5"/>
    <s v="Driver"/>
    <x v="12"/>
    <d v="2020-10-18T00:00:00"/>
    <s v=""/>
    <s v=""/>
    <x v="0"/>
  </r>
  <r>
    <n v="201843144"/>
    <s v="Aulia Lestari"/>
    <x v="0"/>
    <s v="Contract 2"/>
    <s v="24 Month"/>
    <s v="Automotive Engineering"/>
    <x v="7"/>
    <s v="Production Administrator"/>
    <x v="2"/>
    <d v="2025-02-13T00:00:00"/>
    <d v="2028-02-13T00:00:00"/>
    <s v="571 Days"/>
    <x v="0"/>
  </r>
  <r>
    <n v="202144282"/>
    <s v="Samsul Hidayatullah"/>
    <x v="1"/>
    <s v="Contract 2"/>
    <s v="24 Month"/>
    <s v="Software Engineering (RPL)"/>
    <x v="5"/>
    <s v="Forklift Operator"/>
    <x v="12"/>
    <d v="2024-03-27T00:00:00"/>
    <d v="2027-03-27T00:00:00"/>
    <s v="248 Days"/>
    <x v="0"/>
  </r>
  <r>
    <n v="201642692"/>
    <s v="Iwan Kurniawan"/>
    <x v="1"/>
    <s v="Contract 1"/>
    <s v="12 Month"/>
    <s v="Electrical Engineering"/>
    <x v="5"/>
    <s v="Forklift Operator"/>
    <x v="12"/>
    <d v="2025-11-18T00:00:00"/>
    <d v="2030-11-18T00:00:00"/>
    <s v="1580 Days"/>
    <x v="0"/>
  </r>
  <r>
    <n v="202144512"/>
    <s v="Lina Utami"/>
    <x v="0"/>
    <s v="Contract 1"/>
    <s v="12 Month"/>
    <s v="Marketing"/>
    <x v="5"/>
    <s v="Data Entry Intern"/>
    <x v="8"/>
    <d v="2025-11-12T00:00:00"/>
    <d v="2026-11-12T00:00:00"/>
    <s v="113 Days"/>
    <x v="0"/>
  </r>
  <r>
    <n v="201843242"/>
    <s v="Yusuf Hidayat"/>
    <x v="1"/>
    <s v="Contract 3"/>
    <s v="60 Month"/>
    <s v="Metal Engineering"/>
    <x v="5"/>
    <s v="Forklift Operator"/>
    <x v="12"/>
    <d v="2023-05-22T00:00:00"/>
    <d v="2028-05-22T00:00:00"/>
    <s v="670 Days"/>
    <x v="0"/>
  </r>
  <r>
    <n v="202545910"/>
    <s v="Zidan Malik Ridwan"/>
    <x v="1"/>
    <s v="Contract 1"/>
    <s v="12 Month"/>
    <s v="Automotive Engineering"/>
    <x v="5"/>
    <s v="Forklift Operator"/>
    <x v="12"/>
    <d v="2025-09-10T00:00:00"/>
    <d v="2027-09-10T00:00:00"/>
    <s v="415 Days"/>
    <x v="0"/>
  </r>
  <r>
    <n v="202044080"/>
    <s v="Rudi Nugroho"/>
    <x v="1"/>
    <s v="Permanent"/>
    <s v="Permanent"/>
    <s v="Automotive Engineering"/>
    <x v="5"/>
    <s v="Driver"/>
    <x v="12"/>
    <d v="2020-09-06T00:00:00"/>
    <s v=""/>
    <s v=""/>
    <x v="0"/>
  </r>
  <r>
    <n v="202144367"/>
    <s v="M. Agil"/>
    <x v="1"/>
    <s v="Contract 3"/>
    <s v="60 Month"/>
    <s v="Electrical Engineering"/>
    <x v="5"/>
    <s v="Forklift Operator"/>
    <x v="12"/>
    <d v="2023-06-20T00:00:00"/>
    <d v="2028-06-20T00:00:00"/>
    <s v="699 Days"/>
    <x v="0"/>
  </r>
  <r>
    <n v="201642577"/>
    <s v="Putra Wijaya"/>
    <x v="1"/>
    <s v="Contract 1"/>
    <s v="12 Month"/>
    <s v="Tourism"/>
    <x v="5"/>
    <s v="Forklift Operator"/>
    <x v="12"/>
    <d v="2025-07-26T00:00:00"/>
    <d v="2030-07-26T00:00:00"/>
    <s v="1465 Days"/>
    <x v="0"/>
  </r>
  <r>
    <n v="202144493"/>
    <s v="Dedi Kusuma"/>
    <x v="1"/>
    <s v="Contract 3"/>
    <s v="60 Month"/>
    <s v="Automotive Engineering"/>
    <x v="5"/>
    <s v="Driver"/>
    <x v="12"/>
    <d v="2021-10-24T00:00:00"/>
    <d v="2027-01-24T00:00:00"/>
    <s v="186 Days"/>
    <x v="0"/>
  </r>
  <r>
    <n v="202144365"/>
    <s v="Aulia Pratama"/>
    <x v="0"/>
    <s v="Contract 1"/>
    <s v="12 Month"/>
    <s v="Psychology"/>
    <x v="2"/>
    <s v="Recruitment Staff"/>
    <x v="1"/>
    <d v="2025-08-18T00:00:00"/>
    <d v="2027-08-18T00:00:00"/>
    <s v="392 Days"/>
    <x v="0"/>
  </r>
  <r>
    <n v="202043974"/>
    <s v="Bayu Saputra"/>
    <x v="1"/>
    <s v="Contract 2"/>
    <s v="24 Month"/>
    <s v="Automotive Engineering"/>
    <x v="7"/>
    <s v="Production Operator"/>
    <x v="12"/>
    <d v="2025-05-23T00:00:00"/>
    <d v="2030-05-23T00:00:00"/>
    <s v="1401 Days"/>
    <x v="0"/>
  </r>
  <r>
    <n v="201843432"/>
    <s v="Agus Kusuma"/>
    <x v="1"/>
    <s v="Permanent"/>
    <s v="Permanent"/>
    <s v="Automotive Engineering"/>
    <x v="5"/>
    <s v="Driver"/>
    <x v="12"/>
    <d v="2018-11-28T00:00:00"/>
    <s v=""/>
    <s v=""/>
    <x v="0"/>
  </r>
  <r>
    <n v="201843375"/>
    <s v="Yusuf Ramadhan"/>
    <x v="1"/>
    <s v="Permanent"/>
    <s v="Permanent"/>
    <s v="Automotive Engineering"/>
    <x v="5"/>
    <s v="Driver"/>
    <x v="12"/>
    <d v="2018-10-02T00:00:00"/>
    <s v=""/>
    <s v=""/>
    <x v="0"/>
  </r>
  <r>
    <n v="201542202"/>
    <s v="Indah Kurniawan"/>
    <x v="0"/>
    <s v="Contract 1"/>
    <s v="12 Month"/>
    <s v="Marketing"/>
    <x v="5"/>
    <s v="Data Entry Intern"/>
    <x v="8"/>
    <d v="2026-07-17T00:00:00"/>
    <d v="2027-07-17T00:00:00"/>
    <s v="360 Days"/>
    <x v="0"/>
  </r>
  <r>
    <n v="201943492"/>
    <s v="Ridwan Maulana"/>
    <x v="1"/>
    <s v="Contract 1"/>
    <s v="12 Month"/>
    <s v="Automotive Engineering"/>
    <x v="5"/>
    <s v="Data Entry Intern"/>
    <x v="8"/>
    <d v="2026-01-27T00:00:00"/>
    <d v="2027-01-27T00:00:00"/>
    <s v="189 Days"/>
    <x v="0"/>
  </r>
  <r>
    <n v="202545831"/>
    <s v="Lili Maulana"/>
    <x v="1"/>
    <s v="Contract 1"/>
    <s v="12 Month"/>
    <s v="Automotive Engineering"/>
    <x v="5"/>
    <s v="Data Entry Intern"/>
    <x v="8"/>
    <d v="2026-06-23T00:00:00"/>
    <d v="2027-06-23T00:00:00"/>
    <s v="336 Days"/>
    <x v="0"/>
  </r>
  <r>
    <n v="202545996"/>
    <s v="Dwi Kusnandar"/>
    <x v="1"/>
    <s v="Contract 1"/>
    <s v="12 Month"/>
    <s v="Automotive Engineering"/>
    <x v="5"/>
    <s v="Data Entry Intern"/>
    <x v="8"/>
    <d v="2025-12-05T00:00:00"/>
    <d v="2026-12-05T00:00:00"/>
    <s v="136 Days"/>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n v="201743091"/>
    <s v="Dewi Pratama"/>
    <s v="3673261338071485"/>
    <s v="4271920405157968"/>
    <s v="Padang"/>
    <d v="1996-01-20T00:00:00"/>
    <s v="Female"/>
    <s v="Married"/>
    <n v="0"/>
    <s v="Islam"/>
    <s v="B"/>
    <d v="2017-12-22T00:00:00"/>
    <m/>
    <m/>
    <x v="0"/>
    <x v="0"/>
    <x v="0"/>
    <s v="Bachelor's Degree (S1)"/>
    <s v="Accounting"/>
    <x v="0"/>
    <s v="Accounting"/>
    <x v="0"/>
    <s v="Accounting Officer"/>
    <s v="G10"/>
    <s v="TK/0"/>
    <s v="709598720199151"/>
    <s v="82725055991"/>
    <s v="7530534521305"/>
    <s v="BANK BCA"/>
    <s v="8222713255"/>
    <s v="087436886061"/>
    <s v="dewi.pratama@dumibumi.co.id"/>
    <s v="Depok, Indonesia"/>
  </r>
  <r>
    <n v="201843228"/>
    <s v="Aulia Kurniawan"/>
    <s v="6583433931378082"/>
    <s v="5074515261456100"/>
    <s v="Padang"/>
    <d v="1997-09-14T00:00:00"/>
    <s v="Female"/>
    <s v="Married"/>
    <n v="0"/>
    <s v="Islam"/>
    <s v="A"/>
    <d v="2018-05-08T00:00:00"/>
    <m/>
    <m/>
    <x v="0"/>
    <x v="0"/>
    <x v="0"/>
    <s v="Bachelor's Degree (S1)"/>
    <s v="Accounting"/>
    <x v="0"/>
    <s v="Accounting"/>
    <x v="0"/>
    <s v="Accounting Officer"/>
    <s v="G10"/>
    <s v="TK/0"/>
    <s v="697817412081533"/>
    <s v="02808925599"/>
    <s v="2285754017046"/>
    <s v="BANK BCA"/>
    <s v="2075046802"/>
    <s v="089998014789"/>
    <s v="aulia.kurniawan@dumibumi.co.id"/>
    <s v="Depok, Indonesia"/>
  </r>
  <r>
    <n v="202043936"/>
    <s v="Putri Ramadhan"/>
    <s v="1641203662345718"/>
    <s v="4630131291841621"/>
    <s v="Banjarbaru"/>
    <d v="1990-01-28T00:00:00"/>
    <s v="Female"/>
    <s v="Married"/>
    <n v="0"/>
    <s v="Islam"/>
    <s v="A"/>
    <d v="2023-04-15T00:00:00"/>
    <d v="2028-04-15T00:00:00"/>
    <m/>
    <x v="0"/>
    <x v="0"/>
    <x v="1"/>
    <s v="Bachelor's Degree (S1)"/>
    <s v="Accounting"/>
    <x v="0"/>
    <s v="Accounting"/>
    <x v="1"/>
    <s v="Accounting Staff"/>
    <s v="G11"/>
    <s v="TK/0"/>
    <s v="155058597700709"/>
    <s v="11885951137"/>
    <s v="2735238535208"/>
    <s v="BANK BCA"/>
    <s v="1619300215"/>
    <s v="085093968164"/>
    <s v="putri.ramadhan@dumibumi.co.id"/>
    <s v="Bekasi, Indonesia"/>
  </r>
  <r>
    <n v="201743026"/>
    <s v="Indah Wijaya"/>
    <s v="3103831033928140"/>
    <s v="5183770246714878"/>
    <s v="Padang"/>
    <d v="1997-08-11T00:00:00"/>
    <s v="Female"/>
    <s v="Widowed"/>
    <n v="1"/>
    <s v="Islam"/>
    <s v="B"/>
    <d v="2024-10-18T00:00:00"/>
    <d v="2029-10-18T00:00:00"/>
    <m/>
    <x v="0"/>
    <x v="0"/>
    <x v="1"/>
    <s v="Bachelor's Degree (S1)"/>
    <s v="Economics"/>
    <x v="0"/>
    <s v="Accounting"/>
    <x v="1"/>
    <s v="Accounting Staff"/>
    <s v="G11"/>
    <s v="TK/1"/>
    <s v="222635371015359"/>
    <s v="55677325613"/>
    <s v="5210410376198"/>
    <s v="BANK BCA"/>
    <s v="3973522993"/>
    <s v="088482832207"/>
    <s v="indah.wijaya@dumibumi.co.id"/>
    <s v="Depok, Indonesia"/>
  </r>
  <r>
    <n v="201642668"/>
    <s v="Yulia Kurniawan"/>
    <s v="9357104470892611"/>
    <s v="5396268764900697"/>
    <s v="Pasuruan"/>
    <d v="1994-02-25T00:00:00"/>
    <s v="Female"/>
    <s v="Widowed"/>
    <n v="2"/>
    <s v="Islam"/>
    <s v="AB"/>
    <d v="2021-10-25T00:00:00"/>
    <d v="2027-01-25T00:00:00"/>
    <m/>
    <x v="0"/>
    <x v="0"/>
    <x v="1"/>
    <s v="Bachelor's Degree (S1)"/>
    <s v="Business Administration"/>
    <x v="0"/>
    <s v="Accounting"/>
    <x v="2"/>
    <s v="Accounting Administration Staff"/>
    <s v="G12"/>
    <s v="TK/2"/>
    <s v="828882004717425"/>
    <s v="55597668759"/>
    <s v="8721093658871"/>
    <s v="BANK BCA"/>
    <s v="5420497304"/>
    <s v="087695039746"/>
    <s v="aulia.kurniawan@dumibumi.co.id"/>
    <s v="Subang, Indonesia"/>
  </r>
  <r>
    <n v="201843210"/>
    <s v="Rudi Saputra"/>
    <s v="2569196375513447"/>
    <s v="5523131890314821"/>
    <s v="Bontang"/>
    <d v="1989-06-20T00:00:00"/>
    <s v="Male"/>
    <s v="Married"/>
    <n v="0"/>
    <s v="Islam"/>
    <s v="AB"/>
    <d v="2018-04-20T00:00:00"/>
    <m/>
    <m/>
    <x v="0"/>
    <x v="0"/>
    <x v="0"/>
    <s v="Master's Degree (S2)"/>
    <s v="Accounting"/>
    <x v="0"/>
    <s v="Accounting"/>
    <x v="3"/>
    <s v="Accounting Supervisor"/>
    <s v="G07"/>
    <s v="K/0"/>
    <s v="428422055744441"/>
    <s v="20032461858"/>
    <s v="6902535603224"/>
    <s v="BANK BCA"/>
    <s v="3288481171"/>
    <s v="080186359431"/>
    <s v="rudi.saputra@dumibumi.co.id"/>
    <s v="Bekasi, Indonesia"/>
  </r>
  <r>
    <n v="202043917"/>
    <s v="Nadia Wijaya"/>
    <s v="0320996696887233"/>
    <s v="8975850746827978"/>
    <s v="Bondowoso"/>
    <d v="1989-04-17T00:00:00"/>
    <s v="Female"/>
    <s v="Married"/>
    <n v="0"/>
    <s v="Islam"/>
    <s v="AB"/>
    <d v="2018-03-27T00:00:00"/>
    <m/>
    <m/>
    <x v="0"/>
    <x v="0"/>
    <x v="0"/>
    <s v="Bachelor's Degree (S1)"/>
    <s v="Accounting"/>
    <x v="1"/>
    <s v="Audit Committee"/>
    <x v="1"/>
    <s v="Audit Committee Staff"/>
    <s v="G11"/>
    <s v="TK/0"/>
    <s v="611782068952825"/>
    <s v="32355111769"/>
    <s v="3580119418707"/>
    <s v="BANK BCA"/>
    <s v="6095340079"/>
    <s v="086097085665"/>
    <s v="nadia.wijaya@dumibumi.co.id"/>
    <s v="Depok, Indonesia"/>
  </r>
  <r>
    <n v="201642597"/>
    <s v="Dedi Wijaya"/>
    <s v="9179297091629184"/>
    <s v="1009783596581448"/>
    <s v="Jakarta"/>
    <d v="1978-02-22T00:00:00"/>
    <s v="Male"/>
    <s v="Married"/>
    <n v="2"/>
    <s v="Catholicism"/>
    <s v="A"/>
    <d v="2016-08-15T00:00:00"/>
    <m/>
    <m/>
    <x v="0"/>
    <x v="0"/>
    <x v="0"/>
    <s v="Doctoral Degree (S3)"/>
    <s v="Accounting"/>
    <x v="1"/>
    <s v="Audit Committee"/>
    <x v="4"/>
    <s v="Audit Committee Manager"/>
    <s v="G06"/>
    <s v="K/2"/>
    <s v="949524386002951"/>
    <s v="38036856604"/>
    <s v="5675077907837"/>
    <s v="BANK BCA"/>
    <s v="3273225386"/>
    <s v="080222778568"/>
    <s v="dedi.wijaya@dumibumi.co.id"/>
    <s v="Tangerang, Indonesia"/>
  </r>
  <r>
    <n v="202043908"/>
    <s v="Andi Ramadhan"/>
    <s v="9160452801959615"/>
    <s v="1981732621458966"/>
    <s v="Blitar"/>
    <d v="1990-09-08T00:00:00"/>
    <s v="Male"/>
    <s v="Married"/>
    <n v="1"/>
    <s v="Islam"/>
    <s v="B"/>
    <d v="2019-03-18T00:00:00"/>
    <m/>
    <m/>
    <x v="0"/>
    <x v="0"/>
    <x v="0"/>
    <s v="Master's Degree (S2)"/>
    <s v="Management"/>
    <x v="1"/>
    <s v="Audit Committee"/>
    <x v="1"/>
    <s v="Audit Committee Staff"/>
    <s v="G11"/>
    <s v="K/1"/>
    <s v="688059400228650"/>
    <s v="81699686056"/>
    <s v="7271450042870"/>
    <s v="BANK BCA"/>
    <s v="7280495357"/>
    <s v="083040551531"/>
    <s v="andi.ramadhan@dumibumi.co.id"/>
    <s v="Bandung, Indonesia"/>
  </r>
  <r>
    <n v="202043954"/>
    <s v="Nadia Lestari"/>
    <s v="7134371159410775"/>
    <s v="7257837349082723"/>
    <s v="Bandung"/>
    <d v="1976-12-24T00:00:00"/>
    <s v="Female"/>
    <s v="Married"/>
    <n v="0"/>
    <s v="Islam"/>
    <s v="AB"/>
    <d v="2004-05-03T00:00:00"/>
    <m/>
    <m/>
    <x v="0"/>
    <x v="0"/>
    <x v="0"/>
    <s v="Master's Degree (S2)"/>
    <s v="Psychology"/>
    <x v="1"/>
    <s v="Board of Commissioners"/>
    <x v="5"/>
    <s v="Chairman Commissioner"/>
    <s v="G02"/>
    <s v="TK/0"/>
    <s v="695365629362010"/>
    <s v="45394320070"/>
    <s v="0749322108059"/>
    <s v="BANK BCA"/>
    <s v="1582000195"/>
    <s v="089416729767"/>
    <s v="nadia.pratama@dumibumi.co.id"/>
    <s v="Jakarta, Indonesia"/>
  </r>
  <r>
    <n v="201943658"/>
    <s v="Yusuf Pratama"/>
    <s v="5291622520708200"/>
    <s v="2473439042449944"/>
    <s v="Pontianak"/>
    <d v="1976-12-01T00:00:00"/>
    <s v="Male"/>
    <s v="Married"/>
    <n v="1"/>
    <s v="Islam"/>
    <s v="O"/>
    <d v="2001-07-12T00:00:00"/>
    <m/>
    <m/>
    <x v="0"/>
    <x v="0"/>
    <x v="0"/>
    <s v="Master's Degree (S2)"/>
    <s v="Law"/>
    <x v="1"/>
    <s v="Board of Commissioners"/>
    <x v="6"/>
    <s v="Commissioner"/>
    <s v="G03"/>
    <s v="K/1"/>
    <s v="544369555345556"/>
    <s v="75285941818"/>
    <s v="8437463760121"/>
    <s v="BANK BCA"/>
    <s v="4014998198"/>
    <s v="080931955459"/>
    <s v="yusuf.pratama@dumibumi.co.id"/>
    <s v="Tangerang, Indonesia"/>
  </r>
  <r>
    <n v="201441797"/>
    <s v="Dedi Permata"/>
    <s v="1693422781672131"/>
    <s v="6297683498710681"/>
    <s v="Banjarmasin"/>
    <d v="1972-01-25T00:00:00"/>
    <s v="Male"/>
    <s v="Married"/>
    <n v="2"/>
    <s v="Hinduism"/>
    <s v="A"/>
    <d v="2002-06-07T00:00:00"/>
    <m/>
    <m/>
    <x v="0"/>
    <x v="0"/>
    <x v="0"/>
    <s v="Doctoral Degree (S3)"/>
    <s v="Accounting"/>
    <x v="1"/>
    <s v="Board of Commissioners"/>
    <x v="6"/>
    <s v="Commissioner"/>
    <s v="G03"/>
    <s v="K/2"/>
    <s v="761373300266873"/>
    <s v="71401237162"/>
    <s v="1682486458067"/>
    <s v="BANK BCA"/>
    <s v="6054335163"/>
    <s v="081075935793"/>
    <s v="dedi.permata@dumibumi.co.id"/>
    <s v="Bogor, Indonesia"/>
  </r>
  <r>
    <n v="202244911"/>
    <s v="Monica Putri Ayu"/>
    <s v="8868713042755589"/>
    <s v="7700585616611204"/>
    <s v="Sukabumi"/>
    <d v="1989-07-03T00:00:00"/>
    <s v="Female"/>
    <s v="Married"/>
    <n v="0"/>
    <s v="Catholicism"/>
    <s v="B"/>
    <d v="2022-12-16T00:00:00"/>
    <d v="2027-12-16T00:00:00"/>
    <m/>
    <x v="0"/>
    <x v="0"/>
    <x v="1"/>
    <s v="Master's Degree (S2)"/>
    <s v="Business Administration"/>
    <x v="1"/>
    <s v="Corporate Secretary"/>
    <x v="0"/>
    <s v="Corporate Secretary"/>
    <s v="G10"/>
    <s v="TK/0"/>
    <s v="495344004861489"/>
    <s v="73880099287"/>
    <s v="8313499899159"/>
    <s v="BANK BCA"/>
    <s v="8781658784"/>
    <s v="088688061334"/>
    <s v="lina.wijaya@dumibumi.co.id"/>
    <s v="Tangerang, Indonesia"/>
  </r>
  <r>
    <n v="201542050"/>
    <s v="Fajar Hidayat"/>
    <s v="6898050111354868"/>
    <s v="0069685671645996"/>
    <s v="Karawang"/>
    <d v="1990-10-24T00:00:00"/>
    <s v="Male"/>
    <s v="Married"/>
    <n v="0"/>
    <s v="Protestantism"/>
    <s v="A"/>
    <d v="2015-02-15T00:00:00"/>
    <m/>
    <m/>
    <x v="0"/>
    <x v="0"/>
    <x v="0"/>
    <s v="Bachelor's Degree (S1)"/>
    <s v="Economics"/>
    <x v="0"/>
    <s v="Finance"/>
    <x v="0"/>
    <s v="Finance Officer"/>
    <s v="G10"/>
    <s v="K/0"/>
    <s v="898971049654288"/>
    <s v="94680223451"/>
    <s v="5094269625937"/>
    <s v="BANK BCA"/>
    <s v="2879944152"/>
    <s v="082061927319"/>
    <s v="fajar.hidayat@dumibumi.co.id"/>
    <s v="Bandung, Indonesia"/>
  </r>
  <r>
    <n v="202144304"/>
    <s v="Aulia Wijaya"/>
    <s v="5982503451061249"/>
    <s v="9725075839427925"/>
    <s v="Banjarbaru"/>
    <d v="1989-08-15T00:00:00"/>
    <s v="Female"/>
    <s v="Married"/>
    <n v="1"/>
    <s v="Protestantism"/>
    <s v="AB"/>
    <d v="2025-04-18T00:00:00"/>
    <d v="2027-04-18T00:00:00"/>
    <m/>
    <x v="0"/>
    <x v="0"/>
    <x v="1"/>
    <s v="Bachelor's Degree (S1)"/>
    <s v="Economics"/>
    <x v="0"/>
    <s v="Finance"/>
    <x v="0"/>
    <s v="Finance Officer"/>
    <s v="G10"/>
    <s v="TK/0"/>
    <s v="366164511585083"/>
    <s v="52628474546"/>
    <s v="2472644929257"/>
    <s v="BANK BCA"/>
    <s v="0653257942"/>
    <s v="080397593061"/>
    <s v="aulia.wijaya@dumibumi.co.id"/>
    <s v="Jakarta, Indonesia"/>
  </r>
  <r>
    <n v="202043907"/>
    <s v="Dewi Sari"/>
    <s v="7046351185862305"/>
    <s v="9459454797742185"/>
    <s v="Samarinda"/>
    <d v="1995-05-25T00:00:00"/>
    <s v="Female"/>
    <s v="Widowed"/>
    <n v="2"/>
    <s v="Islam"/>
    <s v="O"/>
    <d v="2020-03-17T00:00:00"/>
    <m/>
    <m/>
    <x v="0"/>
    <x v="0"/>
    <x v="0"/>
    <s v="Bachelor's Degree (S1)"/>
    <s v="Accounting"/>
    <x v="0"/>
    <s v="Finance"/>
    <x v="1"/>
    <s v="Finance Staff"/>
    <s v="G11"/>
    <s v="TK/2"/>
    <s v="263396533418708"/>
    <s v="93397124597"/>
    <s v="3914679964832"/>
    <s v="BANK BCA"/>
    <s v="9298907969"/>
    <s v="087685367471"/>
    <s v="dewi.sari@dumibumi.co.id"/>
    <s v="Depok, Indonesia"/>
  </r>
  <r>
    <n v="201742744"/>
    <s v="Nadia Santoso"/>
    <s v="6756449784102128"/>
    <s v="0832902389588048"/>
    <s v="Pasuruan"/>
    <d v="1998-03-18T00:00:00"/>
    <s v="Female"/>
    <s v="Married"/>
    <n v="0"/>
    <s v="Islam"/>
    <s v="O"/>
    <d v="2026-01-09T00:00:00"/>
    <d v="2027-01-09T00:00:00"/>
    <m/>
    <x v="0"/>
    <x v="0"/>
    <x v="1"/>
    <s v="Bachelor's Degree (S1)"/>
    <s v="Communication"/>
    <x v="0"/>
    <s v="Finance"/>
    <x v="2"/>
    <s v="Finance Administration Staff"/>
    <s v="G12"/>
    <s v="TK/0"/>
    <s v="439711887629562"/>
    <s v="85155573251"/>
    <s v="1472671998475"/>
    <s v="BANK BCA"/>
    <s v="4733934962"/>
    <s v="082766903492"/>
    <s v="nadia.santoso@dumibumi.co.id"/>
    <s v="Bogor, Indonesia"/>
  </r>
  <r>
    <n v="202445629"/>
    <s v="Jajang Kusuma"/>
    <s v="3877001018943814"/>
    <n v="2206649275120280"/>
    <s v="Pasuruan"/>
    <d v="1985-11-13T00:00:00"/>
    <s v="Male"/>
    <s v="Married"/>
    <n v="0"/>
    <s v="Catholicism"/>
    <s v="B"/>
    <d v="2016-12-03T00:00:00"/>
    <m/>
    <m/>
    <x v="0"/>
    <x v="0"/>
    <x v="0"/>
    <s v="Master's Degree (S2)"/>
    <s v="Accounting"/>
    <x v="0"/>
    <s v="Finance"/>
    <x v="4"/>
    <s v="Finance Manager"/>
    <s v="G06"/>
    <s v="K/0"/>
    <s v="143803499431951"/>
    <s v="06411236925"/>
    <s v="8723672671458"/>
    <s v="BANK BCA"/>
    <s v="4821837876"/>
    <s v="085964897453"/>
    <s v="aulia.kusuma@dumibumi.co.id"/>
    <s v="Bandung, Indonesia"/>
  </r>
  <r>
    <n v="201743013"/>
    <s v="Bayu Santoso"/>
    <s v="9964177721912332"/>
    <s v="2008506307534749"/>
    <s v="Karawang"/>
    <d v="1978-11-15T00:00:00"/>
    <s v="Male"/>
    <s v="Married"/>
    <n v="2"/>
    <s v="Catholicism"/>
    <s v="B"/>
    <d v="2017-10-05T00:00:00"/>
    <m/>
    <m/>
    <x v="0"/>
    <x v="0"/>
    <x v="0"/>
    <s v="Doctoral Degree (S3)"/>
    <s v="Accounting"/>
    <x v="0"/>
    <s v="Finance"/>
    <x v="7"/>
    <s v="General Manager"/>
    <s v="G05"/>
    <s v="K/2"/>
    <s v="199317952841093"/>
    <s v="44115713928"/>
    <s v="8483334572963"/>
    <s v="BANK BCA"/>
    <s v="0975713985"/>
    <s v="080595210902"/>
    <s v="bayu.santoso@dumibumi.co.id"/>
    <s v="Bandung, Indonesia"/>
  </r>
  <r>
    <n v="202244751"/>
    <s v="Fajar Saputra"/>
    <s v="4752176185887151"/>
    <s v="6232132117560140"/>
    <s v="Jakarta"/>
    <d v="1986-09-28T00:00:00"/>
    <s v="Male"/>
    <s v="Married"/>
    <n v="0"/>
    <s v="Islam"/>
    <s v="A"/>
    <d v="2015-07-09T00:00:00"/>
    <m/>
    <m/>
    <x v="0"/>
    <x v="0"/>
    <x v="0"/>
    <s v="Master's Degree (S2)"/>
    <s v="Accounting"/>
    <x v="0"/>
    <s v="Finance"/>
    <x v="3"/>
    <s v="Finance Supervisor"/>
    <s v="G07"/>
    <s v="K/0"/>
    <s v="494080087700032"/>
    <s v="47670283666"/>
    <s v="1929086667506"/>
    <s v="BANK BCA"/>
    <s v="3785409084"/>
    <s v="080993139962"/>
    <s v="fajar.saputra@dumibumi.co.id"/>
    <s v="Bandung, Indonesia"/>
  </r>
  <r>
    <n v="201943709"/>
    <s v="Farhan Arif Firmansyah"/>
    <s v="7224481878566736"/>
    <s v="2794564114648111"/>
    <s v="Jakarta"/>
    <d v="1988-07-24T00:00:00"/>
    <s v="Male"/>
    <s v="Married"/>
    <n v="0"/>
    <s v="Islam"/>
    <s v="A"/>
    <d v="2017-09-01T00:00:00"/>
    <m/>
    <m/>
    <x v="0"/>
    <x v="0"/>
    <x v="0"/>
    <s v="Master's Degree (S2)"/>
    <s v="Law"/>
    <x v="2"/>
    <s v="Human Resources &amp; General Affairs"/>
    <x v="4"/>
    <s v="Human Resources Manager"/>
    <s v="G06"/>
    <s v="K/0"/>
    <s v="676791160188610"/>
    <s v="80544586070"/>
    <s v="5907762254884"/>
    <s v="BANK BCA"/>
    <s v="4105124328"/>
    <s v="086298054608"/>
    <s v="farhan.sari@dumibumi.co.id"/>
    <s v="Tangerang, Indonesia"/>
  </r>
  <r>
    <n v="201743013"/>
    <s v="Rudi Nugroho"/>
    <s v="8497101319935159"/>
    <s v="0197669065659725"/>
    <s v="Pontianak"/>
    <d v="1989-12-11T00:00:00"/>
    <s v="Male"/>
    <s v="Married"/>
    <n v="2"/>
    <s v="Islam"/>
    <s v="A"/>
    <d v="2019-10-05T00:00:00"/>
    <m/>
    <m/>
    <x v="0"/>
    <x v="0"/>
    <x v="0"/>
    <s v="Master's Degree (S2)"/>
    <s v="Psychology"/>
    <x v="2"/>
    <s v="Human Resources &amp; General Affairs"/>
    <x v="3"/>
    <s v="HR Ops &amp; GA Supervisor"/>
    <s v="G07"/>
    <s v="K/2"/>
    <s v="358552492655382"/>
    <s v="57099509411"/>
    <s v="2661899472091"/>
    <s v="BANK BCA"/>
    <s v="6415986560"/>
    <s v="083952384227"/>
    <s v="rudi.nugroho@dumibumi.co.id"/>
    <s v="Bandung, Indonesia"/>
  </r>
  <r>
    <n v="202044117"/>
    <s v="Reza Nurfadilah Restu"/>
    <s v="7290990647659812"/>
    <s v="6598383403479966"/>
    <s v="Pontianak"/>
    <d v="1990-07-17T00:00:00"/>
    <s v="Male"/>
    <s v="Married"/>
    <n v="0"/>
    <s v="Islam"/>
    <s v="O"/>
    <d v="2018-10-13T00:00:00"/>
    <m/>
    <m/>
    <x v="0"/>
    <x v="0"/>
    <x v="0"/>
    <s v="Master's Degree (S2)"/>
    <s v="Psychology"/>
    <x v="2"/>
    <s v="Human Resources &amp; General Affairs"/>
    <x v="0"/>
    <s v="Learning &amp; Development Officer"/>
    <s v="G10"/>
    <s v="K/0"/>
    <s v="924206916648484"/>
    <s v="72572281606"/>
    <s v="4689461181583"/>
    <s v="BANK BCA"/>
    <s v="5777535686"/>
    <s v="083007658580"/>
    <s v="farhan.permata@dumibumi.co.id"/>
    <s v="Tangerang, Indonesia"/>
  </r>
  <r>
    <n v="202043987"/>
    <s v="Musdalifah"/>
    <s v="2329496771686555"/>
    <s v="8037517371109425"/>
    <s v="Singkawang"/>
    <d v="1992-03-21T00:00:00"/>
    <s v="Female"/>
    <s v="Married"/>
    <n v="0"/>
    <s v="Islam"/>
    <s v="AB"/>
    <d v="2020-06-05T00:00:00"/>
    <m/>
    <m/>
    <x v="0"/>
    <x v="0"/>
    <x v="0"/>
    <s v="Bachelor's Degree (S1)"/>
    <s v="Psychology"/>
    <x v="2"/>
    <s v="Human Resources &amp; General Affairs"/>
    <x v="0"/>
    <s v="HR Communications Officer"/>
    <s v="G10"/>
    <s v="TK/0"/>
    <s v="937009148998113"/>
    <s v="72008129905"/>
    <s v="2326690143540"/>
    <s v="BANK BCA"/>
    <s v="9553316196"/>
    <s v="084516707178"/>
    <s v="nadia.wijaya@dumibumi.co.id"/>
    <s v="Bogor, Indonesia"/>
  </r>
  <r>
    <n v="201943752"/>
    <s v="Rizky Permata"/>
    <s v="4901950672851294"/>
    <s v="9749050973474001"/>
    <s v="Banjarmasin"/>
    <d v="1993-09-18T00:00:00"/>
    <s v="Male"/>
    <s v="Married"/>
    <n v="0"/>
    <s v="Islam"/>
    <s v="B"/>
    <d v="2019-10-14T00:00:00"/>
    <m/>
    <m/>
    <x v="0"/>
    <x v="0"/>
    <x v="0"/>
    <s v="Bachelor's Degree (S1)"/>
    <s v="Management"/>
    <x v="2"/>
    <s v="Human Resources &amp; General Affairs"/>
    <x v="0"/>
    <s v="Payroll &amp; Benefits Officer"/>
    <s v="G10"/>
    <s v="K/0"/>
    <s v="063449011015272"/>
    <s v="33802505957"/>
    <s v="8905850993780"/>
    <s v="BANK BCA"/>
    <s v="6664172510"/>
    <s v="080774942620"/>
    <s v="rizky.permata@dumibumi.co.id"/>
    <s v="Tangerang, Indonesia"/>
  </r>
  <r>
    <n v="202144365"/>
    <s v="Aulia Pratama"/>
    <s v="3061485360217420"/>
    <s v="5592059614579362"/>
    <s v="Karawang"/>
    <d v="1994-09-18T00:00:00"/>
    <s v="Female"/>
    <s v="Married"/>
    <n v="2"/>
    <s v="Islam"/>
    <s v="A"/>
    <d v="2025-08-18T00:00:00"/>
    <d v="2027-08-18T00:00:00"/>
    <m/>
    <x v="0"/>
    <x v="0"/>
    <x v="1"/>
    <s v="Bachelor's Degree (S1)"/>
    <s v="Psychology"/>
    <x v="2"/>
    <s v="Human Resources &amp; General Affairs"/>
    <x v="1"/>
    <s v="Recruitment Staff"/>
    <s v="G11"/>
    <s v="TK/0"/>
    <s v="991047804901327"/>
    <s v="68860886361"/>
    <s v="5887798353371"/>
    <s v="BANK BCA"/>
    <s v="2838186500"/>
    <s v="084900489759"/>
    <s v="aulia.pratama@dumibumi.co.id"/>
    <s v="Jakarta, Indonesia"/>
  </r>
  <r>
    <n v="202044146"/>
    <s v="Dedi Hidayat"/>
    <s v="3682503993384988"/>
    <s v="3784794058906662"/>
    <s v="Jakarta"/>
    <d v="1996-03-15T00:00:00"/>
    <s v="Male"/>
    <s v="Married"/>
    <n v="2"/>
    <s v="Islam"/>
    <s v="B"/>
    <d v="2020-11-11T00:00:00"/>
    <m/>
    <m/>
    <x v="0"/>
    <x v="0"/>
    <x v="0"/>
    <s v="Bachelor's Degree (S1)"/>
    <s v="Psychology"/>
    <x v="2"/>
    <s v="Human Resources &amp; General Affairs"/>
    <x v="1"/>
    <s v="Recruitment Staff"/>
    <s v="G11"/>
    <s v="K/2"/>
    <s v="504743316587698"/>
    <s v="13786953244"/>
    <s v="9580774748841"/>
    <s v="BANK BCA"/>
    <s v="3159217760"/>
    <s v="089449845925"/>
    <s v="dedi.hidayat@dumibumi.co.id"/>
    <s v="Subang, Indonesia"/>
  </r>
  <r>
    <n v="202044084"/>
    <s v="Nisa Noor F. Halimah"/>
    <s v="2715407782759011"/>
    <s v="0137335151447948"/>
    <s v="Karawang"/>
    <d v="1997-04-03T00:00:00"/>
    <s v="Female"/>
    <s v="Single"/>
    <n v="1"/>
    <s v="Islam"/>
    <s v="O"/>
    <d v="2020-09-10T00:00:00"/>
    <m/>
    <m/>
    <x v="0"/>
    <x v="0"/>
    <x v="0"/>
    <s v="Bachelor's Degree (S1)"/>
    <s v="Business Administration"/>
    <x v="2"/>
    <s v="Human Resources &amp; General Affairs"/>
    <x v="1"/>
    <s v="HR Operations &amp; General Affairs Staff"/>
    <s v="G11"/>
    <s v="TK/1"/>
    <s v="073322594670363"/>
    <s v="08939101080"/>
    <s v="7377166617547"/>
    <s v="BANK BCA"/>
    <s v="5007694002"/>
    <s v="088932742962"/>
    <s v="indah.wijaya@dumibumi.co.id"/>
    <s v="Bekasi, Indonesia"/>
  </r>
  <r>
    <n v="201642614"/>
    <s v="Andi Maulana"/>
    <s v="3496496638576534"/>
    <s v="7959468099866577"/>
    <s v="Jakarta"/>
    <d v="1997-09-19T00:00:00"/>
    <s v="Male"/>
    <s v="Married"/>
    <n v="1"/>
    <s v="Islam"/>
    <s v="A"/>
    <d v="2024-09-01T00:00:00"/>
    <d v="2026-09-01T00:00:00"/>
    <m/>
    <x v="0"/>
    <x v="0"/>
    <x v="1"/>
    <s v="Bachelor's Degree (S1)"/>
    <s v="Communication"/>
    <x v="2"/>
    <s v="Human Resources &amp; General Affairs"/>
    <x v="1"/>
    <s v="Employer Branding Staff"/>
    <s v="G11"/>
    <s v="K/1"/>
    <s v="205474012330126"/>
    <s v="16523507644"/>
    <s v="2434280652279"/>
    <s v="BANK BCA"/>
    <s v="9927022456"/>
    <s v="086711232999"/>
    <s v="andi.maulana@dumibumi.co.id"/>
    <s v="Subang, Indonesia"/>
  </r>
  <r>
    <n v="202044094"/>
    <s v="Fajar Pratama"/>
    <s v="5458739022794273"/>
    <s v="5128183397341910"/>
    <s v="Mojokerto"/>
    <d v="1998-05-12T00:00:00"/>
    <s v="Male"/>
    <s v="Married"/>
    <n v="0"/>
    <s v="Islam"/>
    <s v="B"/>
    <d v="2020-09-20T00:00:00"/>
    <m/>
    <m/>
    <x v="0"/>
    <x v="0"/>
    <x v="0"/>
    <s v="Bachelor's Degree (S1)"/>
    <s v="Human Resource Management"/>
    <x v="2"/>
    <s v="Human Resources &amp; General Affairs"/>
    <x v="1"/>
    <s v="HR Operations &amp; General Affairs Staff"/>
    <s v="G11"/>
    <s v="K/0"/>
    <s v="605083663912059"/>
    <s v="67659009859"/>
    <s v="0202040135988"/>
    <s v="BANK BCA"/>
    <s v="9391913684"/>
    <s v="083397307192"/>
    <s v="fajar.pratama@dumibumi.co.id"/>
    <s v="Bekasi, Indonesia"/>
  </r>
  <r>
    <n v="202044053"/>
    <s v="Dewi Pangestu"/>
    <s v="2569700081836758"/>
    <s v="1217641947828083"/>
    <s v="Kota Metro"/>
    <d v="1998-01-08T00:00:00"/>
    <s v="Female"/>
    <s v="Single"/>
    <n v="0"/>
    <s v="Islam"/>
    <s v="A"/>
    <d v="2020-08-10T00:00:00"/>
    <m/>
    <m/>
    <x v="0"/>
    <x v="0"/>
    <x v="0"/>
    <s v="Bachelor's Degree (S1)"/>
    <s v="Human Resource Management"/>
    <x v="2"/>
    <s v="Human Resources &amp; General Affairs"/>
    <x v="1"/>
    <s v="HR Operations &amp; General Affairs Staff"/>
    <s v="G11"/>
    <s v="TK/0"/>
    <s v="189578904144550"/>
    <s v="36009597651"/>
    <s v="3673806833311"/>
    <s v="BANK BCA"/>
    <s v="2522120877"/>
    <s v="084930023893"/>
    <s v="dewi.pangestu@dumibumi.co.id"/>
    <s v="Jakarta, Indonesia"/>
  </r>
  <r>
    <n v="201642722"/>
    <s v="Andi Santoso"/>
    <s v="5119088522931083"/>
    <s v="5332839755320470"/>
    <s v="Bandung"/>
    <d v="1997-08-23T00:00:00"/>
    <s v="Male"/>
    <s v="Married"/>
    <n v="2"/>
    <s v="Islam"/>
    <s v="A"/>
    <d v="2023-12-18T00:00:00"/>
    <d v="2026-12-18T00:00:00"/>
    <m/>
    <x v="0"/>
    <x v="0"/>
    <x v="1"/>
    <s v="Bachelor's Degree (S1)"/>
    <s v="Law"/>
    <x v="2"/>
    <s v="Human Resources &amp; General Affairs"/>
    <x v="1"/>
    <s v="Recruitment Staff"/>
    <s v="G11"/>
    <s v="K/2"/>
    <s v="732279796893091"/>
    <s v="78086839561"/>
    <s v="0160903528526"/>
    <s v="BANK BCA"/>
    <s v="8126968217"/>
    <s v="086937932951"/>
    <s v="andi.santoso@dumibumi.co.id"/>
    <s v="Depok, Indonesia"/>
  </r>
  <r>
    <n v="202545684"/>
    <s v="Siti Nugroho"/>
    <s v="5285585449523200"/>
    <s v="9469919393268893"/>
    <s v="Depok"/>
    <d v="2010-08-19T00:00:00"/>
    <s v="Female"/>
    <s v="Single"/>
    <n v="0"/>
    <s v="Islam"/>
    <s v="B"/>
    <d v="2026-01-27T00:00:00"/>
    <d v="2027-01-27T00:00:00"/>
    <m/>
    <x v="0"/>
    <x v="0"/>
    <x v="1"/>
    <s v="Vocational High School"/>
    <s v="Marketing"/>
    <x v="2"/>
    <s v="Human Resources &amp; General Affairs"/>
    <x v="8"/>
    <s v="HR Intern"/>
    <s v="G14"/>
    <s v="TK/0"/>
    <s v="830409726072302"/>
    <s v="56398787625"/>
    <s v="2164056638379"/>
    <s v="BANK BNI"/>
    <s v="3230524079"/>
    <s v="088075558518"/>
    <s v="siti.nugroho@dumibumi.co.id"/>
    <s v="Bekasi, Indonesia"/>
  </r>
  <r>
    <n v="202044026"/>
    <s v="Ine Agraeni"/>
    <s v="9083339653697797"/>
    <s v="6513051105371010"/>
    <s v="Bandung"/>
    <d v="2005-09-20T00:00:00"/>
    <s v="Female"/>
    <s v="Single"/>
    <n v="0"/>
    <s v="Islam"/>
    <s v="A"/>
    <d v="2020-07-14T00:00:00"/>
    <m/>
    <m/>
    <x v="0"/>
    <x v="0"/>
    <x v="0"/>
    <s v="High School"/>
    <s v="Natural Sciences (IPA)"/>
    <x v="2"/>
    <s v="Human Resources &amp; General Affairs"/>
    <x v="2"/>
    <s v="HR Administration"/>
    <s v="G12"/>
    <s v="TK/0"/>
    <s v="983767810529223"/>
    <s v="98210689429"/>
    <s v="1918407141285"/>
    <s v="BANK BCA"/>
    <s v="3788927309"/>
    <s v="085063958691"/>
    <s v="aulia.permata@dumibumi.co.id"/>
    <s v="Bekasi, Indonesia"/>
  </r>
  <r>
    <n v="202244602"/>
    <s v="Nadia Hidayat"/>
    <s v="9334227202863188"/>
    <s v="3586963884205365"/>
    <s v="Jakarta"/>
    <d v="2005-09-20T00:00:00"/>
    <s v="Female"/>
    <s v="Single"/>
    <n v="0"/>
    <s v="Islam"/>
    <s v="AB"/>
    <d v="2022-02-10T00:00:00"/>
    <d v="2027-02-10T00:00:00"/>
    <m/>
    <x v="0"/>
    <x v="0"/>
    <x v="1"/>
    <s v="High School"/>
    <s v="Social Sciences (IPS)"/>
    <x v="2"/>
    <s v="Human Resources &amp; General Affairs"/>
    <x v="2"/>
    <s v="HR Administration"/>
    <s v="G12"/>
    <s v="TK/0"/>
    <s v="927401037922305"/>
    <s v="10466971453"/>
    <s v="3101054984658"/>
    <s v="BANK BCA"/>
    <s v="7214975040"/>
    <s v="081574338885"/>
    <s v="nadia.hidayat@dumibumi.co.id"/>
    <s v="Bekasi, Indonesia"/>
  </r>
  <r>
    <n v="202043999"/>
    <s v="Nadia Pangestu"/>
    <s v="0473824630353299"/>
    <s v="0919141542823420"/>
    <s v="Kota Metro"/>
    <s v="08/05/1890"/>
    <s v="Male"/>
    <s v="Married"/>
    <n v="0"/>
    <s v="Islam"/>
    <s v="B"/>
    <d v="2015-12-17T00:00:00"/>
    <m/>
    <m/>
    <x v="0"/>
    <x v="0"/>
    <x v="0"/>
    <s v="Master's Degree (S2)"/>
    <s v="Information Systems"/>
    <x v="3"/>
    <s v="Information Technology"/>
    <x v="4"/>
    <s v="IT Manager"/>
    <s v="G06"/>
    <s v="K/0"/>
    <s v="930864167101961"/>
    <s v="11438546054"/>
    <s v="8323047658039"/>
    <s v="BANK BCA"/>
    <s v="0446261013"/>
    <s v="088021336142"/>
    <s v="nadia.pangestu@dumibumi.co.id"/>
    <s v="Bogor, Indonesia"/>
  </r>
  <r>
    <n v="201743014"/>
    <s v="Putri Sari"/>
    <s v="5707066304454774"/>
    <s v="8828781563937789"/>
    <s v="Bekasi"/>
    <d v="1993-05-20T00:00:00"/>
    <s v="Male"/>
    <s v="Married"/>
    <n v="0"/>
    <s v="Islam"/>
    <s v="AB"/>
    <d v="2017-10-06T00:00:00"/>
    <m/>
    <m/>
    <x v="0"/>
    <x v="0"/>
    <x v="0"/>
    <s v="Master's Degree (S2)"/>
    <s v="Electrical Engineering"/>
    <x v="3"/>
    <s v="Information Technology"/>
    <x v="3"/>
    <s v="IT Supervisor"/>
    <s v="G07"/>
    <s v="K/0"/>
    <s v="560980240575843"/>
    <s v="79695900450"/>
    <s v="3670292841036"/>
    <s v="BANK BCA"/>
    <s v="9921229167"/>
    <s v="082466795969"/>
    <s v="putri.sari@dumibumi.co.id"/>
    <s v="Tangerang, Indonesia"/>
  </r>
  <r>
    <n v="201642621"/>
    <s v="Siti Kurniawan"/>
    <s v="1114736441675886"/>
    <s v="2462027223851864"/>
    <s v="Tanjung Pinang"/>
    <d v="1996-12-26T00:00:00"/>
    <s v="Male"/>
    <s v="Married"/>
    <n v="2"/>
    <s v="Islam"/>
    <s v="A"/>
    <d v="2016-09-08T00:00:00"/>
    <m/>
    <m/>
    <x v="0"/>
    <x v="0"/>
    <x v="0"/>
    <s v="Bachelor's Degree (S1)"/>
    <s v="Information Systems"/>
    <x v="3"/>
    <s v="Information Technology"/>
    <x v="9"/>
    <s v="UI / UX Design"/>
    <s v="G09"/>
    <s v="K/2"/>
    <s v="131527098422306"/>
    <s v="59484094706"/>
    <s v="5565844127344"/>
    <s v="BANK BCA"/>
    <s v="6284267987"/>
    <s v="081613550129"/>
    <s v="siti.kurniawan@dumibumi.co.id"/>
    <s v="Jakarta, Indonesia"/>
  </r>
  <r>
    <n v="201642522"/>
    <s v="Lina Kurniawan"/>
    <s v="5347049884384806"/>
    <s v="4992489172846821"/>
    <s v="Depok"/>
    <d v="1997-03-25T00:00:00"/>
    <s v="Male"/>
    <s v="Married"/>
    <n v="2"/>
    <s v="Islam"/>
    <s v="B"/>
    <d v="2016-06-01T00:00:00"/>
    <m/>
    <m/>
    <x v="0"/>
    <x v="0"/>
    <x v="0"/>
    <s v="Bachelor's Degree (S1)"/>
    <s v="Information Systems"/>
    <x v="3"/>
    <s v="Information Technology"/>
    <x v="9"/>
    <s v="UI / UX Design"/>
    <s v="G09"/>
    <s v="K/2"/>
    <s v="654622580915603"/>
    <s v="99427726824"/>
    <s v="0668948227055"/>
    <s v="BANK BCA"/>
    <s v="2110317332"/>
    <s v="084297499812"/>
    <s v="lina.kurniawan@dumibumi.co.id"/>
    <s v="Bekasi, Indonesia"/>
  </r>
  <r>
    <n v="202043964"/>
    <s v="Nadia Sari"/>
    <s v="4024870709749381"/>
    <s v="7272656753019484"/>
    <s v="Depok"/>
    <d v="1996-08-05T00:00:00"/>
    <s v="Male"/>
    <s v="Married"/>
    <n v="1"/>
    <s v="Islam"/>
    <s v="B"/>
    <d v="2020-05-13T00:00:00"/>
    <m/>
    <m/>
    <x v="0"/>
    <x v="0"/>
    <x v="0"/>
    <s v="Bachelor's Degree (S1)"/>
    <s v="Information Systems"/>
    <x v="3"/>
    <s v="Information Technology"/>
    <x v="9"/>
    <s v="Front End Developer"/>
    <s v="G09"/>
    <s v="K/1"/>
    <s v="630039378918151"/>
    <s v="03091788144"/>
    <s v="1181637930921"/>
    <s v="BANK BCA"/>
    <s v="7768583172"/>
    <s v="085701776251"/>
    <s v="nadia.sari@dumibumi.co.id"/>
    <s v="Bandung, Indonesia"/>
  </r>
  <r>
    <n v="202044158"/>
    <s v="Indah Wijaya"/>
    <s v="4874411048949839"/>
    <s v="7247852454896329"/>
    <s v="Bandung"/>
    <d v="1996-08-18T00:00:00"/>
    <s v="Male"/>
    <s v="Married"/>
    <n v="1"/>
    <s v="Islam"/>
    <s v="AB"/>
    <d v="2020-11-23T00:00:00"/>
    <m/>
    <m/>
    <x v="0"/>
    <x v="0"/>
    <x v="0"/>
    <s v="Bachelor's Degree (S1)"/>
    <s v="Information Systems"/>
    <x v="3"/>
    <s v="Information Technology"/>
    <x v="9"/>
    <s v="Front End Developer"/>
    <s v="G09"/>
    <s v="K/1"/>
    <s v="617046602803586"/>
    <s v="19766353148"/>
    <s v="4804177692857"/>
    <s v="BANK BCA"/>
    <s v="0755821072"/>
    <s v="084182337177"/>
    <s v="indah.wijaya@dumibumi.co.id"/>
    <s v="Depok, Indonesia"/>
  </r>
  <r>
    <n v="202144222"/>
    <s v="Nadia Kusuma"/>
    <s v="3957605305883060"/>
    <s v="7601986664536922"/>
    <s v="Tanjung Pinang"/>
    <d v="1998-02-25T00:00:00"/>
    <s v="Male"/>
    <s v="Single"/>
    <n v="0"/>
    <s v="Islam"/>
    <s v="AB"/>
    <d v="2021-01-26T00:00:00"/>
    <m/>
    <m/>
    <x v="0"/>
    <x v="0"/>
    <x v="0"/>
    <s v="Bachelor's Degree (S1)"/>
    <s v="Information Systems"/>
    <x v="3"/>
    <s v="Information Technology"/>
    <x v="9"/>
    <s v="Back End Developer"/>
    <s v="G09"/>
    <s v="TK/0"/>
    <s v="563404768625934"/>
    <s v="78082684373"/>
    <s v="9314776012877"/>
    <s v="BANK BCA"/>
    <s v="8162934541"/>
    <s v="086035963276"/>
    <s v="nadia.kusuma@dumibumi.co.id"/>
    <s v="Tangerang, Indonesia"/>
  </r>
  <r>
    <n v="201642559"/>
    <s v="Lina Ramadhan"/>
    <s v="5728118943433613"/>
    <s v="6956113246972637"/>
    <s v="Depok"/>
    <d v="1997-11-09T00:00:00"/>
    <s v="Female"/>
    <s v="Single"/>
    <n v="0"/>
    <s v="Islam"/>
    <s v="AB"/>
    <d v="2016-07-08T00:00:00"/>
    <m/>
    <m/>
    <x v="0"/>
    <x v="0"/>
    <x v="0"/>
    <s v="Bachelor's Degree (S1)"/>
    <s v="Informatics Engineering"/>
    <x v="3"/>
    <s v="Information Technology"/>
    <x v="9"/>
    <s v="Back End Developer"/>
    <s v="G09"/>
    <s v="TK/0"/>
    <s v="014353514789242"/>
    <s v="98621455915"/>
    <s v="1360476448114"/>
    <s v="BANK BCA"/>
    <s v="8270595963"/>
    <s v="088632444496"/>
    <s v="lina.ramadhan@dumibumi.co.id"/>
    <s v="Subang, Indonesia"/>
  </r>
  <r>
    <n v="201642499"/>
    <s v="Rina Santoso"/>
    <s v="2443479625063998"/>
    <s v="5260052675651565"/>
    <s v="Depok"/>
    <d v="1998-10-05T00:00:00"/>
    <s v="Female"/>
    <s v="Married"/>
    <n v="0"/>
    <s v="Islam"/>
    <s v="AB"/>
    <d v="2023-05-09T00:00:00"/>
    <d v="2028-05-09T00:00:00"/>
    <m/>
    <x v="0"/>
    <x v="0"/>
    <x v="1"/>
    <s v="Bachelor's Degree (S1)"/>
    <s v="Informatics Engineering"/>
    <x v="3"/>
    <s v="Information Technology"/>
    <x v="0"/>
    <s v="Programmer"/>
    <s v="G10"/>
    <s v="TK/0"/>
    <s v="380114681646630"/>
    <s v="73025623605"/>
    <s v="2767046758705"/>
    <s v="BANK BCA"/>
    <s v="4561371186"/>
    <s v="086411638889"/>
    <s v="rina.santoso@dumibumi.co.id"/>
    <s v="Bekasi, Indonesia"/>
  </r>
  <r>
    <n v="201943613"/>
    <s v="Nadia Maulana"/>
    <s v="4108960729480398"/>
    <s v="4490598474260364"/>
    <s v="Bengkulu"/>
    <d v="1998-09-21T00:00:00"/>
    <s v="Male"/>
    <s v="Single"/>
    <n v="0"/>
    <s v="Islam"/>
    <s v="O"/>
    <d v="2024-05-28T00:00:00"/>
    <d v="2029-05-28T00:00:00"/>
    <m/>
    <x v="0"/>
    <x v="0"/>
    <x v="1"/>
    <s v="Bachelor's Degree (S1)"/>
    <s v="Informatics Engineering"/>
    <x v="3"/>
    <s v="Information Technology"/>
    <x v="0"/>
    <s v="Programmer"/>
    <s v="G10"/>
    <s v="TK/0"/>
    <s v="045800047417302"/>
    <s v="35908729103"/>
    <s v="8925481235171"/>
    <s v="BANK BCA"/>
    <s v="6948413087"/>
    <s v="083422856524"/>
    <s v="nadia.maulana@dumibumi.co.id"/>
    <s v="Bogor, Indonesia"/>
  </r>
  <r>
    <n v="202043913"/>
    <s v="Indah Saputra"/>
    <s v="8355332453862826"/>
    <s v="5841745763698831"/>
    <s v="Bandung"/>
    <d v="1998-10-23T00:00:00"/>
    <s v="Male"/>
    <s v="Single"/>
    <n v="0"/>
    <s v="Islam"/>
    <s v="AB"/>
    <d v="2025-03-23T00:00:00"/>
    <d v="2027-03-23T00:00:00"/>
    <m/>
    <x v="0"/>
    <x v="0"/>
    <x v="1"/>
    <s v="Bachelor's Degree (S1)"/>
    <s v="Informatics Engineering"/>
    <x v="3"/>
    <s v="Information Technology"/>
    <x v="0"/>
    <s v="Programmer"/>
    <s v="G10"/>
    <s v="TK/0"/>
    <s v="163453660811325"/>
    <s v="21456815181"/>
    <s v="2568381463485"/>
    <s v="BANK BCA"/>
    <s v="7878359876"/>
    <s v="081796317337"/>
    <s v="indah.saputra@dumibumi.co.id"/>
    <s v="Bogor, Indonesia"/>
  </r>
  <r>
    <n v="202244621"/>
    <s v="Adi Hidayat"/>
    <s v="5995011732001160"/>
    <s v="6989533581855561"/>
    <s v="Subang"/>
    <d v="1999-05-22T00:00:00"/>
    <s v="Male"/>
    <s v="Single"/>
    <n v="0"/>
    <s v="Islam"/>
    <s v="AB"/>
    <d v="2022-03-01T00:00:00"/>
    <d v="2027-03-01T00:00:00"/>
    <m/>
    <x v="0"/>
    <x v="0"/>
    <x v="1"/>
    <s v="Bachelor's Degree (S1)"/>
    <s v="Law"/>
    <x v="4"/>
    <s v="Legal"/>
    <x v="0"/>
    <s v="Legal Officer"/>
    <s v="G10"/>
    <s v="TK/0"/>
    <s v="484883283654523"/>
    <s v="61125878094"/>
    <s v="4555983397827"/>
    <s v="BANK BCA"/>
    <s v="1701745986"/>
    <s v="083113698790"/>
    <s v="siti.hidayat@dumibumi.co.id"/>
    <s v="Depok, Indonesia"/>
  </r>
  <r>
    <n v="201742985"/>
    <s v="Aulia Lestari"/>
    <s v="6066822057382880"/>
    <s v="1654518842360613"/>
    <s v="Depok"/>
    <d v="1997-10-20T00:00:00"/>
    <s v="Male"/>
    <s v="Married"/>
    <n v="0"/>
    <s v="Islam"/>
    <s v="AB"/>
    <d v="2020-09-07T00:00:00"/>
    <m/>
    <m/>
    <x v="0"/>
    <x v="0"/>
    <x v="0"/>
    <s v="Bachelor's Degree (S1)"/>
    <s v="Electrical Engineering"/>
    <x v="3"/>
    <s v="Information Technology"/>
    <x v="1"/>
    <s v="IT Support"/>
    <s v="G11"/>
    <s v="K/0"/>
    <s v="406859770190964"/>
    <s v="14599637774"/>
    <s v="8928709823301"/>
    <s v="BANK BCA"/>
    <s v="4937108536"/>
    <s v="089669472628"/>
    <s v="aulia.lestari@dumibumi.co.id"/>
    <s v="Bekasi, Indonesia"/>
  </r>
  <r>
    <n v="202545966"/>
    <s v="Dewi Maulana"/>
    <s v="5351551497690578"/>
    <s v="1409403554588831"/>
    <s v="Jakarta"/>
    <d v="1999-07-07T00:00:00"/>
    <s v="Male"/>
    <s v="Single"/>
    <n v="0"/>
    <s v="Islam"/>
    <s v="B"/>
    <d v="2025-11-05T00:00:00"/>
    <d v="2027-11-05T00:00:00"/>
    <m/>
    <x v="0"/>
    <x v="0"/>
    <x v="1"/>
    <s v="Bachelor's Degree (S1)"/>
    <s v="Electrical Engineering"/>
    <x v="3"/>
    <s v="Information Technology"/>
    <x v="1"/>
    <s v="IT Support"/>
    <s v="G11"/>
    <s v="TK/0"/>
    <s v="261362182598483"/>
    <s v="47791112173"/>
    <s v="3557543282727"/>
    <s v="BANK BCA"/>
    <s v="3035909920"/>
    <s v="082429972984"/>
    <s v="dewi.maulana@dumibumi.co.id"/>
    <s v="Subang, Indonesia"/>
  </r>
  <r>
    <n v="201843438"/>
    <s v="Aulia Maulana"/>
    <s v="7415306165346308"/>
    <s v="0671008012347717"/>
    <s v="Bogor"/>
    <d v="2000-02-25T00:00:00"/>
    <s v="Female"/>
    <s v="Single"/>
    <n v="0"/>
    <s v="Islam"/>
    <s v="B"/>
    <d v="2022-12-04T00:00:00"/>
    <d v="2027-12-04T00:00:00"/>
    <m/>
    <x v="0"/>
    <x v="0"/>
    <x v="1"/>
    <s v="Bachelor's Degree (S1)"/>
    <s v="Electrical Engineering"/>
    <x v="3"/>
    <s v="Information Technology"/>
    <x v="1"/>
    <s v="IT Support"/>
    <s v="G11"/>
    <s v="TK/0"/>
    <s v="410262291636366"/>
    <s v="40660769840"/>
    <s v="4925611989804"/>
    <s v="BANK BCA"/>
    <s v="4399441423"/>
    <s v="089298086760"/>
    <s v="aulia.maulana@dumibumi.co.id"/>
    <s v="Depok, Indonesia"/>
  </r>
  <r>
    <n v="202545815"/>
    <s v="Ardi Kusuma"/>
    <s v="1154420526768749"/>
    <s v="2366370605188285"/>
    <s v="Bogor"/>
    <d v="2000-03-12T00:00:00"/>
    <s v="Male"/>
    <s v="Single"/>
    <n v="0"/>
    <s v="Islam"/>
    <s v="A"/>
    <d v="2024-06-07T00:00:00"/>
    <d v="2027-06-07T00:00:00"/>
    <m/>
    <x v="0"/>
    <x v="0"/>
    <x v="1"/>
    <s v="Bachelor's Degree (S1)"/>
    <s v="Law"/>
    <x v="4"/>
    <s v="Legal"/>
    <x v="0"/>
    <s v="Legal Officer"/>
    <s v="G10"/>
    <s v="TK/0"/>
    <s v="195065836024436"/>
    <s v="93733135915"/>
    <s v="3006394262150"/>
    <s v="BANK BCA"/>
    <s v="2056683679"/>
    <s v="089866785779"/>
    <s v="putri.kusuma@dumibumi.co.id"/>
    <s v="Bandung, Indonesia"/>
  </r>
  <r>
    <n v="201843428"/>
    <s v="Indra Ramadhan"/>
    <s v="7938862013006593"/>
    <s v="9293821270031290"/>
    <s v="Bekasi"/>
    <d v="2009-07-10T00:00:00"/>
    <s v="Male"/>
    <s v="Single"/>
    <n v="0"/>
    <s v="Islam"/>
    <s v="A"/>
    <d v="2025-11-24T00:00:00"/>
    <d v="2026-11-24T00:00:00"/>
    <m/>
    <x v="0"/>
    <x v="0"/>
    <x v="1"/>
    <s v="Vocational High School"/>
    <s v="Software Engineering (RPL)"/>
    <x v="3"/>
    <s v="Information Technology"/>
    <x v="8"/>
    <s v="Data Entry Intern"/>
    <s v="G14"/>
    <s v="TK/0"/>
    <s v="801446996424805"/>
    <s v="79209407126"/>
    <s v="7933642516424"/>
    <s v="BANK BNI"/>
    <s v="4776206322"/>
    <s v="085137067219"/>
    <s v="indah.ramadhan@dumibumi.co.id"/>
    <s v="Tangerang, Indonesia"/>
  </r>
  <r>
    <n v="201642522"/>
    <s v="Putra Saputra"/>
    <s v="0318891500811845"/>
    <s v="6252886937281379"/>
    <s v="Tangerang"/>
    <d v="2009-09-24T00:00:00"/>
    <s v="Male"/>
    <s v="Single"/>
    <n v="2"/>
    <s v="Islam"/>
    <s v="A"/>
    <d v="2026-06-01T00:00:00"/>
    <d v="2027-06-01T00:00:00"/>
    <m/>
    <x v="0"/>
    <x v="0"/>
    <x v="1"/>
    <s v="Vocational High School"/>
    <s v="Software Engineering (RPL)"/>
    <x v="3"/>
    <s v="Information Technology"/>
    <x v="8"/>
    <s v="Data Entry Intern"/>
    <s v="G14"/>
    <s v="TK/2"/>
    <s v="667967527305453"/>
    <s v="39997154725"/>
    <s v="0454696108112"/>
    <s v="BANK BNI"/>
    <s v="5650041799"/>
    <s v="089759705283"/>
    <s v="putri.saputra@dumibumi.co.id"/>
    <s v="Jakarta, Indonesia"/>
  </r>
  <r>
    <n v="202345041"/>
    <s v="Putri Kusuma"/>
    <s v="1355956124799994"/>
    <s v="9756803375309701"/>
    <s v="Cikampek"/>
    <d v="1999-04-07T00:00:00"/>
    <s v="Female"/>
    <s v="Married"/>
    <n v="1"/>
    <s v="Islam"/>
    <s v="B"/>
    <d v="2023-04-25T00:00:00"/>
    <d v="2028-04-25T00:00:00"/>
    <m/>
    <x v="0"/>
    <x v="0"/>
    <x v="1"/>
    <s v="Bachelor's Degree (S1)"/>
    <s v="Marketing"/>
    <x v="5"/>
    <s v="Marketing"/>
    <x v="0"/>
    <s v="Marketing Officer"/>
    <s v="G10"/>
    <s v="TK/0"/>
    <s v="310517269764076"/>
    <s v="21143615666"/>
    <s v="9231851433536"/>
    <s v="BANK BCA"/>
    <s v="4573727421"/>
    <s v="084506094057"/>
    <s v="putri.kusuma@dumibumi.co.id"/>
    <s v="Bekasi, Indonesia"/>
  </r>
  <r>
    <n v="201642675"/>
    <s v="Kadek Dwi Arum"/>
    <s v="8816426738794801"/>
    <s v="3204761041223093"/>
    <s v="Bukittinggi"/>
    <d v="1981-10-16T00:00:00"/>
    <s v="Female"/>
    <s v="Married"/>
    <n v="1"/>
    <s v="Buddhism"/>
    <s v="AB"/>
    <d v="2018-11-01T00:00:00"/>
    <m/>
    <m/>
    <x v="0"/>
    <x v="0"/>
    <x v="0"/>
    <s v="Doctoral Degree (S3)"/>
    <s v="Marketing"/>
    <x v="5"/>
    <s v="Marketing"/>
    <x v="4"/>
    <s v="Commercial &amp; Marketing Manager"/>
    <s v="G06"/>
    <s v="TK/0"/>
    <s v="417230406882203"/>
    <s v="77864938861"/>
    <s v="1524707776238"/>
    <s v="BANK BCA"/>
    <s v="6321666984"/>
    <s v="087740537727"/>
    <s v="dewi.pratama@dumibumi.co.id"/>
    <s v="Depok, Indonesia"/>
  </r>
  <r>
    <n v="202044084"/>
    <s v="Adi Hidayat"/>
    <s v="7892092783217236"/>
    <s v="8482558623155840"/>
    <s v="Karawang"/>
    <d v="1992-03-15T00:00:00"/>
    <s v="Male"/>
    <s v="Married"/>
    <n v="1"/>
    <s v="Protestantism"/>
    <s v="B"/>
    <d v="2015-09-10T00:00:00"/>
    <m/>
    <m/>
    <x v="0"/>
    <x v="0"/>
    <x v="0"/>
    <s v="Master's Degree (S2)"/>
    <s v="Marketing"/>
    <x v="5"/>
    <s v="Marketing"/>
    <x v="3"/>
    <s v="Marketing Supervisor"/>
    <s v="G07"/>
    <s v="K/1"/>
    <s v="468167542165060"/>
    <s v="78355514459"/>
    <s v="8523902549763"/>
    <s v="BANK BCA"/>
    <s v="3687726198"/>
    <s v="081777035231"/>
    <s v="dewi.hidayat@dumibumi.co.id"/>
    <s v="Bogor, Indonesia"/>
  </r>
  <r>
    <n v="202545791"/>
    <s v="Siti Santoso"/>
    <s v="3376305135887154"/>
    <s v="9763789239727901"/>
    <s v="Samarinda"/>
    <d v="1999-03-24T00:00:00"/>
    <s v="Female"/>
    <s v="Married"/>
    <n v="1"/>
    <s v="Islam"/>
    <s v="B"/>
    <d v="2025-05-14T00:00:00"/>
    <d v="2028-05-14T00:00:00"/>
    <m/>
    <x v="0"/>
    <x v="0"/>
    <x v="1"/>
    <s v="Bachelor's Degree (S1)"/>
    <s v="Marketing"/>
    <x v="5"/>
    <s v="Marketing"/>
    <x v="0"/>
    <s v="Marketing Officer"/>
    <s v="G10"/>
    <s v="TK/0"/>
    <s v="299971637250247"/>
    <s v="55549966415"/>
    <s v="0038918465582"/>
    <s v="BANK BCA"/>
    <s v="6261602695"/>
    <s v="086341346805"/>
    <s v="siti.santoso@dumibumi.co.id"/>
    <s v="Jakarta, Indonesia"/>
  </r>
  <r>
    <n v="201843255"/>
    <s v="Aulia Ramadhan"/>
    <s v="6994535688750328"/>
    <s v="3752767456233787"/>
    <s v="Jakarta"/>
    <d v="1999-12-25T00:00:00"/>
    <s v="Female"/>
    <s v="Married"/>
    <n v="1"/>
    <s v="Islam"/>
    <s v="B"/>
    <d v="2020-06-04T00:00:00"/>
    <m/>
    <m/>
    <x v="0"/>
    <x v="0"/>
    <x v="0"/>
    <s v="Bachelor's Degree (S1)"/>
    <s v="Marketing"/>
    <x v="5"/>
    <s v="Marketing"/>
    <x v="0"/>
    <s v="Marketing Officer"/>
    <s v="G10"/>
    <s v="TK/0"/>
    <s v="087060350503219"/>
    <s v="30708633962"/>
    <s v="2687357548424"/>
    <s v="BANK BCA"/>
    <s v="1553426166"/>
    <s v="086352494136"/>
    <s v="aulia.ramadhan@dumibumi.co.id"/>
    <s v="Bekasi, Indonesia"/>
  </r>
  <r>
    <n v="201843330"/>
    <s v="Rizky Pratama"/>
    <s v="7302165213126468"/>
    <s v="3217819719316922"/>
    <s v="Palembang"/>
    <d v="1998-10-11T00:00:00"/>
    <s v="Male"/>
    <s v="Single"/>
    <n v="0"/>
    <s v="Islam"/>
    <s v="O"/>
    <d v="2022-08-18T00:00:00"/>
    <d v="2027-08-18T00:00:00"/>
    <m/>
    <x v="0"/>
    <x v="0"/>
    <x v="1"/>
    <s v="Bachelor's Degree (S1)"/>
    <s v="Marketing"/>
    <x v="5"/>
    <s v="Marketing"/>
    <x v="0"/>
    <s v="Marketing Officer"/>
    <s v="G10"/>
    <s v="TK/0"/>
    <s v="823460245458136"/>
    <s v="85181996130"/>
    <s v="0015117678528"/>
    <s v="BANK BCA"/>
    <s v="6179363152"/>
    <s v="085728245782"/>
    <s v="indah.pratama@dumibumi.co.id"/>
    <s v="Bekasi, Indonesia"/>
  </r>
  <r>
    <n v="201843435"/>
    <s v="Lina Wijaya"/>
    <s v="8391828523321861"/>
    <s v="8468076419278285"/>
    <s v="Palembang"/>
    <d v="1998-08-27T00:00:00"/>
    <s v="Female"/>
    <s v="Single"/>
    <n v="0"/>
    <s v="Islam"/>
    <s v="O"/>
    <d v="2021-12-01T00:00:00"/>
    <d v="2027-01-01T00:00:00"/>
    <m/>
    <x v="0"/>
    <x v="0"/>
    <x v="1"/>
    <s v="Bachelor's Degree (S1)"/>
    <s v="Economics"/>
    <x v="5"/>
    <s v="Marketing"/>
    <x v="0"/>
    <s v="Marketing Officer"/>
    <s v="G10"/>
    <s v="TK/0"/>
    <s v="882424235147210"/>
    <s v="89641963835"/>
    <s v="4179379549358"/>
    <s v="BANK BCA"/>
    <s v="2725223356"/>
    <s v="087699227655"/>
    <s v="lina.wijaya@dumibumi.co.id"/>
    <s v="Bogor, Indonesia"/>
  </r>
  <r>
    <n v="201642563"/>
    <s v="Dwi Nugroho"/>
    <s v="7340237776193665"/>
    <s v="9143720146892514"/>
    <s v="Palembang"/>
    <d v="2000-12-17T00:00:00"/>
    <s v="Male"/>
    <s v="Single"/>
    <n v="0"/>
    <s v="Islam"/>
    <s v="A"/>
    <d v="2025-07-12T00:00:00"/>
    <d v="2027-07-12T00:00:00"/>
    <m/>
    <x v="0"/>
    <x v="0"/>
    <x v="1"/>
    <s v="Bachelor's Degree (S1)"/>
    <s v="Economics"/>
    <x v="5"/>
    <s v="Marketing"/>
    <x v="1"/>
    <s v="Marketing Staff"/>
    <s v="G11"/>
    <s v="TK/0"/>
    <s v="358141962209613"/>
    <s v="06889378287"/>
    <s v="7922521037898"/>
    <s v="BANK BCA"/>
    <s v="3424772402"/>
    <s v="089055181705"/>
    <s v="siti.nugroho@dumibumi.co.id"/>
    <s v="Bekasi, Indonesia"/>
  </r>
  <r>
    <n v="201642610"/>
    <s v="Lina Kurniawan"/>
    <s v="7184140215954258"/>
    <s v="7744113089319337"/>
    <s v="Cianjur"/>
    <d v="1999-09-21T00:00:00"/>
    <s v="Female"/>
    <s v="Single"/>
    <n v="0"/>
    <s v="Islam"/>
    <s v="AB"/>
    <d v="2026-02-28T00:00:00"/>
    <d v="2029-02-28T00:00:00"/>
    <m/>
    <x v="0"/>
    <x v="0"/>
    <x v="1"/>
    <s v="Bachelor's Degree (S1)"/>
    <s v="Economics"/>
    <x v="5"/>
    <s v="Marketing"/>
    <x v="1"/>
    <s v="Marketing Staff"/>
    <s v="G11"/>
    <s v="TK/0"/>
    <s v="454842782078015"/>
    <s v="62363385285"/>
    <s v="4954107409212"/>
    <s v="BANK BCA"/>
    <s v="7620560378"/>
    <s v="082858265264"/>
    <s v="lina.kurniawan@dumibumi.co.id"/>
    <s v="Tangerang, Indonesia"/>
  </r>
  <r>
    <n v="201742737"/>
    <s v="Agung Kurniawan"/>
    <s v="4917954340013273"/>
    <s v="5982989810431084"/>
    <s v="Balikpapan"/>
    <d v="1999-12-20T00:00:00"/>
    <s v="Male"/>
    <s v="Single"/>
    <n v="0"/>
    <s v="Islam"/>
    <s v="A"/>
    <d v="2026-01-02T00:00:00"/>
    <d v="2029-01-02T00:00:00"/>
    <m/>
    <x v="0"/>
    <x v="0"/>
    <x v="1"/>
    <s v="Bachelor's Degree (S1)"/>
    <s v="Economics"/>
    <x v="5"/>
    <s v="Marketing"/>
    <x v="1"/>
    <s v="Marketing Staff"/>
    <s v="G11"/>
    <s v="TK/0"/>
    <s v="858128981900922"/>
    <s v="58264541850"/>
    <s v="2462010834925"/>
    <s v="BANK BCA"/>
    <s v="0531830268"/>
    <s v="089078566739"/>
    <s v="aulia.kurniawan@dumibumi.co.id"/>
    <s v="Subang, Indonesia"/>
  </r>
  <r>
    <n v="201943726"/>
    <s v="Putri Kusuma"/>
    <s v="8334022448732764"/>
    <s v="9510033473239496"/>
    <s v="Bogor"/>
    <d v="2009-06-24T00:00:00"/>
    <s v="Female"/>
    <s v="Single"/>
    <n v="0"/>
    <s v="Islam"/>
    <s v="A"/>
    <d v="2025-09-18T00:00:00"/>
    <d v="2026-09-18T00:00:00"/>
    <m/>
    <x v="0"/>
    <x v="0"/>
    <x v="1"/>
    <s v="Vocational High School"/>
    <s v="Marketing"/>
    <x v="5"/>
    <s v="Marketing"/>
    <x v="8"/>
    <s v="Data Entry Intern"/>
    <s v="G14"/>
    <s v="TK/0"/>
    <s v="516408619761215"/>
    <s v="55514854387"/>
    <s v="6089088651935"/>
    <s v="BANK BNI"/>
    <s v="8214244657"/>
    <s v="083298962048"/>
    <s v="putri.kusuma@dumibumi.co.id"/>
    <s v="Tangerang, Indonesia"/>
  </r>
  <r>
    <n v="202044061"/>
    <s v="Lina Permata"/>
    <s v="5108388085833704"/>
    <s v="7730066736813181"/>
    <s v="Malang"/>
    <d v="1978-10-07T00:00:00"/>
    <s v="Female"/>
    <s v="Married"/>
    <n v="0"/>
    <s v="Catholicism"/>
    <s v="B"/>
    <d v="2010-08-18T00:00:00"/>
    <m/>
    <m/>
    <x v="0"/>
    <x v="0"/>
    <x v="0"/>
    <s v="Doctoral Degree (S3)"/>
    <s v="Economics"/>
    <x v="1"/>
    <s v="Nomination &amp; Remuneration Committee"/>
    <x v="4"/>
    <s v="Nomination &amp; Remuneration Committee Manager"/>
    <s v="G06"/>
    <s v="TK/0"/>
    <s v="319831044725240"/>
    <s v="47025422194"/>
    <s v="9856192042673"/>
    <s v="BANK BCA"/>
    <s v="3810524184"/>
    <s v="085474863189"/>
    <s v="lina.permata@dumibumi.co.id"/>
    <s v="Jakarta, Indonesia"/>
  </r>
  <r>
    <n v="201943744"/>
    <s v="Yusuf Saputra"/>
    <s v="8670785871787502"/>
    <s v="7422164456473144"/>
    <s v="Bandung"/>
    <d v="1990-10-12T00:00:00"/>
    <s v="Male"/>
    <s v="Married"/>
    <n v="1"/>
    <s v="Islam"/>
    <s v="A"/>
    <d v="2018-10-06T00:00:00"/>
    <m/>
    <m/>
    <x v="0"/>
    <x v="0"/>
    <x v="0"/>
    <s v="Bachelor's Degree (S1)"/>
    <s v="Communication"/>
    <x v="1"/>
    <s v="Nomination &amp; Remuneration Committee"/>
    <x v="1"/>
    <s v="Nomination &amp; Remuneration Committee Staff"/>
    <s v="G11"/>
    <s v="K/1"/>
    <s v="645676916268231"/>
    <s v="16877286479"/>
    <s v="8259190357052"/>
    <s v="BANK BCA"/>
    <s v="5974721750"/>
    <s v="086433384049"/>
    <s v="yusuf.saputra@dumibumi.co.id"/>
    <s v="Bandung, Indonesia"/>
  </r>
  <r>
    <n v="202043848"/>
    <s v="Fajar Hidayat"/>
    <s v="0417119065232199"/>
    <s v="8329678128751848"/>
    <s v="Bandung"/>
    <d v="1990-03-16T00:00:00"/>
    <s v="Male"/>
    <s v="Married"/>
    <n v="2"/>
    <s v="Islam"/>
    <s v="B"/>
    <d v="2020-01-18T00:00:00"/>
    <m/>
    <m/>
    <x v="0"/>
    <x v="0"/>
    <x v="0"/>
    <s v="Master's Degree (S2)"/>
    <s v="Statistics"/>
    <x v="1"/>
    <s v="Nomination &amp; Remuneration Committee"/>
    <x v="1"/>
    <s v="Nomination &amp; Remuneration Committee Staff"/>
    <s v="G11"/>
    <s v="K/2"/>
    <s v="582185752372391"/>
    <s v="39719999163"/>
    <s v="4123079883737"/>
    <s v="BANK BCA"/>
    <s v="4689771098"/>
    <s v="086325844884"/>
    <s v="fajar.hidayat@dumibumi.co.id"/>
    <s v="Subang, Indonesia"/>
  </r>
  <r>
    <n v="201943561"/>
    <s v="Adi Mulyadi"/>
    <s v="7105839679661585"/>
    <s v="4072729111931520"/>
    <s v="Siduarjo"/>
    <d v="1988-04-22T00:00:00"/>
    <s v="Male"/>
    <s v="Married"/>
    <n v="0"/>
    <s v="Islam"/>
    <s v="A"/>
    <d v="2019-04-06T00:00:00"/>
    <m/>
    <m/>
    <x v="0"/>
    <x v="0"/>
    <x v="0"/>
    <s v="Bachelor's Degree (S1)"/>
    <s v="Mechanical Engineering"/>
    <x v="6"/>
    <s v="PPIC"/>
    <x v="4"/>
    <s v="Demand &amp; Supply Manager"/>
    <s v="G06"/>
    <s v="K/0"/>
    <s v="618648607137565"/>
    <s v="04325330238"/>
    <s v="4316629142081"/>
    <s v="BANK BCA"/>
    <s v="8147317475"/>
    <s v="087053243478"/>
    <s v="fajar.kusuma@dumibumi.co.id"/>
    <s v="Tangerang, Indonesia"/>
  </r>
  <r>
    <n v="202043945"/>
    <s v="Muhammad Rizal"/>
    <s v="1555234553415018"/>
    <s v="3008216976125990"/>
    <s v="Jakarta"/>
    <d v="1995-12-08T00:00:00"/>
    <s v="Male"/>
    <s v="Single"/>
    <n v="0"/>
    <s v="Islam"/>
    <s v="A"/>
    <d v="2023-04-24T00:00:00"/>
    <d v="2028-04-24T00:00:00"/>
    <m/>
    <x v="0"/>
    <x v="0"/>
    <x v="1"/>
    <s v="Bachelor's Degree (S1)"/>
    <s v="Mechanical Engineering"/>
    <x v="6"/>
    <s v="PPIC"/>
    <x v="3"/>
    <s v="Production Planning &amp; Control Supervisor"/>
    <s v="G07"/>
    <s v="TK/0"/>
    <s v="159191129755048"/>
    <s v="94525963455"/>
    <s v="3385465252088"/>
    <s v="BANK BCA"/>
    <s v="9710844454"/>
    <s v="081697614300"/>
    <s v="yoga.wijaya@dumibumi.co.id"/>
    <s v="Tangerang, Indonesia"/>
  </r>
  <r>
    <n v="202244877"/>
    <s v="Guido Nagoya"/>
    <s v="2145441655168441"/>
    <s v="9280083721226353"/>
    <s v="Jakarta"/>
    <d v="1996-04-07T00:00:00"/>
    <s v="Male"/>
    <s v="Single"/>
    <n v="0"/>
    <s v="Catholicism"/>
    <s v="AB"/>
    <d v="2021-11-12T00:00:00"/>
    <d v="2027-01-12T00:00:00"/>
    <m/>
    <x v="0"/>
    <x v="0"/>
    <x v="1"/>
    <s v="Bachelor's Degree (S1)"/>
    <s v="Mechanical Engineering"/>
    <x v="6"/>
    <s v="PPIC"/>
    <x v="3"/>
    <s v="Production Planning Analyst Supervisor"/>
    <s v="G07"/>
    <s v="TK/0"/>
    <s v="437873733515271"/>
    <s v="44309622558"/>
    <s v="2074653486822"/>
    <s v="BANK BCA"/>
    <s v="7841425244"/>
    <s v="083978893157"/>
    <s v="bayu.permata@dumibumi.co.id"/>
    <s v="Tangerang, Indonesia"/>
  </r>
  <r>
    <n v="201843321"/>
    <s v="M. Raden Nalindra P."/>
    <s v="5322130789845038"/>
    <s v="6153072484024273"/>
    <s v="Yogyakarta"/>
    <d v="1997-03-11T00:00:00"/>
    <s v="Male"/>
    <s v="Single"/>
    <n v="0"/>
    <s v="Islam"/>
    <s v="O"/>
    <d v="2024-08-09T00:00:00"/>
    <d v="2029-08-09T00:00:00"/>
    <m/>
    <x v="0"/>
    <x v="0"/>
    <x v="1"/>
    <s v="Bachelor's Degree (S1)"/>
    <s v="Economics"/>
    <x v="6"/>
    <s v="PPIC"/>
    <x v="3"/>
    <s v="Inventory Control &amp; Planning Supervisor"/>
    <s v="G07"/>
    <s v="TK/0"/>
    <s v="500096061929032"/>
    <s v="70235074213"/>
    <s v="4747335239025"/>
    <s v="BANK BCA"/>
    <s v="1525322443"/>
    <s v="080826191332"/>
    <s v="yusuf.kusuma@dumibumi.co.id"/>
    <s v="Subang, Indonesia"/>
  </r>
  <r>
    <n v="202043868"/>
    <s v="Dea Karunisa"/>
    <s v="9763832461246165"/>
    <s v="2171657844166987"/>
    <s v="Surabaya"/>
    <d v="1993-11-09T00:00:00"/>
    <s v="Male"/>
    <s v="Married"/>
    <n v="1"/>
    <s v="Islam"/>
    <s v="B"/>
    <d v="2020-02-07T00:00:00"/>
    <m/>
    <m/>
    <x v="0"/>
    <x v="0"/>
    <x v="0"/>
    <s v="Bachelor's Degree (S1)"/>
    <s v="Business Administration"/>
    <x v="6"/>
    <s v="PPIC"/>
    <x v="9"/>
    <s v="Production Planning Analyst"/>
    <s v="G09"/>
    <s v="K/1"/>
    <s v="933631119813507"/>
    <s v="55247904234"/>
    <s v="4440334629087"/>
    <s v="BANK BCA"/>
    <s v="2335337580"/>
    <s v="086485414789"/>
    <s v="rahmat.sari@dumibumi.co.id"/>
    <s v="Bekasi, Indonesia"/>
  </r>
  <r>
    <n v="201843367"/>
    <s v="Mummahad Agil Firmansyah"/>
    <s v="4734850393035724"/>
    <s v="7644671232826738"/>
    <s v="Surabaya"/>
    <d v="1998-10-01T00:00:00"/>
    <s v="Male"/>
    <s v="Married"/>
    <n v="0"/>
    <s v="Islam"/>
    <s v="A"/>
    <d v="2018-09-24T00:00:00"/>
    <m/>
    <m/>
    <x v="0"/>
    <x v="0"/>
    <x v="0"/>
    <s v="High School"/>
    <s v="Automotive Engineering"/>
    <x v="6"/>
    <s v="PPIC"/>
    <x v="2"/>
    <s v="Inventory Planning &amp; Control Administrator"/>
    <s v="G12"/>
    <s v="K/0"/>
    <s v="909320424652080"/>
    <s v="40060980300"/>
    <s v="0316622387515"/>
    <s v="BANK BCA"/>
    <s v="2772134362"/>
    <s v="088198909466"/>
    <s v="bayu.kurniawan@dumibumi.co.id"/>
    <s v="Bogor, Indonesia"/>
  </r>
  <r>
    <n v="201943543"/>
    <s v="Agus Boediono"/>
    <s v="8816524994934713"/>
    <s v="5313204453528030"/>
    <s v="Malang"/>
    <d v="1998-04-14T00:00:00"/>
    <s v="Male"/>
    <s v="Single"/>
    <n v="0"/>
    <s v="Islam"/>
    <s v="O"/>
    <d v="2019-03-19T00:00:00"/>
    <m/>
    <m/>
    <x v="0"/>
    <x v="0"/>
    <x v="0"/>
    <s v="High School"/>
    <s v="Automotive Engineering"/>
    <x v="6"/>
    <s v="PPIC"/>
    <x v="2"/>
    <s v="Inventory Planning &amp; Control Administrator"/>
    <s v="G12"/>
    <s v="TK/0"/>
    <s v="656667799472908"/>
    <s v="12739079843"/>
    <s v="1485264714899"/>
    <s v="BANK BCA"/>
    <s v="0359637095"/>
    <s v="085479905718"/>
    <s v="budi.hidayat@dumibumi.co.id"/>
    <s v="Bekasi, Indonesia"/>
  </r>
  <r>
    <n v="201642732"/>
    <s v="Junaedi"/>
    <s v="6573630844724199"/>
    <s v="9798159305146066"/>
    <s v="Pasuruan"/>
    <d v="1996-11-28T00:00:00"/>
    <s v="Male"/>
    <s v="Divorced"/>
    <n v="2"/>
    <s v="Islam"/>
    <s v="O"/>
    <d v="2016-12-28T00:00:00"/>
    <m/>
    <m/>
    <x v="0"/>
    <x v="0"/>
    <x v="0"/>
    <s v="High School"/>
    <s v="Natural Sciences (IPA)"/>
    <x v="6"/>
    <s v="PPIC"/>
    <x v="2"/>
    <s v="Production Planning &amp; Control Administrator"/>
    <s v="G12"/>
    <s v="TK/2"/>
    <s v="865818580600605"/>
    <s v="82755897957"/>
    <s v="0387239765750"/>
    <s v="BANK BCA"/>
    <s v="7537689079"/>
    <s v="084234580001"/>
    <s v="andi.santoso@dumibumi.co.id"/>
    <s v="Bekasi, Indonesia"/>
  </r>
  <r>
    <n v="201743003"/>
    <s v="Yusuf Nugroho"/>
    <s v="0940279985020380"/>
    <s v="6572121056934328"/>
    <s v="Malang"/>
    <d v="1997-04-03T00:00:00"/>
    <s v="Male"/>
    <s v="Single"/>
    <n v="0"/>
    <s v="Islam"/>
    <s v="A"/>
    <d v="2017-09-25T00:00:00"/>
    <m/>
    <m/>
    <x v="0"/>
    <x v="0"/>
    <x v="0"/>
    <s v="Associate Degree (D3)"/>
    <s v="Statistics"/>
    <x v="6"/>
    <s v="PPIC"/>
    <x v="2"/>
    <s v="Production Planning &amp; Control Administrator"/>
    <s v="G12"/>
    <s v="TK/0"/>
    <s v="891782551015548"/>
    <s v="22436156760"/>
    <s v="4555286765186"/>
    <s v="BANK BCA"/>
    <s v="7868211982"/>
    <s v="083242325563"/>
    <s v="yusuf.nugroho@dumibumi.co.id"/>
    <s v="Bandung, Indonesia"/>
  </r>
  <r>
    <n v="201843298"/>
    <s v="Septiadi"/>
    <s v="3189555924673965"/>
    <s v="6628528609450282"/>
    <s v="Purwakarta"/>
    <d v="1997-01-04T00:00:00"/>
    <s v="Male"/>
    <s v="Single"/>
    <n v="0"/>
    <s v="Islam"/>
    <s v="B"/>
    <d v="2018-07-17T00:00:00"/>
    <m/>
    <m/>
    <x v="0"/>
    <x v="0"/>
    <x v="0"/>
    <s v="Bachelor's Degree (S1)"/>
    <s v="Accounting"/>
    <x v="6"/>
    <s v="PPIC"/>
    <x v="2"/>
    <s v="Production Planning &amp; Control Administrator"/>
    <s v="G12"/>
    <s v="TK/0"/>
    <s v="979865640170483"/>
    <s v="45514281920"/>
    <s v="5273870890114"/>
    <s v="BANK BCA"/>
    <s v="7506713448"/>
    <s v="088740339410"/>
    <s v="rudi.nugroho@dumibumi.co.id"/>
    <s v="Jakarta, Indonesia"/>
  </r>
  <r>
    <n v="202043978"/>
    <s v="Rudi Satria"/>
    <s v="7380153756559837"/>
    <s v="4002369205769959"/>
    <s v="Purwakarta"/>
    <d v="1998-11-27T00:00:00"/>
    <s v="Male"/>
    <s v="Married"/>
    <n v="0"/>
    <s v="Islam"/>
    <s v="AB"/>
    <d v="2020-05-27T00:00:00"/>
    <m/>
    <m/>
    <x v="0"/>
    <x v="0"/>
    <x v="0"/>
    <s v="Bachelor's Degree (S1)"/>
    <s v="Communication"/>
    <x v="6"/>
    <s v="PPIC"/>
    <x v="0"/>
    <s v="Inventory Control &amp; Planning Officer"/>
    <s v="G10"/>
    <s v="K/0"/>
    <s v="948473842677251"/>
    <s v="38934561732"/>
    <s v="0550543195668"/>
    <s v="BANK BCA"/>
    <s v="0470871976"/>
    <s v="086185133283"/>
    <s v="dedi.utami@dumibumi.co.id"/>
    <s v="Tangerang, Indonesia"/>
  </r>
  <r>
    <n v="201943552"/>
    <s v="Muhammad Yusril"/>
    <s v="3324687788722404"/>
    <s v="0686378389397759"/>
    <s v="Purwakarta"/>
    <d v="1998-10-10T00:00:00"/>
    <s v="Male"/>
    <s v="Single"/>
    <n v="0"/>
    <s v="Islam"/>
    <s v="AB"/>
    <d v="2019-03-28T00:00:00"/>
    <m/>
    <m/>
    <x v="0"/>
    <x v="0"/>
    <x v="0"/>
    <s v="Bachelor's Degree (S1)"/>
    <s v="Management"/>
    <x v="6"/>
    <s v="PPIC"/>
    <x v="0"/>
    <s v="Inventory Control &amp; Planning Officer"/>
    <s v="G10"/>
    <s v="TK/0"/>
    <s v="412105126061386"/>
    <s v="66795548152"/>
    <s v="1654030975905"/>
    <s v="BANK BCA"/>
    <s v="0526055057"/>
    <s v="085391607858"/>
    <s v="andi.santoso@dumibumi.co.id"/>
    <s v="Bekasi, Indonesia"/>
  </r>
  <r>
    <n v="202545716"/>
    <s v="Mega Dewi Sartika"/>
    <s v="4359687242906699"/>
    <s v="3619598676898943"/>
    <s v="Purwakarta"/>
    <d v="1999-04-15T00:00:00"/>
    <s v="Female"/>
    <s v="Single"/>
    <n v="0"/>
    <s v="Islam"/>
    <s v="B"/>
    <d v="2025-02-28T00:00:00"/>
    <d v="2028-02-28T00:00:00"/>
    <m/>
    <x v="0"/>
    <x v="0"/>
    <x v="1"/>
    <s v="Bachelor's Degree (S1)"/>
    <s v="Business Administration"/>
    <x v="6"/>
    <s v="PPIC"/>
    <x v="1"/>
    <s v="Production Planning Analyst Staff"/>
    <s v="G11"/>
    <s v="TK/0"/>
    <s v="628495068893968"/>
    <s v="83013503701"/>
    <s v="5938181069038"/>
    <s v="BANK BCA"/>
    <s v="8404936455"/>
    <s v="081949259478"/>
    <s v="yoga.kurniawan@dumibumi.co.id"/>
    <s v="Subang, Indonesia"/>
  </r>
  <r>
    <n v="202144402"/>
    <s v="Agus Wijaya"/>
    <s v="5711061632369852"/>
    <s v="9037798456738500"/>
    <s v="Pasuruan"/>
    <d v="1998-10-02T00:00:00"/>
    <s v="Male"/>
    <s v="Single"/>
    <n v="0"/>
    <s v="Islam"/>
    <s v="B"/>
    <d v="2021-07-25T00:00:00"/>
    <d v="2026-10-25T00:00:00"/>
    <m/>
    <x v="0"/>
    <x v="0"/>
    <x v="1"/>
    <s v="Bachelor's Degree (S1)"/>
    <s v="Industrial Engineering"/>
    <x v="6"/>
    <s v="PPIC"/>
    <x v="0"/>
    <s v="Production Planning &amp; Control Officer"/>
    <s v="G10"/>
    <s v="TK/0"/>
    <s v="123893411576489"/>
    <s v="55176539734"/>
    <s v="3765016287079"/>
    <s v="BANK BCA"/>
    <s v="9328914021"/>
    <s v="081585319770"/>
    <s v="agus.wijaya@dumibumi.co.id"/>
    <s v="Bogor, Indonesia"/>
  </r>
  <r>
    <n v="201742740"/>
    <s v="Andi Kurniawan"/>
    <s v="5247883182896725"/>
    <s v="7520486332933022"/>
    <s v="Pontianak"/>
    <d v="1998-11-09T00:00:00"/>
    <s v="Male"/>
    <s v="Single"/>
    <n v="0"/>
    <s v="Islam"/>
    <s v="O"/>
    <d v="2017-01-05T00:00:00"/>
    <m/>
    <m/>
    <x v="0"/>
    <x v="0"/>
    <x v="0"/>
    <s v="Bachelor's Degree (S1)"/>
    <s v="Mechanical Engineering"/>
    <x v="6"/>
    <s v="PPIC"/>
    <x v="0"/>
    <s v="Production Planning &amp; Control Officer"/>
    <s v="G10"/>
    <s v="TK/0"/>
    <s v="029922269024118"/>
    <s v="53235184673"/>
    <s v="8247250900831"/>
    <s v="BANK BCA"/>
    <s v="1901890482"/>
    <s v="082736493864"/>
    <s v="andi.kurniawan@dumibumi.co.id"/>
    <s v="Bekasi, Indonesia"/>
  </r>
  <r>
    <n v="201943527"/>
    <s v="Bambang Wijaya"/>
    <s v="0548317562548392"/>
    <s v="5245230852064504"/>
    <s v="Siduarjo"/>
    <d v="1973-02-14T00:00:00"/>
    <s v="Male"/>
    <s v="Married"/>
    <n v="3"/>
    <s v="Islam"/>
    <s v="B"/>
    <d v="2000-03-03T00:00:00"/>
    <m/>
    <m/>
    <x v="0"/>
    <x v="0"/>
    <x v="0"/>
    <s v="Doctoral Degree (S3)"/>
    <s v="Management"/>
    <x v="1"/>
    <s v="Board of Commissioners"/>
    <x v="6"/>
    <s v="Commissioner"/>
    <s v="G03"/>
    <s v="K/3"/>
    <s v="042522897779760"/>
    <s v="84324207712"/>
    <s v="6855408763258"/>
    <s v="BANK BCA"/>
    <s v="6514728684"/>
    <s v="086134466406"/>
    <s v="bbg.wijaya@dumibumi.co.id"/>
    <s v="Subang, Indonesia"/>
  </r>
  <r>
    <n v="202144393"/>
    <s v="Yusuf Saputra"/>
    <s v="9724027143268662"/>
    <s v="2496360035248341"/>
    <s v="Purwakarta"/>
    <d v="1989-05-20T00:00:00"/>
    <s v="Male"/>
    <s v="Married"/>
    <n v="2"/>
    <s v="Islam"/>
    <s v="A"/>
    <d v="2022-07-16T00:00:00"/>
    <m/>
    <m/>
    <x v="0"/>
    <x v="0"/>
    <x v="0"/>
    <s v="Vocational High School"/>
    <s v="Tourism"/>
    <x v="7"/>
    <s v="Production"/>
    <x v="10"/>
    <s v="Leader Engineering"/>
    <s v="G08"/>
    <s v="K/2"/>
    <n v="465366701555651"/>
    <s v="74623006286"/>
    <s v="6750136175908"/>
    <s v="BANK BCA"/>
    <s v="8679287773"/>
    <s v="086885613346"/>
    <s v="yusuf.saputra@dumibumi.co.id"/>
    <s v="Jakarta, Indonesia"/>
  </r>
  <r>
    <n v="202445543"/>
    <s v="Budi Wijaya"/>
    <s v="5161798772753918"/>
    <s v="4551002570879752"/>
    <s v="Jakarta"/>
    <d v="1978-10-07T00:00:00"/>
    <s v="Male"/>
    <s v="Divorced"/>
    <n v="1"/>
    <s v="Catholicism"/>
    <s v="B"/>
    <d v="2019-09-08T00:00:00"/>
    <m/>
    <m/>
    <x v="0"/>
    <x v="0"/>
    <x v="0"/>
    <s v="Master's Degree (S2)"/>
    <s v="Mechanical Engineering"/>
    <x v="7"/>
    <s v="Production"/>
    <x v="4"/>
    <s v="Production Manager"/>
    <s v="G06"/>
    <s v="TK/1"/>
    <s v="509150645203487"/>
    <s v="84223991152"/>
    <s v="3312690053797"/>
    <s v="BANK BCA"/>
    <s v="4309145952"/>
    <s v="086095130435"/>
    <s v="budi.wijaya@dumibumi.co.id"/>
    <s v="Tangerang, Indonesia"/>
  </r>
  <r>
    <n v="202043929"/>
    <s v="Aulia Permata"/>
    <s v="0356355813953671"/>
    <s v="3260076619459365"/>
    <s v="Jakarta"/>
    <d v="1996-05-26T00:00:00"/>
    <s v="Female"/>
    <s v="Married"/>
    <n v="0"/>
    <s v="Islam"/>
    <s v="B"/>
    <d v="2020-04-08T00:00:00"/>
    <m/>
    <m/>
    <x v="0"/>
    <x v="0"/>
    <x v="0"/>
    <s v="High School"/>
    <s v="Natural Sciences (IPA)"/>
    <x v="7"/>
    <s v="Production"/>
    <x v="10"/>
    <s v="Leader Engineering"/>
    <s v="G08"/>
    <s v="TK/0"/>
    <s v="477091490328175"/>
    <s v="91626574876"/>
    <s v="8770792467891"/>
    <s v="BANK BCA"/>
    <s v="0742246294"/>
    <s v="085725030853"/>
    <s v="aulia.permata@dumibumi.co.id"/>
    <s v="Jakarta, Indonesia"/>
  </r>
  <r>
    <n v="201642575"/>
    <s v="Indah Permata"/>
    <s v="5343472913697847"/>
    <s v="0493552594574343"/>
    <s v="Jakarta"/>
    <d v="1995-10-12T00:00:00"/>
    <s v="Female"/>
    <s v="Married"/>
    <n v="1"/>
    <s v="Islam"/>
    <s v="O"/>
    <d v="2016-07-24T00:00:00"/>
    <m/>
    <m/>
    <x v="0"/>
    <x v="0"/>
    <x v="0"/>
    <s v="Associate Degree (D3)"/>
    <s v="Statistics"/>
    <x v="7"/>
    <s v="Production"/>
    <x v="10"/>
    <s v="Leader Engineering"/>
    <s v="G08"/>
    <s v="TK/0"/>
    <s v="480866049456598"/>
    <s v="64060691791"/>
    <s v="2836529902733"/>
    <s v="BANK BCA"/>
    <s v="0876516337"/>
    <s v="089310118303"/>
    <s v="indah.permata@dumibumi.co.id"/>
    <s v="Bekasi, Indonesia"/>
  </r>
  <r>
    <n v="201742831"/>
    <s v="Dedi Hidayat"/>
    <s v="9237184536117948"/>
    <s v="8616949168909269"/>
    <s v="Karawang"/>
    <d v="1993-01-11T00:00:00"/>
    <s v="Male"/>
    <s v="Married"/>
    <n v="3"/>
    <s v="Islam"/>
    <s v="A"/>
    <d v="2017-04-06T00:00:00"/>
    <m/>
    <m/>
    <x v="0"/>
    <x v="0"/>
    <x v="0"/>
    <s v="Bachelor's Degree (S1)"/>
    <s v="Communication"/>
    <x v="7"/>
    <s v="Production"/>
    <x v="10"/>
    <s v="Leader Engineering"/>
    <s v="G08"/>
    <s v="K/3"/>
    <s v="396420169754313"/>
    <s v="44689751350"/>
    <s v="2145516190184"/>
    <s v="BANK BCA"/>
    <s v="3825311340"/>
    <s v="088469960329"/>
    <s v="dedi.hidayat@dumibumi.co.id"/>
    <s v="Subang, Indonesia"/>
  </r>
  <r>
    <n v="201943575"/>
    <s v="Yoga Kusuma"/>
    <s v="0865000522658401"/>
    <s v="5339784715990609"/>
    <s v="Siduarjo"/>
    <d v="1992-09-20T00:00:00"/>
    <s v="Male"/>
    <s v="Married"/>
    <n v="2"/>
    <s v="Islam"/>
    <s v="A"/>
    <d v="2019-04-20T00:00:00"/>
    <m/>
    <m/>
    <x v="0"/>
    <x v="0"/>
    <x v="0"/>
    <s v="Bachelor's Degree (S1)"/>
    <s v="Law"/>
    <x v="7"/>
    <s v="Production"/>
    <x v="10"/>
    <s v="Leader Engineering"/>
    <s v="G08"/>
    <s v="K/2"/>
    <s v="451424592928880"/>
    <s v="95824318614"/>
    <s v="4668981162955"/>
    <s v="BANK BCA"/>
    <s v="4793555014"/>
    <s v="080706802656"/>
    <s v="yoga.kusuma@dumibumi.co.id"/>
    <s v="Bogor, Indonesia"/>
  </r>
  <r>
    <n v="202646180"/>
    <s v="Andi Hidayat"/>
    <s v="9517875367326303"/>
    <s v="8174727723024306"/>
    <s v="Samarinda"/>
    <d v="1984-06-08T00:00:00"/>
    <s v="Male"/>
    <s v="Divorced"/>
    <n v="2"/>
    <s v="Islam"/>
    <s v="A"/>
    <d v="2016-06-07T00:00:00"/>
    <m/>
    <m/>
    <x v="0"/>
    <x v="0"/>
    <x v="0"/>
    <s v="Vocational High School"/>
    <s v="Tourism"/>
    <x v="7"/>
    <s v="Production"/>
    <x v="10"/>
    <s v="Leader Line Production"/>
    <s v="G08"/>
    <s v="TK/2"/>
    <s v="128349650931857"/>
    <s v="35568622013"/>
    <s v="9620653791270"/>
    <s v="BANK BCA"/>
    <s v="5633687561"/>
    <s v="080598971169"/>
    <s v="andi.hidayat@dumibumi.co.id"/>
    <s v="Bogor, Indonesia"/>
  </r>
  <r>
    <n v="202344981"/>
    <s v="Rizky Nugroho"/>
    <s v="3075390588565120"/>
    <s v="2385996078970310"/>
    <s v="Jakarta"/>
    <d v="1986-02-09T00:00:00"/>
    <s v="Male"/>
    <s v="Single"/>
    <n v="0"/>
    <s v="Islam"/>
    <s v="AB"/>
    <d v="2016-02-24T00:00:00"/>
    <m/>
    <m/>
    <x v="0"/>
    <x v="0"/>
    <x v="0"/>
    <s v="Vocational High School"/>
    <s v="Electrical Engineering"/>
    <x v="7"/>
    <s v="Production"/>
    <x v="10"/>
    <s v="Leader Line Production"/>
    <s v="G08"/>
    <s v="TK/0"/>
    <s v="457138765299420"/>
    <s v="29131739991"/>
    <s v="1510407008885"/>
    <s v="BANK BCA"/>
    <s v="0665090539"/>
    <s v="085817996898"/>
    <s v="rizky.nugroho@dumibumi.co.id"/>
    <s v="Bandung, Indonesia"/>
  </r>
  <r>
    <n v="202044108"/>
    <s v="Agus Kurniawan"/>
    <s v="8546749958742581"/>
    <s v="9364628743906587"/>
    <s v="Banjarbaru"/>
    <d v="1989-05-23T00:00:00"/>
    <s v="Male"/>
    <s v="Single"/>
    <n v="0"/>
    <s v="Islam"/>
    <s v="AB"/>
    <d v="2017-10-04T00:00:00"/>
    <m/>
    <m/>
    <x v="0"/>
    <x v="0"/>
    <x v="0"/>
    <s v="Bachelor's Degree (S1)"/>
    <s v="Mechanical Engineering"/>
    <x v="7"/>
    <s v="Production"/>
    <x v="3"/>
    <s v="Production Supervisor"/>
    <s v="G07"/>
    <s v="TK/0"/>
    <s v="163299936849652"/>
    <s v="34941316887"/>
    <s v="1455544387012"/>
    <s v="BANK BCA"/>
    <s v="8477010591"/>
    <s v="086370981872"/>
    <s v="agus.kurniawan@dumibumi.co.id"/>
    <s v="Depok, Indonesia"/>
  </r>
  <r>
    <n v="201542229"/>
    <s v="Budi Saputra"/>
    <s v="2173159165965906"/>
    <s v="2072594701169996"/>
    <s v="Jakarta"/>
    <d v="1987-04-04T00:00:00"/>
    <s v="Male"/>
    <s v="Married"/>
    <n v="2"/>
    <s v="Islam"/>
    <s v="A"/>
    <d v="2015-08-13T00:00:00"/>
    <m/>
    <m/>
    <x v="0"/>
    <x v="0"/>
    <x v="0"/>
    <s v="Vocational High School"/>
    <s v="Electrical Engineering"/>
    <x v="7"/>
    <s v="Production"/>
    <x v="10"/>
    <s v="Leader Line Production"/>
    <s v="G08"/>
    <s v="K/2"/>
    <s v="604549423505147"/>
    <s v="02521550883"/>
    <s v="0682077902795"/>
    <s v="BANK BCA"/>
    <s v="0356257318"/>
    <s v="087444280126"/>
    <s v="budi.saputra@dumibumi.co.id"/>
    <s v="Tangerang, Indonesia"/>
  </r>
  <r>
    <n v="201742748"/>
    <s v="Budi Kurniawan"/>
    <s v="9011539627779671"/>
    <s v="0940401704809732"/>
    <s v="Jakarta"/>
    <d v="1989-10-25T00:00:00"/>
    <s v="Male"/>
    <s v="Divorced"/>
    <n v="2"/>
    <s v="Islam"/>
    <s v="O"/>
    <d v="2017-01-13T00:00:00"/>
    <m/>
    <m/>
    <x v="0"/>
    <x v="0"/>
    <x v="0"/>
    <s v="Vocational High School"/>
    <s v="Automotive Engineering"/>
    <x v="7"/>
    <s v="Production"/>
    <x v="10"/>
    <s v="Leader Line Production"/>
    <s v="G08"/>
    <s v="TK/2"/>
    <s v="182667933020925"/>
    <s v="99343729220"/>
    <s v="2046623316077"/>
    <s v="BANK BCA"/>
    <s v="8783812269"/>
    <s v="088147142072"/>
    <s v="budi.kurniawan@dumibumi.co.id"/>
    <s v="Bandung, Indonesia"/>
  </r>
  <r>
    <n v="202445365"/>
    <s v="Budi Ramadhan"/>
    <s v="7044680841843920"/>
    <s v="6529105927182681"/>
    <s v="Jakarta"/>
    <d v="1987-08-13T00:00:00"/>
    <s v="Male"/>
    <s v="Single"/>
    <n v="0"/>
    <s v="Islam"/>
    <s v="B"/>
    <d v="2014-03-14T00:00:00"/>
    <m/>
    <m/>
    <x v="0"/>
    <x v="0"/>
    <x v="0"/>
    <s v="Vocational High School"/>
    <s v="Electrical Engineering"/>
    <x v="7"/>
    <s v="Production"/>
    <x v="10"/>
    <s v="Leader Line Production"/>
    <s v="G08"/>
    <s v="TK/0"/>
    <s v="310603730546415"/>
    <s v="31185554810"/>
    <s v="9058389079562"/>
    <s v="BANK BCA"/>
    <s v="9922545773"/>
    <s v="082092848519"/>
    <s v="budi.ramadhan@dumibumi.co.id"/>
    <s v="Bekasi, Indonesia"/>
  </r>
  <r>
    <n v="201742739"/>
    <s v="Budi Hidayat"/>
    <s v="9623697476481586"/>
    <s v="1082058755579316"/>
    <s v="Kutai Kartanegara"/>
    <d v="1988-06-19T00:00:00"/>
    <s v="Male"/>
    <s v="Single"/>
    <n v="0"/>
    <s v="Islam"/>
    <s v="B"/>
    <d v="2017-01-04T00:00:00"/>
    <m/>
    <m/>
    <x v="0"/>
    <x v="0"/>
    <x v="0"/>
    <s v="Vocational High School"/>
    <s v="Metal Engineering"/>
    <x v="7"/>
    <s v="Production"/>
    <x v="10"/>
    <s v="Leader Line Production"/>
    <s v="G08"/>
    <s v="TK/0"/>
    <s v="072067113943937"/>
    <s v="47229126832"/>
    <s v="4535345077903"/>
    <s v="BANK BCA"/>
    <s v="3683094921"/>
    <s v="086088448222"/>
    <s v="budi.hidayat@dumibumi.co.id"/>
    <s v="Tangerang, Indonesia"/>
  </r>
  <r>
    <n v="201642646"/>
    <s v="Yoga Sari"/>
    <s v="4830013967614969"/>
    <s v="8397767332885057"/>
    <s v="Pasuruan"/>
    <d v="1987-11-17T00:00:00"/>
    <s v="Male"/>
    <s v="Single"/>
    <n v="0"/>
    <s v="Islam"/>
    <s v="AB"/>
    <d v="2016-10-03T00:00:00"/>
    <m/>
    <m/>
    <x v="0"/>
    <x v="0"/>
    <x v="0"/>
    <s v="Vocational High School"/>
    <s v="Metal Engineering"/>
    <x v="7"/>
    <s v="Production"/>
    <x v="10"/>
    <s v="Leader Line Production"/>
    <s v="G08"/>
    <s v="TK/0"/>
    <s v="933249176009667"/>
    <s v="49154544360"/>
    <s v="1206413625015"/>
    <s v="BANK BCA"/>
    <s v="9728924273"/>
    <s v="083538284355"/>
    <s v="yoga.sari@dumibumi.co.id"/>
    <s v="Jakarta, Indonesia"/>
  </r>
  <r>
    <n v="201943549"/>
    <s v="Rizky Hidayat"/>
    <s v="4137252650863604"/>
    <s v="1415111111606982"/>
    <s v="Jakarta"/>
    <d v="1988-12-08T00:00:00"/>
    <s v="Male"/>
    <s v="Married"/>
    <n v="2"/>
    <s v="Islam"/>
    <s v="A"/>
    <d v="2015-03-25T00:00:00"/>
    <m/>
    <m/>
    <x v="0"/>
    <x v="0"/>
    <x v="0"/>
    <s v="Vocational High School"/>
    <s v="Electrical Engineering"/>
    <x v="7"/>
    <s v="Production"/>
    <x v="10"/>
    <s v="Leader Line Production"/>
    <s v="G08"/>
    <s v="K/2"/>
    <s v="597930620601057"/>
    <s v="78480658327"/>
    <s v="9002621247506"/>
    <s v="BANK BCA"/>
    <s v="7002852045"/>
    <s v="085744498429"/>
    <s v="rizky.hidayat@dumibumi.co.id"/>
    <s v="Bandung, Indonesia"/>
  </r>
  <r>
    <n v="201742809"/>
    <s v="Budi Pangestu"/>
    <s v="9784476820785676"/>
    <s v="0292193703478534"/>
    <s v="Cikampek"/>
    <d v="1989-06-21T00:00:00"/>
    <s v="Male"/>
    <s v="Single"/>
    <n v="0"/>
    <s v="Islam"/>
    <s v="O"/>
    <d v="2017-03-15T00:00:00"/>
    <m/>
    <m/>
    <x v="0"/>
    <x v="0"/>
    <x v="0"/>
    <s v="Vocational High School"/>
    <s v="Tourism"/>
    <x v="7"/>
    <s v="Production"/>
    <x v="10"/>
    <s v="Leader Line Production"/>
    <s v="G08"/>
    <s v="TK/0"/>
    <s v="676232395587005"/>
    <s v="30520742091"/>
    <s v="9405102500697"/>
    <s v="BANK BCA"/>
    <s v="6224325677"/>
    <s v="089789865557"/>
    <s v="budi.pangestu@dumibumi.co.id"/>
    <s v="Bandung, Indonesia"/>
  </r>
  <r>
    <n v="202646162"/>
    <s v="Dedi Kusuma"/>
    <s v="1873476915236849"/>
    <s v="7909983589365354"/>
    <s v="Kediri"/>
    <d v="2004-04-20T00:00:00"/>
    <s v="Male"/>
    <s v="Single"/>
    <n v="0"/>
    <s v="Islam"/>
    <s v="B"/>
    <d v="2026-05-20T00:00:00"/>
    <d v="2029-05-20T00:00:00"/>
    <m/>
    <x v="0"/>
    <x v="0"/>
    <x v="1"/>
    <s v="Vocational High School"/>
    <s v="Automotive Engineering"/>
    <x v="7"/>
    <s v="Quality Engineering"/>
    <x v="4"/>
    <s v="QE Manager"/>
    <s v="G06"/>
    <s v="TK/0"/>
    <s v="393728565998573"/>
    <s v="76577618224"/>
    <s v="1497007935363"/>
    <s v="BANK BCA"/>
    <s v="4800687656"/>
    <s v="082651206990"/>
    <s v="dedi.kusuma@dumibumi.co.id"/>
    <s v="Jakarta, Indonesia"/>
  </r>
  <r>
    <n v="201943644"/>
    <s v="Bayu Maulana"/>
    <s v="0717298336305891"/>
    <s v="4413204743817581"/>
    <s v="Cikampek"/>
    <d v="2004-08-11T00:00:00"/>
    <s v="Male"/>
    <s v="Single"/>
    <n v="1"/>
    <s v="Islam"/>
    <s v="A"/>
    <d v="2024-06-28T00:00:00"/>
    <d v="2027-06-28T00:00:00"/>
    <m/>
    <x v="0"/>
    <x v="0"/>
    <x v="1"/>
    <s v="Vocational High School"/>
    <s v="Automotive Engineering"/>
    <x v="7"/>
    <s v="Quality Assurance"/>
    <x v="4"/>
    <s v="QA Manager"/>
    <s v="G06"/>
    <s v="TK/1"/>
    <s v="701706279589707"/>
    <s v="90056136826"/>
    <s v="3722945702820"/>
    <s v="BANK BCA"/>
    <s v="1690620008"/>
    <s v="087054255114"/>
    <s v="bayu.maulana@dumibumi.co.id"/>
    <s v="Jakarta, Indonesia"/>
  </r>
  <r>
    <n v="202344946"/>
    <s v="Agus Kurniawan"/>
    <s v="3596968878821610"/>
    <s v="1290941556199667"/>
    <s v="Kediri"/>
    <d v="2004-06-15T00:00:00"/>
    <s v="Male"/>
    <s v="Single"/>
    <n v="0"/>
    <s v="Islam"/>
    <s v="AB"/>
    <d v="2023-01-20T00:00:00"/>
    <d v="2028-01-20T00:00:00"/>
    <m/>
    <x v="0"/>
    <x v="0"/>
    <x v="1"/>
    <s v="Vocational High School"/>
    <s v="Automotive Engineering"/>
    <x v="7"/>
    <s v="Quality Engineering"/>
    <x v="3"/>
    <s v="Quality Engineering Supervisor"/>
    <s v="G07"/>
    <s v="TK/0"/>
    <s v="068889204946513"/>
    <s v="15727373981"/>
    <s v="8384511831435"/>
    <s v="BANK BCA"/>
    <s v="1039774180"/>
    <s v="089024581804"/>
    <s v="agus.kurniawan@dumibumi.co.id"/>
    <s v="Subang, Indonesia"/>
  </r>
  <r>
    <n v="201943650"/>
    <s v="Dedi Sari"/>
    <s v="6165108412426944"/>
    <s v="8036069344204140"/>
    <s v="Bogor"/>
    <d v="2004-05-26T00:00:00"/>
    <s v="Male"/>
    <s v="Single"/>
    <n v="0"/>
    <s v="Islam"/>
    <s v="O"/>
    <d v="2024-07-04T00:00:00"/>
    <d v="2027-07-04T00:00:00"/>
    <m/>
    <x v="0"/>
    <x v="0"/>
    <x v="1"/>
    <s v="Vocational High School"/>
    <s v="Automotive Engineering"/>
    <x v="7"/>
    <s v="Quality Assurance"/>
    <x v="3"/>
    <s v="Quality Control Supervisor"/>
    <s v="G07"/>
    <s v="TK/0"/>
    <s v="708946588737673"/>
    <s v="75413206314"/>
    <s v="0275280076540"/>
    <s v="BANK BCA"/>
    <s v="8876631178"/>
    <s v="081590992749"/>
    <s v="dedi.sari@dumibumi.co.id"/>
    <s v="Tangerang, Indonesia"/>
  </r>
  <r>
    <n v="202144397"/>
    <s v="Farhan Santoso"/>
    <s v="1951868988437053"/>
    <s v="6333807636555146"/>
    <s v="Bogor"/>
    <d v="1990-03-21T00:00:00"/>
    <s v="Male"/>
    <s v="Married"/>
    <n v="3"/>
    <s v="Islam"/>
    <s v="A"/>
    <d v="2014-07-20T00:00:00"/>
    <m/>
    <m/>
    <x v="0"/>
    <x v="0"/>
    <x v="0"/>
    <s v="Vocational High School"/>
    <s v="Automotive Engineering"/>
    <x v="7"/>
    <s v="Production"/>
    <x v="10"/>
    <s v="Leader Line Production"/>
    <s v="G08"/>
    <s v="K/3"/>
    <s v="820254994747861"/>
    <s v="09241000247"/>
    <s v="4067667977150"/>
    <s v="BANK BCA"/>
    <s v="7562380157"/>
    <s v="081984483820"/>
    <s v="farhan.santoso@dumibumi.co.id"/>
    <s v="Bogor, Indonesia"/>
  </r>
  <r>
    <n v="202344977"/>
    <s v="Yoga Pratama"/>
    <s v="0169868500176634"/>
    <s v="3166960795907938"/>
    <s v="Bogor"/>
    <d v="2004-01-07T00:00:00"/>
    <s v="Male"/>
    <s v="Single"/>
    <n v="0"/>
    <s v="Islam"/>
    <s v="A"/>
    <d v="2023-02-20T00:00:00"/>
    <d v="2028-02-20T00:00:00"/>
    <m/>
    <x v="0"/>
    <x v="0"/>
    <x v="1"/>
    <s v="Vocational High School"/>
    <s v="Automotive Engineering"/>
    <x v="7"/>
    <s v="Quality Engineering"/>
    <x v="11"/>
    <s v="QE Staff"/>
    <s v="G13"/>
    <s v="TK/0"/>
    <s v="001088141153557"/>
    <s v="09272279687"/>
    <s v="7044400568716"/>
    <s v="BANK BCA"/>
    <s v="0657814922"/>
    <s v="086918751143"/>
    <s v="yoga.pratama@dumibumi.co.id"/>
    <s v="Bogor, Indonesia"/>
  </r>
  <r>
    <n v="201943823"/>
    <s v="Rizky Nugroho"/>
    <s v="8698033968323955"/>
    <s v="5246238651221120"/>
    <s v="Balikpapan"/>
    <d v="2004-12-08T00:00:00"/>
    <s v="Male"/>
    <s v="Single"/>
    <n v="0"/>
    <s v="Islam"/>
    <s v="A"/>
    <d v="2024-12-24T00:00:00"/>
    <d v="2029-12-24T00:00:00"/>
    <m/>
    <x v="0"/>
    <x v="0"/>
    <x v="1"/>
    <s v="Vocational High School"/>
    <s v="Automotive Engineering"/>
    <x v="7"/>
    <s v="Quality Engineering"/>
    <x v="11"/>
    <s v="QE Staff"/>
    <s v="G13"/>
    <s v="TK/0"/>
    <s v="244031643913590"/>
    <s v="73731593225"/>
    <s v="1981507611524"/>
    <s v="BANK BCA"/>
    <s v="3770960777"/>
    <s v="089418922823"/>
    <s v="rizky.nugroho@dumibumi.co.id"/>
    <s v="Bandung, Indonesia"/>
  </r>
  <r>
    <n v="202144538"/>
    <s v="Rizky Santoso"/>
    <s v="3436593872850993"/>
    <s v="2433250722310176"/>
    <s v="Jakarta"/>
    <d v="1990-05-09T00:00:00"/>
    <s v="Male"/>
    <s v="Married"/>
    <n v="3"/>
    <s v="Islam"/>
    <s v="B"/>
    <d v="2014-12-08T00:00:00"/>
    <m/>
    <m/>
    <x v="0"/>
    <x v="0"/>
    <x v="0"/>
    <s v="Vocational High School"/>
    <s v="Automotive Engineering"/>
    <x v="7"/>
    <s v="Production"/>
    <x v="10"/>
    <s v="Leader Line Production"/>
    <s v="G08"/>
    <s v="K/3"/>
    <s v="108448065575099"/>
    <s v="77954685125"/>
    <s v="2922819489568"/>
    <s v="BANK BCA"/>
    <s v="5856834970"/>
    <s v="083585779594"/>
    <s v="rizky.santoso@dumibumi.co.id"/>
    <s v="Tangerang, Indonesia"/>
  </r>
  <r>
    <n v="201642544"/>
    <s v="Budi Kurniawan"/>
    <s v="1339022866059691"/>
    <s v="3222346826945359"/>
    <s v="Jakarta"/>
    <d v="2004-04-16T00:00:00"/>
    <s v="Male"/>
    <s v="Single"/>
    <n v="1"/>
    <s v="Islam"/>
    <s v="AB"/>
    <d v="2023-06-23T00:00:00"/>
    <d v="2028-06-23T00:00:00"/>
    <m/>
    <x v="0"/>
    <x v="0"/>
    <x v="1"/>
    <s v="Vocational High School"/>
    <s v="Automotive Engineering"/>
    <x v="7"/>
    <s v="Quality Assurance"/>
    <x v="11"/>
    <s v="Quality Control Inspector"/>
    <s v="G13"/>
    <s v="TK/1"/>
    <s v="919036740483532"/>
    <s v="47935127686"/>
    <s v="7097733620479"/>
    <s v="BANK BCA"/>
    <s v="6969380214"/>
    <s v="081086801644"/>
    <s v="budi.kurniawan@dumibumi.co.id"/>
    <s v="Bandung, Indonesia"/>
  </r>
  <r>
    <n v="202043904"/>
    <s v="Dedi Pratama"/>
    <s v="2904072459362088"/>
    <s v="9062952394964476"/>
    <s v="Pasuruan"/>
    <d v="2004-09-08T00:00:00"/>
    <s v="Male"/>
    <s v="Single"/>
    <n v="0"/>
    <s v="Islam"/>
    <s v="B"/>
    <d v="2023-03-14T00:00:00"/>
    <d v="2028-03-14T00:00:00"/>
    <m/>
    <x v="0"/>
    <x v="0"/>
    <x v="1"/>
    <s v="Vocational High School"/>
    <s v="Automotive Engineering"/>
    <x v="7"/>
    <s v="Quality Assurance"/>
    <x v="11"/>
    <s v="Quality Control Inspector"/>
    <s v="G13"/>
    <s v="TK/0"/>
    <s v="415171256317573"/>
    <s v="91438937222"/>
    <s v="0700722137349"/>
    <s v="BANK BCA"/>
    <s v="1367292715"/>
    <s v="087642922214"/>
    <s v="dedi.pratama@dumibumi.co.id"/>
    <s v="Tangerang, Indonesia"/>
  </r>
  <r>
    <n v="201943483"/>
    <s v="Budi Kurniawan"/>
    <s v="3736063466227673"/>
    <s v="0685778306944719"/>
    <s v="Palembang"/>
    <d v="2004-06-25T00:00:00"/>
    <s v="Male"/>
    <s v="Single"/>
    <n v="0"/>
    <s v="Islam"/>
    <s v="A"/>
    <d v="2024-01-18T00:00:00"/>
    <d v="2029-01-18T00:00:00"/>
    <m/>
    <x v="0"/>
    <x v="0"/>
    <x v="1"/>
    <s v="Vocational High School"/>
    <s v="Automotive Engineering"/>
    <x v="7"/>
    <s v="Quality Assurance"/>
    <x v="11"/>
    <s v="Quality Control Inspector"/>
    <s v="G13"/>
    <s v="TK/0"/>
    <s v="821303957678072"/>
    <s v="64923584561"/>
    <s v="5494511053290"/>
    <s v="BANK BCA"/>
    <s v="5646424249"/>
    <s v="080546603476"/>
    <s v="budi.kurniawan@dumibumi.co.id"/>
    <s v="Bogor, Indonesia"/>
  </r>
  <r>
    <n v="202144394"/>
    <s v="Farhan Sari"/>
    <s v="1049721316624738"/>
    <s v="3876312460663168"/>
    <s v="Cikampek"/>
    <d v="1989-08-21T00:00:00"/>
    <s v="Male"/>
    <s v="Married"/>
    <n v="2"/>
    <s v="Islam"/>
    <s v="AB"/>
    <d v="2014-07-17T00:00:00"/>
    <m/>
    <m/>
    <x v="0"/>
    <x v="0"/>
    <x v="0"/>
    <s v="Vocational High School"/>
    <s v="Automotive Engineering"/>
    <x v="7"/>
    <s v="Production"/>
    <x v="10"/>
    <s v="Leader Line Production"/>
    <s v="G08"/>
    <s v="K/2"/>
    <s v="193390826592612"/>
    <s v="36456156550"/>
    <s v="1502894281335"/>
    <s v="BANK BCA"/>
    <s v="8755740921"/>
    <s v="082402749456"/>
    <s v="farhan.sari@dumibumi.co.id"/>
    <s v="Depok, Indonesia"/>
  </r>
  <r>
    <n v="202043986"/>
    <s v="Fajar Hidayat"/>
    <s v="9817415118981056"/>
    <s v="1791556384783341"/>
    <s v="Cianjur"/>
    <d v="2004-01-19T00:00:00"/>
    <s v="Male"/>
    <s v="Single"/>
    <n v="0"/>
    <s v="Islam"/>
    <s v="A"/>
    <d v="2025-06-04T00:00:00"/>
    <d v="2030-06-04T00:00:00"/>
    <m/>
    <x v="0"/>
    <x v="0"/>
    <x v="1"/>
    <s v="Vocational High School"/>
    <s v="Automotive Engineering"/>
    <x v="7"/>
    <s v="Quality Assurance"/>
    <x v="11"/>
    <s v="Quality Control Inspector"/>
    <s v="G13"/>
    <s v="TK/0"/>
    <s v="918819269665278"/>
    <s v="02849775074"/>
    <s v="7001673044632"/>
    <s v="BANK BCA"/>
    <s v="1906250925"/>
    <s v="080859995183"/>
    <s v="fajar.hidayat@dumibumi.co.id"/>
    <s v="Depok, Indonesia"/>
  </r>
  <r>
    <n v="201843377"/>
    <s v="Rudi Lestari"/>
    <s v="2864405270891096"/>
    <s v="5012106483619561"/>
    <s v="Bogor"/>
    <d v="2004-10-24T00:00:00"/>
    <s v="Male"/>
    <s v="Single"/>
    <n v="0"/>
    <s v="Islam"/>
    <s v="A"/>
    <d v="2023-10-04T00:00:00"/>
    <d v="2026-10-04T00:00:00"/>
    <m/>
    <x v="0"/>
    <x v="0"/>
    <x v="1"/>
    <s v="Vocational High School"/>
    <s v="Automotive Engineering"/>
    <x v="7"/>
    <s v="Quality Assurance"/>
    <x v="11"/>
    <s v="Quality Control In-Coming"/>
    <s v="G13"/>
    <s v="TK/0"/>
    <s v="490769791204565"/>
    <s v="83251599547"/>
    <s v="4773687220575"/>
    <s v="BANK BCA"/>
    <s v="8673316611"/>
    <s v="086279933565"/>
    <s v="rudi.lestari@dumibumi.co.id"/>
    <s v="Subang, Indonesia"/>
  </r>
  <r>
    <n v="201843399"/>
    <s v="Dedi Falah"/>
    <s v="3859824657509058"/>
    <s v="4017985505156077"/>
    <s v="Jakarta"/>
    <d v="1990-07-25T00:00:00"/>
    <s v="Male"/>
    <s v="Married"/>
    <n v="0"/>
    <s v="Islam"/>
    <s v="O"/>
    <d v="2016-10-26T00:00:00"/>
    <m/>
    <m/>
    <x v="0"/>
    <x v="0"/>
    <x v="0"/>
    <s v="Vocational High School"/>
    <s v="Automotive Engineering"/>
    <x v="7"/>
    <s v="Production"/>
    <x v="10"/>
    <s v="Leader Line Production"/>
    <s v="G08"/>
    <s v="K/0"/>
    <s v="131142280428511"/>
    <s v="43297550302"/>
    <s v="0517219387234"/>
    <s v="BANK BCA"/>
    <s v="5491294077"/>
    <s v="083447477426"/>
    <s v="dedi.utami@dumibumi.co.id"/>
    <s v="Depok, Indonesia"/>
  </r>
  <r>
    <n v="201742743"/>
    <s v="Budi Permata"/>
    <s v="2428371589558866"/>
    <s v="4541756273063347"/>
    <s v="Bogor"/>
    <d v="2004-02-04T00:00:00"/>
    <s v="Male"/>
    <s v="Single"/>
    <n v="0"/>
    <s v="Islam"/>
    <s v="B"/>
    <d v="2023-01-08T00:00:00"/>
    <d v="2028-01-08T00:00:00"/>
    <m/>
    <x v="0"/>
    <x v="0"/>
    <x v="1"/>
    <s v="Vocational High School"/>
    <s v="Automotive Engineering"/>
    <x v="7"/>
    <s v="Quality Assurance"/>
    <x v="11"/>
    <s v="Quality Control In-Coming"/>
    <s v="G13"/>
    <s v="TK/0"/>
    <s v="217489391093167"/>
    <s v="08217428077"/>
    <s v="9384388232912"/>
    <s v="BANK BCA"/>
    <s v="0858461272"/>
    <s v="082175298188"/>
    <s v="budi.permata@dumibumi.co.id"/>
    <s v="Bekasi, Indonesia"/>
  </r>
  <r>
    <n v="202445481"/>
    <s v="Budi Santoso"/>
    <s v="5289797329939373"/>
    <s v="0117534894199761"/>
    <s v="Balikpapan"/>
    <d v="2004-08-04T00:00:00"/>
    <s v="Male"/>
    <s v="Single"/>
    <n v="0"/>
    <s v="Protestantism"/>
    <s v="A"/>
    <d v="2024-07-08T00:00:00"/>
    <d v="2027-07-08T00:00:00"/>
    <m/>
    <x v="0"/>
    <x v="0"/>
    <x v="1"/>
    <s v="Vocational High School"/>
    <s v="Automotive Engineering"/>
    <x v="7"/>
    <s v="Quality Engineering"/>
    <x v="11"/>
    <s v="QE Staff"/>
    <s v="G13"/>
    <s v="TK/0"/>
    <s v="325651655705163"/>
    <s v="90136483816"/>
    <s v="3507844395738"/>
    <s v="BANK BCA"/>
    <s v="8947161797"/>
    <s v="088540282931"/>
    <s v="budi.santoso@dumibumi.co.id"/>
    <s v="Subang, Indonesia"/>
  </r>
  <r>
    <n v="201843238"/>
    <s v="Yusuf Pangestu"/>
    <s v="2924711406793736"/>
    <s v="5415270243272780"/>
    <s v="Pasuruan"/>
    <d v="1991-01-26T00:00:00"/>
    <s v="Male"/>
    <s v="Divorced"/>
    <n v="1"/>
    <s v="Islam"/>
    <s v="O"/>
    <d v="2018-05-18T00:00:00"/>
    <m/>
    <m/>
    <x v="0"/>
    <x v="0"/>
    <x v="0"/>
    <s v="Vocational High School"/>
    <s v="Automotive Engineering"/>
    <x v="7"/>
    <s v="Production"/>
    <x v="10"/>
    <s v="Leader Line Production"/>
    <s v="G08"/>
    <s v="TK/1"/>
    <s v="281302473025251"/>
    <s v="28991823623"/>
    <s v="5503118935607"/>
    <s v="BANK BCA"/>
    <s v="1161984430"/>
    <s v="085803797704"/>
    <s v="yusuf.pangestu@dumibumi.co.id"/>
    <s v="Bekasi, Indonesia"/>
  </r>
  <r>
    <n v="202345221"/>
    <s v="Farhan Saputra"/>
    <s v="3474843442719216"/>
    <s v="7120018545744113"/>
    <s v="Aceh"/>
    <d v="2003-06-11T00:00:00"/>
    <s v="Male"/>
    <s v="Single"/>
    <n v="0"/>
    <s v="Islam"/>
    <s v="A"/>
    <d v="2023-10-22T00:00:00"/>
    <d v="2026-10-22T00:00:00"/>
    <m/>
    <x v="0"/>
    <x v="0"/>
    <x v="1"/>
    <s v="Vocational High School"/>
    <s v="Automotive Engineering"/>
    <x v="7"/>
    <s v="Quality Engineering"/>
    <x v="11"/>
    <s v="QE Staff"/>
    <s v="G13"/>
    <s v="TK/0"/>
    <s v="757361029654409"/>
    <s v="13360417968"/>
    <s v="9321812530034"/>
    <s v="BANK BCA"/>
    <s v="1900856574"/>
    <s v="083789697943"/>
    <s v="farhan.saputra@dumibumi.co.id"/>
    <s v="Bogor, Indonesia"/>
  </r>
  <r>
    <n v="201743012"/>
    <s v="Lina Lestari"/>
    <s v="2304456778264317"/>
    <s v="5153415616127595"/>
    <s v="Bogor"/>
    <d v="2002-03-20T00:00:00"/>
    <s v="Female"/>
    <s v="Single"/>
    <n v="0"/>
    <s v="Islam"/>
    <s v="A"/>
    <d v="2025-10-04T00:00:00"/>
    <d v="2028-10-04T00:00:00"/>
    <m/>
    <x v="0"/>
    <x v="0"/>
    <x v="1"/>
    <s v="Vocational High School"/>
    <s v="Automotive Engineering"/>
    <x v="7"/>
    <s v="Production"/>
    <x v="2"/>
    <s v="Production Administrator"/>
    <s v="G12"/>
    <s v="TK/0"/>
    <s v="475139940093285"/>
    <s v="47842300804"/>
    <s v="8486996833267"/>
    <s v="BANK BCA"/>
    <s v="2493032553"/>
    <s v="088355921724"/>
    <s v="lina.lestari@dumibumi.co.id"/>
    <s v="Jakarta, Indonesia"/>
  </r>
  <r>
    <n v="201943716"/>
    <s v="Rizky Utami"/>
    <s v="6973822798543946"/>
    <s v="3280136393109323"/>
    <s v="Cianjur"/>
    <d v="2004-12-24T00:00:00"/>
    <s v="Male"/>
    <s v="Single"/>
    <n v="0"/>
    <s v="Islam"/>
    <s v="B"/>
    <d v="2024-09-08T00:00:00"/>
    <d v="2027-09-08T00:00:00"/>
    <m/>
    <x v="0"/>
    <x v="0"/>
    <x v="1"/>
    <s v="Vocational High School"/>
    <s v="Automotive Engineering"/>
    <x v="7"/>
    <s v="Quality Engineering"/>
    <x v="11"/>
    <s v="QE Staff"/>
    <s v="G13"/>
    <s v="TK/0"/>
    <s v="415106229033344"/>
    <s v="84955892422"/>
    <s v="5956247543639"/>
    <s v="BANK BCA"/>
    <s v="2730702609"/>
    <s v="088848556100"/>
    <s v="rizky.utami@dumibumi.co.id"/>
    <s v="Depok, Indonesia"/>
  </r>
  <r>
    <n v="202044015"/>
    <s v="Rudi Kurniawan"/>
    <s v="6131654214931944"/>
    <s v="5503175085708991"/>
    <s v="Jakarta"/>
    <d v="2004-07-23T00:00:00"/>
    <s v="Male"/>
    <s v="Single"/>
    <n v="0"/>
    <s v="Islam"/>
    <s v="B"/>
    <d v="2025-07-03T00:00:00"/>
    <d v="2030-07-03T00:00:00"/>
    <m/>
    <x v="0"/>
    <x v="0"/>
    <x v="1"/>
    <s v="Vocational High School"/>
    <s v="Automotive Engineering"/>
    <x v="7"/>
    <s v="Production"/>
    <x v="11"/>
    <s v="Production Operator"/>
    <s v="G13"/>
    <s v="TK/0"/>
    <s v="915998160531725"/>
    <s v="84289639921"/>
    <s v="7801491442136"/>
    <s v="BANK BCA"/>
    <s v="1516175900"/>
    <s v="085629130048"/>
    <s v="rudi.kurniawan@dumibumi.co.id"/>
    <s v="Bandung, Indonesia"/>
  </r>
  <r>
    <n v="201642592"/>
    <s v="Fajar Kurniawan"/>
    <s v="5474777847283019"/>
    <s v="0832875023224252"/>
    <s v="Bekasi"/>
    <d v="2003-05-20T00:00:00"/>
    <s v="Male"/>
    <s v="Single"/>
    <n v="0"/>
    <s v="Islam"/>
    <s v="B"/>
    <d v="2023-08-10T00:00:00"/>
    <d v="2028-08-10T00:00:00"/>
    <m/>
    <x v="0"/>
    <x v="0"/>
    <x v="1"/>
    <s v="Vocational High School"/>
    <s v="Automotive Engineering"/>
    <x v="7"/>
    <s v="Production"/>
    <x v="11"/>
    <s v="Production Operator"/>
    <s v="G13"/>
    <s v="TK/0"/>
    <s v="101965014898769"/>
    <s v="17712249208"/>
    <s v="9252638854012"/>
    <s v="BANK BCA"/>
    <s v="5067285384"/>
    <s v="080612289641"/>
    <s v="fajar.kurniawan@dumibumi.co.id"/>
    <s v="Subang, Indonesia"/>
  </r>
  <r>
    <n v="202044004"/>
    <s v="Putri Saputra"/>
    <s v="1862902347555989"/>
    <s v="4653514411199416"/>
    <s v="Bogor"/>
    <d v="2003-03-27T00:00:00"/>
    <s v="Female"/>
    <s v="Single"/>
    <n v="0"/>
    <s v="Islam"/>
    <s v="A"/>
    <d v="2025-06-22T00:00:00"/>
    <d v="2027-06-22T00:00:00"/>
    <m/>
    <x v="0"/>
    <x v="0"/>
    <x v="1"/>
    <s v="Vocational High School"/>
    <s v="Automotive Engineering"/>
    <x v="7"/>
    <s v="Production"/>
    <x v="2"/>
    <s v="Production Administrator"/>
    <s v="G12"/>
    <s v="TK/0"/>
    <s v="078748795276794"/>
    <s v="78842445158"/>
    <s v="4452222450728"/>
    <s v="BANK BCA"/>
    <s v="0733461170"/>
    <s v="080585597748"/>
    <s v="putri.saputra@dumibumi.co.id"/>
    <s v="Subang, Indonesia"/>
  </r>
  <r>
    <n v="201843144"/>
    <s v="Aulia Lestari"/>
    <s v="1978183490088290"/>
    <s v="5198260555548699"/>
    <s v="Palembang"/>
    <d v="2004-12-24T00:00:00"/>
    <s v="Female"/>
    <s v="Single"/>
    <n v="0"/>
    <s v="Islam"/>
    <s v="A"/>
    <d v="2025-02-13T00:00:00"/>
    <d v="2028-02-13T00:00:00"/>
    <m/>
    <x v="0"/>
    <x v="0"/>
    <x v="1"/>
    <s v="Vocational High School"/>
    <s v="Automotive Engineering"/>
    <x v="7"/>
    <s v="Production"/>
    <x v="2"/>
    <s v="Production Administrator"/>
    <s v="G12"/>
    <s v="TK/0"/>
    <s v="774037427745120"/>
    <s v="14447634988"/>
    <s v="1101026786253"/>
    <s v="BANK BCA"/>
    <s v="0776103646"/>
    <s v="089174810197"/>
    <s v="aulia.lestari@dumibumi.co.id"/>
    <s v="Bandung, Indonesia"/>
  </r>
  <r>
    <n v="201642621"/>
    <s v="Lina Hidayat"/>
    <s v="0210359496236162"/>
    <s v="1526996537641057"/>
    <s v="Aceh"/>
    <d v="2003-07-07T00:00:00"/>
    <s v="Female"/>
    <s v="Single"/>
    <n v="2"/>
    <s v="Islam"/>
    <s v="B"/>
    <d v="2026-06-08T00:00:00"/>
    <d v="2029-06-08T00:00:00"/>
    <m/>
    <x v="0"/>
    <x v="0"/>
    <x v="1"/>
    <s v="Vocational High School"/>
    <s v="Automotive Engineering"/>
    <x v="7"/>
    <s v="Production"/>
    <x v="2"/>
    <s v="Production Administrator"/>
    <s v="G12"/>
    <s v="TK/2"/>
    <s v="137998657494305"/>
    <s v="38659418575"/>
    <s v="1784830111456"/>
    <s v="BANK BCA"/>
    <s v="6435460054"/>
    <s v="086677373190"/>
    <s v="lina.hidayat@dumibumi.co.id"/>
    <s v="Jakarta, Indonesia"/>
  </r>
  <r>
    <n v="201943782"/>
    <s v="Budi Kurniawan"/>
    <s v="2562130481356797"/>
    <s v="5518348379479844"/>
    <s v="Cianjur"/>
    <d v="2003-02-02T00:00:00"/>
    <s v="Male"/>
    <s v="Single"/>
    <n v="0"/>
    <s v="Islam"/>
    <s v="B"/>
    <d v="2024-11-13T00:00:00"/>
    <d v="2026-11-13T00:00:00"/>
    <m/>
    <x v="0"/>
    <x v="0"/>
    <x v="1"/>
    <s v="Vocational High School"/>
    <s v="Automotive Engineering"/>
    <x v="7"/>
    <s v="Production"/>
    <x v="11"/>
    <s v="Production Operator"/>
    <s v="G13"/>
    <s v="TK/0"/>
    <s v="903064670581107"/>
    <s v="74709338083"/>
    <s v="0426291168369"/>
    <s v="BANK BCA"/>
    <s v="4138686249"/>
    <s v="085753451149"/>
    <s v="budi.kurniawan@dumibumi.co.id"/>
    <s v="Bandung, Indonesia"/>
  </r>
  <r>
    <n v="201642425"/>
    <s v="Dedi Kusuma"/>
    <s v="6542285951551805"/>
    <s v="3343325731777384"/>
    <s v="Bekasi"/>
    <d v="2003-04-25T00:00:00"/>
    <s v="Male"/>
    <s v="Single"/>
    <n v="0"/>
    <s v="Islam"/>
    <s v="B"/>
    <d v="2023-02-25T00:00:00"/>
    <d v="2028-02-25T00:00:00"/>
    <m/>
    <x v="0"/>
    <x v="0"/>
    <x v="1"/>
    <s v="Vocational High School"/>
    <s v="Automotive Engineering"/>
    <x v="7"/>
    <s v="Production"/>
    <x v="11"/>
    <s v="Production Operator"/>
    <s v="G13"/>
    <s v="TK/0"/>
    <s v="645015559377506"/>
    <s v="96345552370"/>
    <s v="9363964618343"/>
    <s v="BANK BCA"/>
    <s v="0746534226"/>
    <s v="089282484353"/>
    <s v="dedi.kusuma@dumibumi.co.id"/>
    <s v="Subang, Indonesia"/>
  </r>
  <r>
    <n v="201742748"/>
    <s v="Rina Ramadhan"/>
    <s v="8448893214172315"/>
    <s v="1969334358586716"/>
    <s v="Mojokerto"/>
    <d v="2001-12-25T00:00:00"/>
    <s v="Female"/>
    <s v="Single"/>
    <n v="2"/>
    <s v="Islam"/>
    <s v="B"/>
    <d v="2025-01-13T00:00:00"/>
    <d v="2030-01-13T00:00:00"/>
    <m/>
    <x v="0"/>
    <x v="0"/>
    <x v="1"/>
    <s v="Vocational High School"/>
    <s v="Automotive Engineering"/>
    <x v="7"/>
    <s v="Production"/>
    <x v="2"/>
    <s v="Production Administrator"/>
    <s v="G12"/>
    <s v="TK/2"/>
    <s v="161139277391372"/>
    <s v="56065684159"/>
    <s v="4243299342631"/>
    <s v="BANK BCA"/>
    <s v="7085364136"/>
    <s v="083192276511"/>
    <s v="rina.ramadhan@dumibumi.co.id"/>
    <s v="Jakarta, Indonesia"/>
  </r>
  <r>
    <n v="201642724"/>
    <s v="Agus Lesmana"/>
    <s v="0379144248287393"/>
    <s v="9498475624589123"/>
    <s v="Kota Metro"/>
    <d v="2003-03-16T00:00:00"/>
    <s v="Male"/>
    <s v="Single"/>
    <n v="0"/>
    <s v="Islam"/>
    <s v="AB"/>
    <d v="2023-12-20T00:00:00"/>
    <d v="2026-12-20T00:00:00"/>
    <m/>
    <x v="0"/>
    <x v="0"/>
    <x v="1"/>
    <s v="Vocational High School"/>
    <s v="Automotive Engineering"/>
    <x v="7"/>
    <s v="Production"/>
    <x v="11"/>
    <s v="Production Operator"/>
    <s v="G13"/>
    <s v="TK/0"/>
    <s v="984257641344193"/>
    <s v="08636345333"/>
    <s v="2485251760971"/>
    <s v="BANK BCA"/>
    <s v="1803200008"/>
    <s v="084817777685"/>
    <s v="agus.lestari@dumibumi.co.id"/>
    <s v="Bekasi, Indonesia"/>
  </r>
  <r>
    <n v="202445315"/>
    <s v="Dedi Saputra"/>
    <s v="4872098348239626"/>
    <s v="3242159196465553"/>
    <s v="Mojokerto"/>
    <d v="2004-07-28T00:00:00"/>
    <s v="Male"/>
    <s v="Single"/>
    <n v="0"/>
    <s v="Islam"/>
    <s v="B"/>
    <d v="2024-01-24T00:00:00"/>
    <d v="2027-01-24T00:00:00"/>
    <m/>
    <x v="0"/>
    <x v="0"/>
    <x v="1"/>
    <s v="Vocational High School"/>
    <s v="Automotive Engineering"/>
    <x v="7"/>
    <s v="Production"/>
    <x v="11"/>
    <s v="Production Operator"/>
    <s v="G13"/>
    <s v="TK/0"/>
    <s v="486905188253644"/>
    <s v="60617061130"/>
    <s v="4526393935418"/>
    <s v="BANK BCA"/>
    <s v="3797622751"/>
    <s v="087007285145"/>
    <s v="dedi.saputra@dumibumi.co.id"/>
    <s v="Depok, Indonesia"/>
  </r>
  <r>
    <n v="201742971"/>
    <s v="Rina Santoso"/>
    <s v="6754370542100063"/>
    <s v="3024885725584197"/>
    <s v="Cianjur"/>
    <d v="2001-04-04T00:00:00"/>
    <s v="Female"/>
    <s v="Single"/>
    <n v="0"/>
    <s v="Islam"/>
    <s v="B"/>
    <d v="2025-08-24T00:00:00"/>
    <d v="2027-08-24T00:00:00"/>
    <m/>
    <x v="0"/>
    <x v="0"/>
    <x v="1"/>
    <s v="Vocational High School"/>
    <s v="Automotive Engineering"/>
    <x v="7"/>
    <s v="Production"/>
    <x v="2"/>
    <s v="Production Administrator"/>
    <s v="G12"/>
    <s v="TK/0"/>
    <s v="228502738515099"/>
    <s v="18005874963"/>
    <s v="0476618757445"/>
    <s v="BANK BCA"/>
    <s v="8875548764"/>
    <s v="085660621926"/>
    <s v="rina.santoso@dumibumi.co.id"/>
    <s v="Bogor, Indonesia"/>
  </r>
  <r>
    <n v="201943804"/>
    <s v="Lina Pangestu"/>
    <s v="9455398192192102"/>
    <s v="4709219038406169"/>
    <s v="Bogor"/>
    <d v="2001-07-14T00:00:00"/>
    <s v="Female"/>
    <s v="Single"/>
    <n v="0"/>
    <s v="Islam"/>
    <s v="A"/>
    <d v="2025-12-05T00:00:00"/>
    <d v="2027-12-05T00:00:00"/>
    <m/>
    <x v="0"/>
    <x v="0"/>
    <x v="1"/>
    <s v="Vocational High School"/>
    <s v="Automotive Engineering"/>
    <x v="7"/>
    <s v="Production"/>
    <x v="2"/>
    <s v="Production Administrator"/>
    <s v="G12"/>
    <s v="TK/0"/>
    <s v="461029377867132"/>
    <s v="94027816714"/>
    <s v="7745424691897"/>
    <s v="BANK BCA"/>
    <s v="8609837060"/>
    <s v="081700930244"/>
    <s v="lina.pangestu@dumibumi.co.id"/>
    <s v="Depok, Indonesia"/>
  </r>
  <r>
    <n v="201642523"/>
    <s v="Andi Nugroho"/>
    <s v="6185899096866482"/>
    <s v="0000102341356182"/>
    <s v="Cianjur"/>
    <d v="2003-07-22T00:00:00"/>
    <s v="Male"/>
    <s v="Single"/>
    <n v="0"/>
    <s v="Islam"/>
    <s v="B"/>
    <d v="2023-06-02T00:00:00"/>
    <d v="2028-06-02T00:00:00"/>
    <m/>
    <x v="0"/>
    <x v="0"/>
    <x v="1"/>
    <s v="Vocational High School"/>
    <s v="Automotive Engineering"/>
    <x v="7"/>
    <s v="Production"/>
    <x v="11"/>
    <s v="Production Operator"/>
    <s v="G13"/>
    <s v="TK/0"/>
    <s v="773875797785050"/>
    <s v="35158517817"/>
    <s v="4722148497201"/>
    <s v="BANK BCA"/>
    <s v="7612205918"/>
    <s v="089131066421"/>
    <s v="andi.nugroho@dumibumi.co.id"/>
    <s v="Subang, Indonesia"/>
  </r>
  <r>
    <n v="201843269"/>
    <s v="Lina Santoso"/>
    <s v="5466657241139332"/>
    <s v="9630161641854481"/>
    <s v="Mojokerto"/>
    <d v="2001-10-23T00:00:00"/>
    <s v="Female"/>
    <s v="Single"/>
    <n v="0"/>
    <s v="Islam"/>
    <s v="AB"/>
    <d v="2025-06-18T00:00:00"/>
    <d v="2028-06-18T00:00:00"/>
    <m/>
    <x v="0"/>
    <x v="0"/>
    <x v="1"/>
    <s v="Vocational High School"/>
    <s v="Automotive Engineering"/>
    <x v="7"/>
    <s v="Production"/>
    <x v="2"/>
    <s v="Production Administrator"/>
    <s v="G12"/>
    <s v="TK/0"/>
    <s v="104402335448840"/>
    <s v="22165667986"/>
    <s v="3126736271019"/>
    <s v="BANK BCA"/>
    <s v="9107113666"/>
    <s v="082891955195"/>
    <s v="lina.santoso@dumibumi.co.id"/>
    <s v="Bandung, Indonesia"/>
  </r>
  <r>
    <n v="201943608"/>
    <s v="Indah Permata"/>
    <s v="2536127388232229"/>
    <s v="0235299435785120"/>
    <s v="Mojokerto"/>
    <d v="2002-06-14T00:00:00"/>
    <s v="Female"/>
    <s v="Single"/>
    <n v="0"/>
    <s v="Islam"/>
    <s v="AB"/>
    <d v="2025-05-23T00:00:00"/>
    <d v="2028-05-23T00:00:00"/>
    <m/>
    <x v="0"/>
    <x v="0"/>
    <x v="1"/>
    <s v="Vocational High School"/>
    <s v="Automotive Engineering"/>
    <x v="7"/>
    <s v="Production"/>
    <x v="2"/>
    <s v="Production Administrator"/>
    <s v="G12"/>
    <s v="TK/0"/>
    <s v="202515915825328"/>
    <s v="26443702370"/>
    <s v="2955562097193"/>
    <s v="BANK BCA"/>
    <s v="5653898768"/>
    <s v="082848984837"/>
    <s v="indah.permata@dumibumi.co.id"/>
    <s v="Tangerang, Indonesia"/>
  </r>
  <r>
    <n v="202545907"/>
    <s v="Dewi Santoso"/>
    <s v="1475842572614788"/>
    <s v="2983770176297221"/>
    <s v="Medan"/>
    <d v="2004-06-09T00:00:00"/>
    <s v="Female"/>
    <s v="Single"/>
    <n v="0"/>
    <s v="Islam"/>
    <s v="B"/>
    <d v="2025-09-07T00:00:00"/>
    <d v="2027-09-07T00:00:00"/>
    <m/>
    <x v="0"/>
    <x v="0"/>
    <x v="1"/>
    <s v="Vocational High School"/>
    <s v="Automotive Engineering"/>
    <x v="7"/>
    <s v="Production"/>
    <x v="2"/>
    <s v="Production Administrator"/>
    <s v="G12"/>
    <s v="TK/0"/>
    <s v="832205090073089"/>
    <s v="17054887861"/>
    <s v="6027602999361"/>
    <s v="BANK BCA"/>
    <s v="7021441523"/>
    <s v="082311355647"/>
    <s v="dewi.santoso@dumibumi.co.id"/>
    <s v="Bogor, Indonesia"/>
  </r>
  <r>
    <n v="201642392"/>
    <s v="Fajar Saputra"/>
    <s v="4501534551042708"/>
    <s v="5503597730586360"/>
    <s v="Cianjur"/>
    <d v="2003-05-27T00:00:00"/>
    <s v="Male"/>
    <s v="Single"/>
    <n v="0"/>
    <s v="Catholicism"/>
    <s v="A"/>
    <d v="2023-01-23T00:00:00"/>
    <d v="2028-01-23T00:00:00"/>
    <m/>
    <x v="0"/>
    <x v="0"/>
    <x v="1"/>
    <s v="Vocational High School"/>
    <s v="Automotive Engineering"/>
    <x v="7"/>
    <s v="Production"/>
    <x v="11"/>
    <s v="Production Operator"/>
    <s v="G13"/>
    <s v="TK/0"/>
    <s v="086626986232220"/>
    <s v="06887386774"/>
    <s v="1269523225040"/>
    <s v="BANK BCA"/>
    <s v="4906984876"/>
    <s v="089066254310"/>
    <s v="fajar.saputra@dumibumi.co.id"/>
    <s v="Depok, Indonesia"/>
  </r>
  <r>
    <n v="202044160"/>
    <s v="Dewi Lestari"/>
    <s v="4643725124743335"/>
    <s v="2993492494453336"/>
    <s v="Cianjur"/>
    <d v="2002-09-16T00:00:00"/>
    <s v="Female"/>
    <s v="Single"/>
    <n v="0"/>
    <s v="Islam"/>
    <s v="AB"/>
    <d v="2025-11-25T00:00:00"/>
    <d v="2026-11-25T00:00:00"/>
    <m/>
    <x v="0"/>
    <x v="0"/>
    <x v="1"/>
    <s v="Vocational High School"/>
    <s v="Electrical Engineering"/>
    <x v="7"/>
    <s v="Production"/>
    <x v="2"/>
    <s v="Production Administrator"/>
    <s v="G12"/>
    <s v="TK/0"/>
    <s v="319401231971409"/>
    <s v="80611545991"/>
    <s v="2990575386959"/>
    <s v="BANK BCA"/>
    <s v="9993818862"/>
    <s v="089498405397"/>
    <s v="dewi.lestari@dumibumi.co.id"/>
    <s v="Bogor, Indonesia"/>
  </r>
  <r>
    <n v="202144405"/>
    <s v="Fajar Pratama"/>
    <s v="9675675698420301"/>
    <s v="6176033764086747"/>
    <s v="Mojokerto"/>
    <d v="2003-09-22T00:00:00"/>
    <s v="Male"/>
    <s v="Single"/>
    <n v="0"/>
    <s v="Islam"/>
    <s v="A"/>
    <d v="2025-07-28T00:00:00"/>
    <d v="2027-07-28T00:00:00"/>
    <m/>
    <x v="0"/>
    <x v="0"/>
    <x v="1"/>
    <s v="Vocational High School"/>
    <s v="Automotive Engineering"/>
    <x v="7"/>
    <s v="Production"/>
    <x v="11"/>
    <s v="Production Operator"/>
    <s v="G13"/>
    <s v="TK/0"/>
    <s v="494654159313328"/>
    <s v="14558402740"/>
    <s v="5058476280467"/>
    <s v="BANK BCA"/>
    <s v="9427831445"/>
    <s v="086415264446"/>
    <s v="fajar.pratama@dumibumi.co.id"/>
    <s v="Jakarta, Indonesia"/>
  </r>
  <r>
    <n v="201742763"/>
    <s v="Putri Saputra"/>
    <s v="1373184487050306"/>
    <s v="5054017722897369"/>
    <s v="Mojokerto"/>
    <d v="2003-10-25T00:00:00"/>
    <s v="Female"/>
    <s v="Single"/>
    <n v="0"/>
    <s v="Islam"/>
    <s v="O"/>
    <d v="2025-01-28T00:00:00"/>
    <d v="2027-01-28T00:00:00"/>
    <m/>
    <x v="0"/>
    <x v="0"/>
    <x v="1"/>
    <s v="Vocational High School"/>
    <s v="Electrical Engineering"/>
    <x v="7"/>
    <s v="Production"/>
    <x v="2"/>
    <s v="Production Administrator"/>
    <s v="G12"/>
    <s v="TK/0"/>
    <s v="182582734016176"/>
    <s v="20666576084"/>
    <s v="0522405676107"/>
    <s v="BANK BCA"/>
    <s v="9454844830"/>
    <s v="080149479750"/>
    <s v="putri.saputra@dumibumi.co.id"/>
    <s v="Tangerang, Indonesia"/>
  </r>
  <r>
    <n v="202345000"/>
    <s v="Siti Santoso"/>
    <s v="1861038612862370"/>
    <s v="1608339902533444"/>
    <s v="Blitar"/>
    <d v="2002-03-12T00:00:00"/>
    <s v="Female"/>
    <s v="Single"/>
    <n v="0"/>
    <s v="Islam"/>
    <s v="AB"/>
    <d v="2024-03-15T00:00:00"/>
    <d v="2029-03-15T00:00:00"/>
    <m/>
    <x v="0"/>
    <x v="0"/>
    <x v="1"/>
    <s v="Vocational High School"/>
    <s v="Electrical Engineering"/>
    <x v="7"/>
    <s v="Production"/>
    <x v="2"/>
    <s v="Production Administrator"/>
    <s v="G12"/>
    <s v="TK/0"/>
    <s v="807933785158917"/>
    <s v="14406096487"/>
    <s v="7575468383648"/>
    <s v="BANK BCA"/>
    <s v="1841319612"/>
    <s v="084438235437"/>
    <s v="siti.santoso@dumibumi.co.id"/>
    <s v="Depok, Indonesia"/>
  </r>
  <r>
    <n v="202044150"/>
    <s v="Dewi Nugroho"/>
    <s v="5881819767226087"/>
    <s v="9213675037781406"/>
    <s v="Blitar"/>
    <d v="2001-06-08T00:00:00"/>
    <s v="Female"/>
    <s v="Single"/>
    <n v="0"/>
    <s v="Islam"/>
    <s v="B"/>
    <d v="2025-11-15T00:00:00"/>
    <d v="2030-11-15T00:00:00"/>
    <m/>
    <x v="0"/>
    <x v="0"/>
    <x v="1"/>
    <s v="Vocational High School"/>
    <s v="Electrical Engineering"/>
    <x v="7"/>
    <s v="Production"/>
    <x v="2"/>
    <s v="Production Administrator"/>
    <s v="G12"/>
    <s v="TK/0"/>
    <s v="767818736038188"/>
    <s v="87353729586"/>
    <s v="6201709123686"/>
    <s v="BANK BCA"/>
    <s v="3976531657"/>
    <s v="084144375078"/>
    <s v="dewi.nugroho@dumibumi.co.id"/>
    <s v="Jakarta, Indonesia"/>
  </r>
  <r>
    <n v="201843460"/>
    <s v="Farhan Kusuma"/>
    <s v="0025429814937057"/>
    <s v="9872812099070686"/>
    <s v="Bogor"/>
    <d v="2003-03-09T00:00:00"/>
    <s v="Male"/>
    <s v="Single"/>
    <n v="0"/>
    <s v="Islam"/>
    <s v="O"/>
    <d v="2023-12-26T00:00:00"/>
    <d v="2028-12-26T00:00:00"/>
    <m/>
    <x v="0"/>
    <x v="0"/>
    <x v="1"/>
    <s v="Vocational High School"/>
    <s v="Automotive Engineering"/>
    <x v="7"/>
    <s v="Production"/>
    <x v="11"/>
    <s v="Production Operator"/>
    <s v="G13"/>
    <s v="TK/0"/>
    <s v="312349785889469"/>
    <s v="72239673344"/>
    <s v="1421731690612"/>
    <s v="BANK BCA"/>
    <s v="9164542498"/>
    <s v="080103870695"/>
    <s v="farhan.kusuma@dumibumi.co.id"/>
    <s v="Subang, Indonesia"/>
  </r>
  <r>
    <n v="201441771"/>
    <s v="Nadia Nugroho"/>
    <s v="3354905626089120"/>
    <s v="9854615684167321"/>
    <s v="Bekasi"/>
    <d v="2003-04-23T00:00:00"/>
    <s v="Female"/>
    <s v="Single"/>
    <n v="0"/>
    <s v="Islam"/>
    <s v="A"/>
    <d v="2026-05-12T00:00:00"/>
    <d v="2027-05-12T00:00:00"/>
    <m/>
    <x v="0"/>
    <x v="0"/>
    <x v="1"/>
    <s v="Vocational High School"/>
    <s v="Electrical Engineering"/>
    <x v="7"/>
    <s v="Production"/>
    <x v="2"/>
    <s v="Production Administrator"/>
    <s v="G12"/>
    <s v="TK/0"/>
    <s v="194431551664596"/>
    <s v="97819365957"/>
    <s v="7121418495480"/>
    <s v="BANK BCA"/>
    <s v="7807796911"/>
    <s v="087812363357"/>
    <s v="nadia.nugroho@dumibumi.co.id"/>
    <s v="Jakarta, Indonesia"/>
  </r>
  <r>
    <n v="201943691"/>
    <s v="Nadia Maulana"/>
    <s v="6180654192165864"/>
    <s v="3960843975398212"/>
    <s v="Jakarta"/>
    <d v="2002-11-24T00:00:00"/>
    <s v="Female"/>
    <s v="Single"/>
    <n v="0"/>
    <s v="Islam"/>
    <s v="AB"/>
    <d v="2025-08-14T00:00:00"/>
    <d v="2027-08-14T00:00:00"/>
    <m/>
    <x v="0"/>
    <x v="0"/>
    <x v="1"/>
    <s v="Vocational High School"/>
    <s v="Electrical Engineering"/>
    <x v="7"/>
    <s v="Production"/>
    <x v="2"/>
    <s v="Production Administrator"/>
    <s v="G12"/>
    <s v="TK/0"/>
    <s v="091714599921052"/>
    <s v="61820090206"/>
    <s v="8103080985170"/>
    <s v="BANK BCA"/>
    <s v="5886035666"/>
    <s v="085719200179"/>
    <s v="nadia.maulana@dumibumi.co.id"/>
    <s v="Depok, Indonesia"/>
  </r>
  <r>
    <n v="201642522"/>
    <s v="Nadia Wijaya"/>
    <s v="2392019962189225"/>
    <s v="3239675092273477"/>
    <s v="Cianjur"/>
    <d v="2003-07-08T00:00:00"/>
    <s v="Female"/>
    <s v="Single"/>
    <n v="2"/>
    <s v="Islam"/>
    <s v="B"/>
    <d v="2026-06-01T00:00:00"/>
    <d v="2029-06-01T00:00:00"/>
    <m/>
    <x v="0"/>
    <x v="0"/>
    <x v="1"/>
    <s v="Vocational High School"/>
    <s v="Electrical Engineering"/>
    <x v="7"/>
    <s v="Production"/>
    <x v="2"/>
    <s v="Production Administrator"/>
    <s v="G12"/>
    <s v="TK/2"/>
    <s v="586811979039201"/>
    <s v="55488179986"/>
    <s v="0719092742197"/>
    <s v="BANK BCA"/>
    <s v="7849485292"/>
    <s v="080894371513"/>
    <s v="nadia.wijaya@dumibumi.co.id"/>
    <s v="Tangerang, Indonesia"/>
  </r>
  <r>
    <n v="201943641"/>
    <s v="Dewi Hidayat"/>
    <s v="5964233920345582"/>
    <s v="1463236461461236"/>
    <s v="Medan"/>
    <d v="2003-07-02T00:00:00"/>
    <s v="Female"/>
    <s v="Single"/>
    <n v="0"/>
    <s v="Islam"/>
    <s v="B"/>
    <d v="2025-06-25T00:00:00"/>
    <d v="2027-06-25T00:00:00"/>
    <m/>
    <x v="0"/>
    <x v="0"/>
    <x v="1"/>
    <s v="Vocational High School"/>
    <s v="Electrical Engineering"/>
    <x v="7"/>
    <s v="Production"/>
    <x v="2"/>
    <s v="Production Administrator"/>
    <s v="G12"/>
    <s v="TK/0"/>
    <s v="168921950004406"/>
    <s v="90785958316"/>
    <s v="9506453485692"/>
    <s v="BANK BCA"/>
    <s v="2356811997"/>
    <s v="084650850727"/>
    <s v="dewi.hidayat@dumibumi.co.id"/>
    <s v="Bekasi, Indonesia"/>
  </r>
  <r>
    <n v="201843213"/>
    <s v="Angel Kusuma Dewi"/>
    <s v="0666817882366781"/>
    <s v="5900210986871894"/>
    <s v="Bekasi"/>
    <d v="2003-04-06T00:00:00"/>
    <s v="Female"/>
    <s v="Single"/>
    <n v="0"/>
    <s v="Islam"/>
    <s v="B"/>
    <d v="2025-04-23T00:00:00"/>
    <d v="2030-04-23T00:00:00"/>
    <m/>
    <x v="0"/>
    <x v="0"/>
    <x v="1"/>
    <s v="Vocational High School"/>
    <s v="Electrical Engineering"/>
    <x v="7"/>
    <s v="Production"/>
    <x v="2"/>
    <s v="Production Administrator"/>
    <s v="G12"/>
    <s v="TK/0"/>
    <s v="930644174984264"/>
    <s v="15311489349"/>
    <s v="5062121886509"/>
    <s v="BANK BCA"/>
    <s v="5481907882"/>
    <s v="082615761595"/>
    <s v="indah.kurniawan@dumibumi.co.id"/>
    <s v="Bandung, Indonesia"/>
  </r>
  <r>
    <n v="202345227"/>
    <s v="Putri Pratama"/>
    <s v="1959432496441153"/>
    <s v="0841150766574320"/>
    <s v="Bogor"/>
    <d v="2003-06-14T00:00:00"/>
    <s v="Female"/>
    <s v="Single"/>
    <n v="0"/>
    <s v="Islam"/>
    <s v="B"/>
    <d v="2024-10-28T00:00:00"/>
    <d v="2027-10-28T00:00:00"/>
    <m/>
    <x v="0"/>
    <x v="0"/>
    <x v="1"/>
    <s v="Vocational High School"/>
    <s v="Electrical Engineering"/>
    <x v="7"/>
    <s v="Production"/>
    <x v="2"/>
    <s v="Production Administrator"/>
    <s v="G12"/>
    <s v="TK/0"/>
    <s v="450631877727969"/>
    <s v="27869542250"/>
    <s v="5506605161362"/>
    <s v="BANK BCA"/>
    <s v="2759042572"/>
    <s v="083678478228"/>
    <s v="putri.pratama@dumibumi.co.id"/>
    <s v="Bogor, Indonesia"/>
  </r>
  <r>
    <n v="202244652"/>
    <s v="Bayu Pratama"/>
    <s v="2567032277418617"/>
    <s v="5799494432891861"/>
    <s v="Bekasi"/>
    <d v="2003-03-15T00:00:00"/>
    <s v="Male"/>
    <s v="Single"/>
    <n v="0"/>
    <s v="Islam"/>
    <s v="AB"/>
    <d v="2026-04-01T00:00:00"/>
    <d v="2031-04-01T00:00:00"/>
    <m/>
    <x v="0"/>
    <x v="0"/>
    <x v="1"/>
    <s v="Vocational High School"/>
    <s v="Automotive Engineering"/>
    <x v="7"/>
    <s v="Production"/>
    <x v="11"/>
    <s v="Production Operator"/>
    <s v="G13"/>
    <s v="TK/0"/>
    <s v="781701448737763"/>
    <s v="60574987619"/>
    <s v="4972712779435"/>
    <s v="BANK BCA"/>
    <s v="4422761882"/>
    <s v="088886460697"/>
    <s v="bayu.pratama@dumibumi.co.id"/>
    <s v="Depok, Indonesia"/>
  </r>
  <r>
    <n v="202244764"/>
    <s v="Fajar Wijaya"/>
    <s v="4835203106873085"/>
    <s v="2066437528676965"/>
    <s v="Bekasi"/>
    <d v="2003-10-06T00:00:00"/>
    <s v="Male"/>
    <s v="Single"/>
    <n v="0"/>
    <s v="Islam"/>
    <s v="O"/>
    <d v="2026-06-22T00:00:00"/>
    <d v="2027-07-22T00:00:00"/>
    <m/>
    <x v="0"/>
    <x v="0"/>
    <x v="1"/>
    <s v="Vocational High School"/>
    <s v="Automotive Engineering"/>
    <x v="7"/>
    <s v="Production"/>
    <x v="11"/>
    <s v="Production Operator"/>
    <s v="G13"/>
    <s v="TK/0"/>
    <s v="527555342699053"/>
    <s v="68325792438"/>
    <s v="3133416353204"/>
    <s v="BANK BCA"/>
    <s v="4381756433"/>
    <s v="089190643991"/>
    <s v="fajar.wijaya@dumibumi.co.id"/>
    <s v="Subang, Indonesia"/>
  </r>
  <r>
    <n v="201943744"/>
    <s v="Rizky Lestari"/>
    <s v="7165271312251010"/>
    <s v="4892416814140436"/>
    <s v="Blitar"/>
    <d v="2003-06-06T00:00:00"/>
    <s v="Male"/>
    <s v="Single"/>
    <n v="1"/>
    <s v="Islam"/>
    <s v="B"/>
    <d v="2024-10-06T00:00:00"/>
    <d v="2027-10-06T00:00:00"/>
    <m/>
    <x v="0"/>
    <x v="0"/>
    <x v="1"/>
    <s v="Vocational High School"/>
    <s v="Automotive Engineering"/>
    <x v="7"/>
    <s v="Production"/>
    <x v="11"/>
    <s v="Production Operator"/>
    <s v="G13"/>
    <s v="TK/1"/>
    <s v="673275059981462"/>
    <s v="54626740714"/>
    <s v="7996170180316"/>
    <s v="BANK BCA"/>
    <s v="4354013973"/>
    <s v="086158888217"/>
    <s v="rizky.lestari@dumibumi.co.id"/>
    <s v="Subang, Indonesia"/>
  </r>
  <r>
    <n v="202345177"/>
    <s v="Bayu Maulana"/>
    <s v="6325717869069877"/>
    <s v="5842574341150316"/>
    <s v="Jakarta"/>
    <d v="2003-12-21T00:00:00"/>
    <s v="Male"/>
    <s v="Single"/>
    <n v="0"/>
    <s v="Islam"/>
    <s v="B"/>
    <d v="2023-09-08T00:00:00"/>
    <d v="2026-09-08T00:00:00"/>
    <m/>
    <x v="0"/>
    <x v="0"/>
    <x v="1"/>
    <s v="Vocational High School"/>
    <s v="Automotive Engineering"/>
    <x v="7"/>
    <s v="Production"/>
    <x v="11"/>
    <s v="Production Operator"/>
    <s v="G13"/>
    <s v="TK/0"/>
    <s v="276325916001612"/>
    <s v="22020722047"/>
    <s v="7938888365555"/>
    <s v="BANK BCA"/>
    <s v="1226160805"/>
    <s v="084374168472"/>
    <s v="bayu.maulana@dumibumi.co.id"/>
    <s v="Jakarta, Indonesia"/>
  </r>
  <r>
    <n v="201642680"/>
    <s v="Rahmat Sari"/>
    <s v="8021787468525496"/>
    <s v="2198185199177133"/>
    <s v="Blitar"/>
    <d v="2003-10-01T00:00:00"/>
    <s v="Male"/>
    <s v="Single"/>
    <n v="0"/>
    <s v="Islam"/>
    <s v="A"/>
    <d v="2023-11-06T00:00:00"/>
    <d v="2028-11-06T00:00:00"/>
    <m/>
    <x v="0"/>
    <x v="0"/>
    <x v="1"/>
    <s v="Vocational High School"/>
    <s v="Automotive Engineering"/>
    <x v="7"/>
    <s v="Production"/>
    <x v="11"/>
    <s v="Production Operator"/>
    <s v="G13"/>
    <s v="TK/0"/>
    <s v="568627590344870"/>
    <s v="52190998668"/>
    <s v="6910752673241"/>
    <s v="BANK BCA"/>
    <s v="3427360116"/>
    <s v="081946122698"/>
    <s v="rahmat.sari@dumibumi.co.id"/>
    <s v="Bandung, Indonesia"/>
  </r>
  <r>
    <n v="201943797"/>
    <s v="Fajar Ramadhan"/>
    <s v="7403172700086770"/>
    <s v="3533153524965294"/>
    <s v="Bekasi"/>
    <d v="2003-01-03T00:00:00"/>
    <s v="Male"/>
    <s v="Single"/>
    <n v="0"/>
    <s v="Islam"/>
    <s v="B"/>
    <d v="2024-11-28T00:00:00"/>
    <d v="2027-11-28T00:00:00"/>
    <m/>
    <x v="0"/>
    <x v="0"/>
    <x v="1"/>
    <s v="Vocational High School"/>
    <s v="Automotive Engineering"/>
    <x v="7"/>
    <s v="Production"/>
    <x v="11"/>
    <s v="Production Operator"/>
    <s v="G13"/>
    <s v="TK/0"/>
    <s v="507185011952627"/>
    <s v="88817614875"/>
    <s v="7853449624885"/>
    <s v="BANK BCA"/>
    <s v="4896614579"/>
    <s v="087489139759"/>
    <s v="fajar.ramadhan@dumibumi.co.id"/>
    <s v="Jakarta, Indonesia"/>
  </r>
  <r>
    <n v="201943729"/>
    <s v="Rahmat Lestari"/>
    <s v="3790450942408909"/>
    <s v="7776506529285781"/>
    <s v="Kota Metro"/>
    <d v="2003-09-16T00:00:00"/>
    <s v="Male"/>
    <s v="Single"/>
    <n v="0"/>
    <s v="Islam"/>
    <s v="A"/>
    <d v="2024-09-21T00:00:00"/>
    <d v="2026-09-21T00:00:00"/>
    <m/>
    <x v="0"/>
    <x v="0"/>
    <x v="1"/>
    <s v="Vocational High School"/>
    <s v="Automotive Engineering"/>
    <x v="7"/>
    <s v="Production"/>
    <x v="11"/>
    <s v="Production Operator"/>
    <s v="G13"/>
    <s v="TK/0"/>
    <s v="418766850717914"/>
    <s v="08783359730"/>
    <s v="7333926949123"/>
    <s v="BANK BCA"/>
    <s v="3100631148"/>
    <s v="082312610009"/>
    <s v="rahmat.lestari@dumibumi.co.id"/>
    <s v="Jakarta, Indonesia"/>
  </r>
  <r>
    <n v="201742848"/>
    <s v="Yoga Ramadhan"/>
    <s v="7820303562542722"/>
    <s v="0549766391306443"/>
    <s v="Bogor"/>
    <d v="2003-09-24T00:00:00"/>
    <s v="Male"/>
    <s v="Single"/>
    <n v="0"/>
    <s v="Islam"/>
    <s v="B"/>
    <d v="2023-04-23T00:00:00"/>
    <d v="2028-04-23T00:00:00"/>
    <m/>
    <x v="0"/>
    <x v="0"/>
    <x v="1"/>
    <s v="Vocational High School"/>
    <s v="Automotive Engineering"/>
    <x v="7"/>
    <s v="Production"/>
    <x v="11"/>
    <s v="Production Operator"/>
    <s v="G13"/>
    <s v="TK/0"/>
    <s v="052669929390506"/>
    <s v="23414470316"/>
    <s v="8936707183221"/>
    <s v="BANK BCA"/>
    <s v="4668255013"/>
    <s v="089688272047"/>
    <s v="yoga.ramadhan@dumibumi.co.id"/>
    <s v="Depok, Indonesia"/>
  </r>
  <r>
    <n v="201742917"/>
    <s v="Rahmat Nugroho"/>
    <s v="6692393006276193"/>
    <s v="3563998240245750"/>
    <s v="Jakarta"/>
    <d v="2003-11-23T00:00:00"/>
    <s v="Male"/>
    <s v="Single"/>
    <n v="0"/>
    <s v="Islam"/>
    <s v="B"/>
    <d v="2025-07-01T00:00:00"/>
    <d v="2027-07-01T00:00:00"/>
    <m/>
    <x v="0"/>
    <x v="0"/>
    <x v="1"/>
    <s v="Vocational High School"/>
    <s v="Automotive Engineering"/>
    <x v="7"/>
    <s v="Production"/>
    <x v="11"/>
    <s v="Production Operator"/>
    <s v="G13"/>
    <s v="TK/0"/>
    <s v="611374884220025"/>
    <s v="73003296617"/>
    <s v="4281197784956"/>
    <s v="BANK BCA"/>
    <s v="0084553297"/>
    <s v="082294151067"/>
    <s v="rahmat.nugroho@dumibumi.co.id"/>
    <s v="Bekasi, Indonesia"/>
  </r>
  <r>
    <n v="202244606"/>
    <s v="Yusuf Pangestu"/>
    <s v="4931443542582256"/>
    <s v="7187166526738898"/>
    <s v="Sukabumi"/>
    <d v="2002-06-13T00:00:00"/>
    <s v="Male"/>
    <s v="Single"/>
    <n v="0"/>
    <s v="Catholicism"/>
    <s v="B"/>
    <d v="2026-02-14T00:00:00"/>
    <d v="2028-02-14T00:00:00"/>
    <m/>
    <x v="0"/>
    <x v="0"/>
    <x v="1"/>
    <s v="Vocational High School"/>
    <s v="Automotive Engineering"/>
    <x v="7"/>
    <s v="Production"/>
    <x v="11"/>
    <s v="Production Operator"/>
    <s v="G13"/>
    <s v="TK/0"/>
    <s v="276638162677456"/>
    <s v="97276228254"/>
    <s v="7665955410590"/>
    <s v="BANK BCA"/>
    <s v="0077587033"/>
    <s v="083567747160"/>
    <s v="yusuf.pangestu@dumibumi.co.id"/>
    <s v="Bekasi, Indonesia"/>
  </r>
  <r>
    <n v="201642691"/>
    <s v="Raffi Kurniawan"/>
    <s v="4159282155023526"/>
    <s v="0195533281170012"/>
    <s v="Tangerang"/>
    <d v="2002-02-17T00:00:00"/>
    <s v="Male"/>
    <s v="Single"/>
    <n v="0"/>
    <s v="Islam"/>
    <s v="AB"/>
    <d v="2023-11-17T00:00:00"/>
    <d v="2026-11-17T00:00:00"/>
    <m/>
    <x v="0"/>
    <x v="0"/>
    <x v="1"/>
    <s v="Vocational High School"/>
    <s v="Automotive Engineering"/>
    <x v="7"/>
    <s v="Production"/>
    <x v="11"/>
    <s v="Production Operator"/>
    <s v="G13"/>
    <s v="TK/0"/>
    <s v="615761199366811"/>
    <s v="26237404737"/>
    <s v="9838779030875"/>
    <s v="BANK BCA"/>
    <s v="1366237074"/>
    <s v="082723631027"/>
    <s v="rina.kurniawan@dumibumi.co.id"/>
    <s v="Depok, Indonesia"/>
  </r>
  <r>
    <n v="201742834"/>
    <s v="Rizky Santoso"/>
    <s v="4359327474762986"/>
    <s v="2287025074842751"/>
    <s v="Jakarta"/>
    <d v="2002-06-12T00:00:00"/>
    <s v="Male"/>
    <s v="Single"/>
    <n v="0"/>
    <s v="Islam"/>
    <s v="O"/>
    <d v="2023-04-09T00:00:00"/>
    <d v="2028-04-09T00:00:00"/>
    <m/>
    <x v="0"/>
    <x v="0"/>
    <x v="1"/>
    <s v="Vocational High School"/>
    <s v="Automotive Engineering"/>
    <x v="7"/>
    <s v="Production"/>
    <x v="11"/>
    <s v="Production Operator"/>
    <s v="G13"/>
    <s v="TK/0"/>
    <s v="746736295306025"/>
    <s v="97185896489"/>
    <s v="8189167235054"/>
    <s v="BANK BCA"/>
    <s v="8805139650"/>
    <s v="085443948862"/>
    <s v="rizky.santoso@dumibumi.co.id"/>
    <s v="Depok, Indonesia"/>
  </r>
  <r>
    <n v="202545795"/>
    <s v="Farhan Saputra"/>
    <s v="0794845381384994"/>
    <s v="2914332576392327"/>
    <s v="Tangerang"/>
    <d v="2003-04-22T00:00:00"/>
    <s v="Male"/>
    <s v="Single"/>
    <n v="0"/>
    <s v="Islam"/>
    <s v="B"/>
    <d v="2025-05-18T00:00:00"/>
    <d v="2030-05-18T00:00:00"/>
    <m/>
    <x v="0"/>
    <x v="0"/>
    <x v="1"/>
    <s v="Vocational High School"/>
    <s v="Automotive Engineering"/>
    <x v="7"/>
    <s v="Production"/>
    <x v="11"/>
    <s v="Production Operator"/>
    <s v="G13"/>
    <s v="TK/0"/>
    <s v="545550403235407"/>
    <s v="75118732223"/>
    <s v="6123982267341"/>
    <s v="BANK BCA"/>
    <s v="7939486441"/>
    <s v="081053779680"/>
    <s v="farhan.saputra@dumibumi.co.id"/>
    <s v="Tangerang, Indonesia"/>
  </r>
  <r>
    <n v="201843184"/>
    <s v="Yusuf Kurniawan"/>
    <s v="0721414249399351"/>
    <s v="4109983467220732"/>
    <s v="Depok"/>
    <d v="2002-10-10T00:00:00"/>
    <s v="Male"/>
    <s v="Single"/>
    <n v="0"/>
    <s v="Islam"/>
    <s v="A"/>
    <d v="2023-03-25T00:00:00"/>
    <d v="2028-03-25T00:00:00"/>
    <m/>
    <x v="0"/>
    <x v="0"/>
    <x v="1"/>
    <s v="Vocational High School"/>
    <s v="Automotive Engineering"/>
    <x v="7"/>
    <s v="Production"/>
    <x v="11"/>
    <s v="Production Operator"/>
    <s v="G13"/>
    <s v="TK/0"/>
    <s v="660784913888622"/>
    <s v="35214994566"/>
    <s v="0709381098328"/>
    <s v="BANK BCA"/>
    <s v="4381145985"/>
    <s v="088340608193"/>
    <s v="yusuf.kurniawan@dumibumi.co.id"/>
    <s v="Subang, Indonesia"/>
  </r>
  <r>
    <n v="202044036"/>
    <s v="Rudi Lestari"/>
    <s v="1310199806954946"/>
    <s v="2734915019497956"/>
    <s v="Tangerang"/>
    <d v="2002-07-18T00:00:00"/>
    <s v="Male"/>
    <s v="Single"/>
    <n v="0"/>
    <s v="Islam"/>
    <s v="A"/>
    <d v="2025-07-24T00:00:00"/>
    <d v="2026-07-24T00:00:00"/>
    <m/>
    <x v="0"/>
    <x v="0"/>
    <x v="1"/>
    <s v="Vocational High School"/>
    <s v="Automotive Engineering"/>
    <x v="7"/>
    <s v="Production"/>
    <x v="11"/>
    <s v="Production Operator"/>
    <s v="G13"/>
    <s v="TK/0"/>
    <s v="464695634614050"/>
    <s v="07637763553"/>
    <s v="9628447519189"/>
    <s v="BANK BCA"/>
    <s v="6032042040"/>
    <s v="088250900446"/>
    <s v="rudi.lestari@dumibumi.co.id"/>
    <s v="Depok, Indonesia"/>
  </r>
  <r>
    <n v="202043974"/>
    <s v="Bayu Saputra"/>
    <s v="0791421849566329"/>
    <s v="1951008860975905"/>
    <s v="Jakarta"/>
    <d v="2002-10-12T00:00:00"/>
    <s v="Male"/>
    <s v="Single"/>
    <n v="1"/>
    <s v="Islam"/>
    <s v="B"/>
    <d v="2025-05-23T00:00:00"/>
    <d v="2030-05-23T00:00:00"/>
    <m/>
    <x v="0"/>
    <x v="0"/>
    <x v="1"/>
    <s v="Vocational High School"/>
    <s v="Automotive Engineering"/>
    <x v="7"/>
    <s v="Production"/>
    <x v="11"/>
    <s v="Production Operator"/>
    <s v="G13"/>
    <s v="TK/1"/>
    <s v="964989593787210"/>
    <s v="46233110213"/>
    <s v="8096405762706"/>
    <s v="BANK BCA"/>
    <s v="5155126677"/>
    <s v="080238954621"/>
    <s v="bayu.saputra@dumibumi.co.id"/>
    <s v="Subang, Indonesia"/>
  </r>
  <r>
    <n v="202345166"/>
    <s v="Fajar Lestari"/>
    <s v="2505422807798767"/>
    <s v="7213139227724855"/>
    <s v="Tangerang"/>
    <d v="2002-08-23T00:00:00"/>
    <s v="Male"/>
    <s v="Single"/>
    <n v="0"/>
    <s v="Islam"/>
    <s v="B"/>
    <d v="2023-08-28T00:00:00"/>
    <d v="2026-08-28T00:00:00"/>
    <m/>
    <x v="0"/>
    <x v="0"/>
    <x v="1"/>
    <s v="Vocational High School"/>
    <s v="Automotive Engineering"/>
    <x v="7"/>
    <s v="Production"/>
    <x v="11"/>
    <s v="Production Operator"/>
    <s v="G13"/>
    <s v="TK/0"/>
    <s v="683412741007311"/>
    <s v="72088312790"/>
    <s v="2128275164340"/>
    <s v="BANK BCA"/>
    <s v="2243390503"/>
    <s v="089073687528"/>
    <s v="fajar.lestari@dumibumi.co.id"/>
    <s v="Jakarta, Indonesia"/>
  </r>
  <r>
    <n v="202244604"/>
    <s v="Budi Wijaya"/>
    <s v="6017530935799129"/>
    <s v="8803769731493999"/>
    <s v="Sukabumi"/>
    <d v="2003-06-11T00:00:00"/>
    <s v="Male"/>
    <s v="Single"/>
    <n v="0"/>
    <s v="Islam"/>
    <s v="O"/>
    <d v="2026-02-12T00:00:00"/>
    <d v="2027-02-12T00:00:00"/>
    <m/>
    <x v="0"/>
    <x v="0"/>
    <x v="1"/>
    <s v="Vocational High School"/>
    <s v="Automotive Engineering"/>
    <x v="7"/>
    <s v="Production"/>
    <x v="11"/>
    <s v="Production Operator"/>
    <s v="G13"/>
    <s v="TK/0"/>
    <s v="117989575481997"/>
    <s v="62539319637"/>
    <s v="5026585187047"/>
    <s v="BANK BCA"/>
    <s v="5207354948"/>
    <s v="086059999164"/>
    <s v="budi.wijaya@dumibumi.co.id"/>
    <s v="Depok, Indonesia"/>
  </r>
  <r>
    <n v="201943597"/>
    <s v="Rizky Santoso"/>
    <s v="4002078001919777"/>
    <s v="0953501545832019"/>
    <s v="Jakarta"/>
    <d v="1990-05-09T00:00:00"/>
    <s v="Male"/>
    <s v="Married"/>
    <n v="2"/>
    <s v="Islam"/>
    <s v="B"/>
    <d v="2019-05-12T00:00:00"/>
    <m/>
    <m/>
    <x v="0"/>
    <x v="0"/>
    <x v="0"/>
    <s v="Vocational High School"/>
    <s v="Automotive Engineering"/>
    <x v="7"/>
    <s v="Production"/>
    <x v="10"/>
    <s v="Leader Line Production"/>
    <s v="G08"/>
    <s v="K/2"/>
    <s v="810083915559967"/>
    <s v="73392395094"/>
    <s v="5299228895604"/>
    <s v="BANK BCA"/>
    <s v="8998948530"/>
    <s v="084443927544"/>
    <s v="rizky.santoso@dumibumi.co.id"/>
    <s v="Bekasi, Indonesia"/>
  </r>
  <r>
    <n v="201843265"/>
    <s v="Yoga Ramadhan"/>
    <s v="5643389930586969"/>
    <s v="9062840109956534"/>
    <s v="Bekasi"/>
    <d v="2003-06-06T00:00:00"/>
    <s v="Male"/>
    <s v="Single"/>
    <n v="0"/>
    <s v="Protestantism"/>
    <s v="O"/>
    <d v="2023-06-14T00:00:00"/>
    <d v="2028-06-14T00:00:00"/>
    <m/>
    <x v="0"/>
    <x v="0"/>
    <x v="1"/>
    <s v="Vocational High School"/>
    <s v="Automotive Engineering"/>
    <x v="7"/>
    <s v="Production"/>
    <x v="11"/>
    <s v="Production Operator"/>
    <s v="G13"/>
    <s v="TK/0"/>
    <s v="278540718362138"/>
    <s v="61923107627"/>
    <s v="0789328945221"/>
    <s v="BANK BCA"/>
    <s v="7477881505"/>
    <s v="082725693109"/>
    <s v="yoga.ramadhan@dumibumi.co.id"/>
    <s v="Bandung, Indonesia"/>
  </r>
  <r>
    <n v="202043910"/>
    <s v="Rudi Utami"/>
    <s v="5618617050086686"/>
    <s v="0942111413173870"/>
    <s v="Depok"/>
    <d v="1990-02-12T00:00:00"/>
    <s v="Male"/>
    <s v="Married"/>
    <n v="2"/>
    <s v="Islam"/>
    <s v="B"/>
    <d v="2016-03-20T00:00:00"/>
    <m/>
    <m/>
    <x v="0"/>
    <x v="0"/>
    <x v="0"/>
    <s v="Vocational High School"/>
    <s v="Automotive Engineering"/>
    <x v="7"/>
    <s v="Production"/>
    <x v="10"/>
    <s v="Leader Line Production"/>
    <s v="G08"/>
    <s v="K/2"/>
    <s v="350920617104266"/>
    <s v="22991842157"/>
    <s v="6740754717238"/>
    <s v="BANK BCA"/>
    <s v="3730127448"/>
    <s v="082281653274"/>
    <s v="rudi.utami@dumibumi.co.id"/>
    <s v="Tangerang, Indonesia"/>
  </r>
  <r>
    <n v="201943816"/>
    <s v="Rahmat Ramadhan"/>
    <s v="3163093118599179"/>
    <s v="4310613431473501"/>
    <s v="Jakarta"/>
    <d v="2003-12-28T00:00:00"/>
    <s v="Male"/>
    <s v="Single"/>
    <n v="0"/>
    <s v="Islam"/>
    <s v="AB"/>
    <d v="2024-12-17T00:00:00"/>
    <d v="2026-12-17T00:00:00"/>
    <m/>
    <x v="0"/>
    <x v="0"/>
    <x v="1"/>
    <s v="Vocational High School"/>
    <s v="Automotive Engineering"/>
    <x v="7"/>
    <s v="Production"/>
    <x v="11"/>
    <s v="Production Operator"/>
    <s v="G13"/>
    <s v="TK/0"/>
    <s v="898580959671097"/>
    <s v="20138717801"/>
    <s v="5258356430797"/>
    <s v="BANK BCA"/>
    <s v="8653306075"/>
    <s v="085260481072"/>
    <s v="rahmat.ramadhan@dumibumi.co.id"/>
    <s v="Subang, Indonesia"/>
  </r>
  <r>
    <n v="202144474"/>
    <s v="Rahmat Sari"/>
    <s v="7862406239040127"/>
    <s v="8878899300053875"/>
    <s v="Jakarta"/>
    <d v="1991-07-23T00:00:00"/>
    <s v="Male"/>
    <s v="Married"/>
    <n v="2"/>
    <s v="Islam"/>
    <s v="AB"/>
    <d v="2014-10-05T00:00:00"/>
    <m/>
    <m/>
    <x v="0"/>
    <x v="0"/>
    <x v="0"/>
    <s v="Vocational High School"/>
    <s v="Automotive Engineering"/>
    <x v="7"/>
    <s v="Production"/>
    <x v="10"/>
    <s v="Leader Line Production"/>
    <s v="G08"/>
    <s v="K/2"/>
    <s v="540277186551806"/>
    <s v="94017642701"/>
    <s v="1768776201580"/>
    <s v="BANK BCA"/>
    <s v="4882033835"/>
    <s v="085924915246"/>
    <s v="rahmat.sari@dumibumi.co.id"/>
    <s v="Bekasi, Indonesia"/>
  </r>
  <r>
    <n v="202144525"/>
    <s v="Yusuf Kusuma"/>
    <s v="2338251524100155"/>
    <s v="1985042518665965"/>
    <s v="Bekasi"/>
    <d v="1991-09-04T00:00:00"/>
    <s v="Male"/>
    <s v="Married"/>
    <n v="3"/>
    <s v="Islam"/>
    <s v="O"/>
    <d v="2014-11-25T00:00:00"/>
    <m/>
    <m/>
    <x v="0"/>
    <x v="0"/>
    <x v="0"/>
    <s v="Vocational High School"/>
    <s v="Automotive Engineering"/>
    <x v="7"/>
    <s v="Production"/>
    <x v="10"/>
    <s v="Leader Line Production"/>
    <s v="G08"/>
    <s v="K/3"/>
    <s v="133285889925131"/>
    <s v="29395007235"/>
    <s v="5174132105131"/>
    <s v="BANK BCA"/>
    <s v="1759262194"/>
    <s v="081009300087"/>
    <s v="yusuf.kusuma@dumibumi.co.id"/>
    <s v="Jakarta, Indonesia"/>
  </r>
  <r>
    <n v="201843355"/>
    <s v="Rudi Wijaya"/>
    <s v="9513891984353357"/>
    <s v="6595100018993041"/>
    <s v="Bogor"/>
    <d v="1998-07-12T00:00:00"/>
    <s v="Male"/>
    <s v="Married"/>
    <n v="2"/>
    <s v="Islam"/>
    <s v="B"/>
    <d v="2018-09-12T00:00:00"/>
    <m/>
    <m/>
    <x v="0"/>
    <x v="0"/>
    <x v="0"/>
    <s v="Vocational High School"/>
    <s v="Automotive Engineering"/>
    <x v="7"/>
    <s v="Production"/>
    <x v="10"/>
    <s v="Leader Line Production"/>
    <s v="G08"/>
    <s v="K/2"/>
    <s v="221080475812696"/>
    <s v="11498446225"/>
    <s v="6818673946119"/>
    <s v="BANK BCA"/>
    <s v="6494758086"/>
    <s v="087667878636"/>
    <s v="rudi.wijaya@dumibumi.co.id"/>
    <s v="Tangerang, Indonesia"/>
  </r>
  <r>
    <n v="201441661"/>
    <s v="Agus Wijaya"/>
    <s v="1704869632385522"/>
    <s v="6342712616102585"/>
    <s v="Tangerang"/>
    <d v="2004-04-26T00:00:00"/>
    <s v="Male"/>
    <s v="Single"/>
    <n v="0"/>
    <s v="Islam"/>
    <s v="AB"/>
    <d v="2023-01-22T00:00:00"/>
    <d v="2028-01-22T00:00:00"/>
    <m/>
    <x v="0"/>
    <x v="0"/>
    <x v="1"/>
    <s v="Vocational High School"/>
    <s v="Automotive Engineering"/>
    <x v="7"/>
    <s v="Production"/>
    <x v="11"/>
    <s v="Production Operator"/>
    <s v="G13"/>
    <s v="TK/0"/>
    <s v="767358183361406"/>
    <s v="56546426194"/>
    <s v="5864362883339"/>
    <s v="BANK BCA"/>
    <s v="1500812816"/>
    <s v="084153448642"/>
    <s v="agus.wijaya@dumibumi.co.id"/>
    <s v="Depok, Indonesia"/>
  </r>
  <r>
    <n v="201943713"/>
    <s v="Rudi Santoso"/>
    <s v="9499049585519206"/>
    <s v="7336090485047921"/>
    <s v="Depok"/>
    <d v="1993-10-27T00:00:00"/>
    <s v="Male"/>
    <s v="Married"/>
    <n v="1"/>
    <s v="Islam"/>
    <s v="A"/>
    <d v="2018-09-05T00:00:00"/>
    <m/>
    <m/>
    <x v="0"/>
    <x v="0"/>
    <x v="0"/>
    <s v="Vocational High School"/>
    <s v="Automotive Engineering"/>
    <x v="7"/>
    <s v="Production"/>
    <x v="10"/>
    <s v="Leader Line Production"/>
    <s v="G08"/>
    <s v="K/1"/>
    <s v="393267898734822"/>
    <s v="90415061694"/>
    <s v="1348941183292"/>
    <s v="BANK BCA"/>
    <s v="8619906196"/>
    <s v="082894610965"/>
    <s v="rudi.santoso@dumibumi.co.id"/>
    <s v="Depok, Indonesia"/>
  </r>
  <r>
    <n v="201943712"/>
    <s v="Bayu Pratama"/>
    <s v="3925581962245732"/>
    <s v="7797411903333494"/>
    <s v="Bogor"/>
    <d v="2003-09-22T00:00:00"/>
    <s v="Male"/>
    <s v="Single"/>
    <n v="0"/>
    <s v="Islam"/>
    <s v="AB"/>
    <d v="2024-09-04T00:00:00"/>
    <d v="2029-09-04T00:00:00"/>
    <m/>
    <x v="0"/>
    <x v="0"/>
    <x v="1"/>
    <s v="Vocational High School"/>
    <s v="Automotive Engineering"/>
    <x v="7"/>
    <s v="Production"/>
    <x v="11"/>
    <s v="Production Operator"/>
    <s v="G13"/>
    <s v="TK/0"/>
    <s v="767773077978833"/>
    <s v="47823318670"/>
    <s v="0764610286384"/>
    <s v="BANK BCA"/>
    <s v="9828183839"/>
    <s v="086575205638"/>
    <s v="bayu.pratama@dumibumi.co.id"/>
    <s v="Bekasi, Indonesia"/>
  </r>
  <r>
    <n v="201642451"/>
    <s v="Dedi Santoso"/>
    <s v="8747787556944401"/>
    <s v="6983823595029265"/>
    <s v="Bandung"/>
    <d v="2004-05-20T00:00:00"/>
    <s v="Male"/>
    <s v="Single"/>
    <n v="0"/>
    <s v="Protestantism"/>
    <s v="AB"/>
    <d v="2023-03-22T00:00:00"/>
    <d v="2028-03-22T00:00:00"/>
    <m/>
    <x v="0"/>
    <x v="0"/>
    <x v="1"/>
    <s v="Vocational High School"/>
    <s v="Automotive Engineering"/>
    <x v="7"/>
    <s v="Production"/>
    <x v="11"/>
    <s v="Production Operator"/>
    <s v="G13"/>
    <s v="TK/0"/>
    <s v="037136905835444"/>
    <s v="03787088282"/>
    <s v="5726940069825"/>
    <s v="BANK BCA"/>
    <s v="6889723730"/>
    <s v="080408668279"/>
    <s v="dedi.santoso@dumibumi.co.id"/>
    <s v="Bekasi, Indonesia"/>
  </r>
  <r>
    <n v="202345218"/>
    <s v="Dedi Nugroho"/>
    <s v="6885060727516967"/>
    <s v="0510931504052978"/>
    <s v="Depok"/>
    <d v="2003-07-26T00:00:00"/>
    <s v="Male"/>
    <s v="Single"/>
    <n v="0"/>
    <s v="Islam"/>
    <s v="A"/>
    <d v="2023-10-19T00:00:00"/>
    <d v="2026-10-19T00:00:00"/>
    <m/>
    <x v="0"/>
    <x v="0"/>
    <x v="1"/>
    <s v="Vocational High School"/>
    <s v="Automotive Engineering"/>
    <x v="7"/>
    <s v="Production"/>
    <x v="11"/>
    <s v="Production Operator"/>
    <s v="G13"/>
    <s v="TK/0"/>
    <s v="576943346927309"/>
    <s v="76954548667"/>
    <s v="9981348975034"/>
    <s v="BANK BCA"/>
    <s v="2433494779"/>
    <s v="082517245640"/>
    <s v="dedi.nugroho@dumibumi.co.id"/>
    <s v="Tangerang, Indonesia"/>
  </r>
  <r>
    <n v="202344990"/>
    <s v="Yusuf Lestari"/>
    <s v="3777677092652411"/>
    <s v="0564051400406331"/>
    <s v="Bogor"/>
    <d v="2003-09-06T00:00:00"/>
    <s v="Male"/>
    <s v="Single"/>
    <n v="0"/>
    <s v="Islam"/>
    <s v="A"/>
    <d v="2023-03-05T00:00:00"/>
    <d v="2028-03-05T00:00:00"/>
    <m/>
    <x v="0"/>
    <x v="0"/>
    <x v="1"/>
    <s v="Vocational High School"/>
    <s v="Automotive Engineering"/>
    <x v="7"/>
    <s v="Production"/>
    <x v="11"/>
    <s v="Production Operator"/>
    <s v="G13"/>
    <s v="TK/0"/>
    <s v="137645763478166"/>
    <s v="88639566425"/>
    <s v="4162403481634"/>
    <s v="BANK BCA"/>
    <s v="0968093012"/>
    <s v="086097578207"/>
    <s v="yusuf.lestari@dumibumi.co.id"/>
    <s v="Subang, Indonesia"/>
  </r>
  <r>
    <n v="202345147"/>
    <s v="Rizky Saputra"/>
    <s v="2554143721034794"/>
    <s v="2028780613375904"/>
    <s v="Bekasi"/>
    <d v="2003-12-19T00:00:00"/>
    <s v="Male"/>
    <s v="Single"/>
    <n v="0"/>
    <s v="Protestantism"/>
    <s v="A"/>
    <d v="2023-08-09T00:00:00"/>
    <d v="2026-08-09T00:00:00"/>
    <m/>
    <x v="0"/>
    <x v="0"/>
    <x v="1"/>
    <s v="Vocational High School"/>
    <s v="Automotive Engineering"/>
    <x v="7"/>
    <s v="Production"/>
    <x v="11"/>
    <s v="Production Operator"/>
    <s v="G13"/>
    <s v="TK/0"/>
    <s v="341949332890646"/>
    <s v="38716711844"/>
    <s v="9693549946117"/>
    <s v="BANK BCA"/>
    <s v="6609828404"/>
    <s v="089883492098"/>
    <s v="rizky.saputra@dumibumi.co.id"/>
    <s v="Subang, Indonesia"/>
  </r>
  <r>
    <n v="202244574"/>
    <s v="Rudi Utami"/>
    <s v="7695475942795952"/>
    <s v="3576384228984278"/>
    <s v="Bekasi"/>
    <d v="2003-12-11T00:00:00"/>
    <s v="Male"/>
    <s v="Single"/>
    <n v="0"/>
    <s v="Islam"/>
    <s v="A"/>
    <d v="2026-01-13T00:00:00"/>
    <d v="2028-01-13T00:00:00"/>
    <m/>
    <x v="0"/>
    <x v="0"/>
    <x v="1"/>
    <s v="Vocational High School"/>
    <s v="Automotive Engineering"/>
    <x v="7"/>
    <s v="Production"/>
    <x v="11"/>
    <s v="Production Operator"/>
    <s v="G13"/>
    <s v="TK/0"/>
    <s v="684690344616320"/>
    <s v="74482689034"/>
    <s v="4083059224873"/>
    <s v="BANK BCA"/>
    <s v="5405370075"/>
    <s v="084231744348"/>
    <s v="rudi.utami@dumibumi.co.id"/>
    <s v="Bogor, Indonesia"/>
  </r>
  <r>
    <n v="201843207"/>
    <s v="Rahmat Kusuma"/>
    <s v="9494878400761267"/>
    <s v="0243535604504282"/>
    <s v="Bandung"/>
    <d v="2003-07-18T00:00:00"/>
    <s v="Male"/>
    <s v="Single"/>
    <n v="0"/>
    <s v="Islam"/>
    <s v="A"/>
    <d v="2023-04-17T00:00:00"/>
    <d v="2028-04-17T00:00:00"/>
    <m/>
    <x v="0"/>
    <x v="0"/>
    <x v="1"/>
    <s v="Vocational High School"/>
    <s v="Automotive Engineering"/>
    <x v="7"/>
    <s v="Production"/>
    <x v="11"/>
    <s v="Production Operator"/>
    <s v="G13"/>
    <s v="TK/0"/>
    <s v="945755673109149"/>
    <s v="31268481683"/>
    <s v="6535273555513"/>
    <s v="BANK BCA"/>
    <s v="6583858976"/>
    <s v="088789164790"/>
    <s v="rahmat.kusuma@dumibumi.co.id"/>
    <s v="Bogor, Indonesia"/>
  </r>
  <r>
    <n v="201843299"/>
    <s v="Farhan Santoso"/>
    <s v="5907354978466590"/>
    <s v="7178328812443132"/>
    <s v="Tanjung Pinang"/>
    <d v="2004-07-17T00:00:00"/>
    <s v="Male"/>
    <s v="Single"/>
    <n v="0"/>
    <s v="Islam"/>
    <s v="A"/>
    <d v="2023-07-18T00:00:00"/>
    <d v="2028-07-18T00:00:00"/>
    <m/>
    <x v="0"/>
    <x v="0"/>
    <x v="1"/>
    <s v="Vocational High School"/>
    <s v="Automotive Engineering"/>
    <x v="7"/>
    <s v="Production"/>
    <x v="11"/>
    <s v="Production Operator"/>
    <s v="G13"/>
    <s v="TK/0"/>
    <s v="882828750159338"/>
    <s v="72907907865"/>
    <s v="6011320405446"/>
    <s v="BANK BCA"/>
    <s v="9467751653"/>
    <s v="081705915382"/>
    <s v="farhan.santoso@dumibumi.co.id"/>
    <s v="Tangerang, Indonesia"/>
  </r>
  <r>
    <n v="201843266"/>
    <s v="Bayu Maulana"/>
    <s v="7321429059065160"/>
    <s v="2795475433397483"/>
    <s v="Subang"/>
    <d v="2004-06-03T00:00:00"/>
    <s v="Male"/>
    <s v="Single"/>
    <n v="0"/>
    <s v="Islam"/>
    <s v="B"/>
    <d v="2023-06-15T00:00:00"/>
    <d v="2028-06-15T00:00:00"/>
    <m/>
    <x v="0"/>
    <x v="0"/>
    <x v="1"/>
    <s v="Vocational High School"/>
    <s v="Automotive Engineering"/>
    <x v="7"/>
    <s v="Production"/>
    <x v="11"/>
    <s v="Production Operator"/>
    <s v="G13"/>
    <s v="TK/0"/>
    <s v="539715317470056"/>
    <s v="59132819113"/>
    <s v="3036981076334"/>
    <s v="BANK BCA"/>
    <s v="5090672520"/>
    <s v="085546275982"/>
    <s v="bayu.maulana@dumibumi.co.id"/>
    <s v="Tangerang, Indonesia"/>
  </r>
  <r>
    <n v="201642487"/>
    <s v="Rudi Lestari"/>
    <s v="6327749908912219"/>
    <s v="8982016058900821"/>
    <s v="Jakarta"/>
    <d v="2004-10-06T00:00:00"/>
    <s v="Male"/>
    <s v="Single"/>
    <n v="0"/>
    <s v="Islam"/>
    <s v="B"/>
    <d v="2023-04-27T00:00:00"/>
    <d v="2028-04-27T00:00:00"/>
    <m/>
    <x v="0"/>
    <x v="0"/>
    <x v="1"/>
    <s v="Vocational High School"/>
    <s v="Automotive Engineering"/>
    <x v="7"/>
    <s v="Production"/>
    <x v="11"/>
    <s v="Production Operator"/>
    <s v="G13"/>
    <s v="TK/0"/>
    <s v="711063251024475"/>
    <s v="57285279224"/>
    <s v="7513719268950"/>
    <s v="BANK BCA"/>
    <s v="2967249438"/>
    <s v="088171071963"/>
    <s v="rudi.lestari@dumibumi.co.id"/>
    <s v="Bogor, Indonesia"/>
  </r>
  <r>
    <n v="202244719"/>
    <s v="Bayu Hidayat"/>
    <s v="6647046416508310"/>
    <s v="0917763698406869"/>
    <s v="Jakarta"/>
    <d v="2004-07-25T00:00:00"/>
    <s v="Male"/>
    <s v="Single"/>
    <n v="0"/>
    <s v="Islam"/>
    <s v="AB"/>
    <d v="2026-06-07T00:00:00"/>
    <d v="2027-06-07T00:00:00"/>
    <m/>
    <x v="0"/>
    <x v="0"/>
    <x v="1"/>
    <s v="Vocational High School"/>
    <s v="Automotive Engineering"/>
    <x v="7"/>
    <s v="Production"/>
    <x v="11"/>
    <s v="Production Operator"/>
    <s v="G13"/>
    <s v="TK/0"/>
    <s v="606359225297694"/>
    <s v="21154800895"/>
    <s v="9531153912651"/>
    <s v="BANK BCA"/>
    <s v="4630106768"/>
    <s v="083388359515"/>
    <s v="bayu.hidayat@dumibumi.co.id"/>
    <s v="Subang, Indonesia"/>
  </r>
  <r>
    <n v="201642693"/>
    <s v="Fajar Utami"/>
    <s v="0342775447189607"/>
    <s v="4860158273166791"/>
    <s v="Jakarta"/>
    <d v="2004-07-13T00:00:00"/>
    <s v="Male"/>
    <s v="Single"/>
    <n v="0"/>
    <s v="Protestantism"/>
    <s v="AB"/>
    <d v="2023-11-19T00:00:00"/>
    <d v="2028-11-19T00:00:00"/>
    <m/>
    <x v="0"/>
    <x v="0"/>
    <x v="1"/>
    <s v="Vocational High School"/>
    <s v="Automotive Engineering"/>
    <x v="7"/>
    <s v="Production"/>
    <x v="11"/>
    <s v="Production Operator"/>
    <s v="G13"/>
    <s v="TK/0"/>
    <s v="750422112160594"/>
    <s v="60088551306"/>
    <s v="5915715434847"/>
    <s v="BANK BCA"/>
    <s v="9263411059"/>
    <s v="080704114290"/>
    <s v="fajar.utami@dumibumi.co.id"/>
    <s v="Tangerang, Indonesia"/>
  </r>
  <r>
    <n v="201542187"/>
    <s v="Rudi Lestari"/>
    <s v="0525199537179373"/>
    <s v="7168018036423765"/>
    <s v="Jakarta"/>
    <d v="2004-10-27T00:00:00"/>
    <s v="Male"/>
    <s v="Single"/>
    <n v="0"/>
    <s v="Islam"/>
    <s v="AB"/>
    <d v="2023-07-02T00:00:00"/>
    <d v="2028-07-02T00:00:00"/>
    <m/>
    <x v="0"/>
    <x v="0"/>
    <x v="1"/>
    <s v="Vocational High School"/>
    <s v="Automotive Engineering"/>
    <x v="7"/>
    <s v="Production"/>
    <x v="11"/>
    <s v="Production Operator"/>
    <s v="G13"/>
    <s v="TK/0"/>
    <s v="123474296558727"/>
    <s v="73788514847"/>
    <s v="2509185431750"/>
    <s v="BANK BCA"/>
    <s v="8375311369"/>
    <s v="083679338824"/>
    <s v="rudi.lestari@dumibumi.co.id"/>
    <s v="Subang, Indonesia"/>
  </r>
  <r>
    <n v="202144520"/>
    <s v="Dedi Nugroho"/>
    <s v="3854864315308681"/>
    <s v="4948830292536172"/>
    <s v="Subang"/>
    <d v="2004-03-08T00:00:00"/>
    <s v="Male"/>
    <s v="Single"/>
    <n v="0"/>
    <s v="Islam"/>
    <s v="AB"/>
    <d v="2025-11-20T00:00:00"/>
    <d v="2027-11-20T00:00:00"/>
    <m/>
    <x v="0"/>
    <x v="0"/>
    <x v="1"/>
    <s v="Vocational High School"/>
    <s v="Automotive Engineering"/>
    <x v="7"/>
    <s v="Production"/>
    <x v="11"/>
    <s v="Production Operator"/>
    <s v="G13"/>
    <s v="TK/0"/>
    <s v="814801980296707"/>
    <s v="31605450257"/>
    <s v="6066780469005"/>
    <s v="BANK BCA"/>
    <s v="3661313945"/>
    <s v="087536286662"/>
    <s v="dedi.nugroho@dumibumi.co.id"/>
    <s v="Subang, Indonesia"/>
  </r>
  <r>
    <n v="201943535"/>
    <s v="Andi Utami"/>
    <s v="8900066893980552"/>
    <s v="4299818772967840"/>
    <s v="Jakarta"/>
    <d v="2004-04-23T00:00:00"/>
    <s v="Male"/>
    <s v="Single"/>
    <n v="0"/>
    <s v="Islam"/>
    <s v="B"/>
    <d v="2024-03-11T00:00:00"/>
    <d v="2027-03-11T00:00:00"/>
    <m/>
    <x v="0"/>
    <x v="0"/>
    <x v="1"/>
    <s v="Vocational High School"/>
    <s v="Automotive Engineering"/>
    <x v="7"/>
    <s v="Production"/>
    <x v="11"/>
    <s v="Production Operator"/>
    <s v="G13"/>
    <s v="TK/0"/>
    <s v="065561499745614"/>
    <s v="01759142530"/>
    <s v="2534786000003"/>
    <s v="BANK BCA"/>
    <s v="9115572100"/>
    <s v="082070013693"/>
    <s v="andi.utami@dumibumi.co.id"/>
    <s v="Depok, Indonesia"/>
  </r>
  <r>
    <n v="201843395"/>
    <s v="Budi Wijaya"/>
    <s v="5789476962035847"/>
    <s v="4155142859748113"/>
    <s v="Jakarta"/>
    <d v="2004-11-25T00:00:00"/>
    <s v="Male"/>
    <s v="Single"/>
    <n v="0"/>
    <s v="Islam"/>
    <s v="A"/>
    <d v="2023-10-22T00:00:00"/>
    <d v="2026-10-22T00:00:00"/>
    <m/>
    <x v="0"/>
    <x v="0"/>
    <x v="1"/>
    <s v="Vocational High School"/>
    <s v="Automotive Engineering"/>
    <x v="7"/>
    <s v="Production"/>
    <x v="11"/>
    <s v="Production Operator"/>
    <s v="G13"/>
    <s v="TK/0"/>
    <s v="254691205199197"/>
    <s v="41343519393"/>
    <s v="8026938340845"/>
    <s v="BANK BCA"/>
    <s v="5352171606"/>
    <s v="085795419073"/>
    <s v="budi.wijaya@dumibumi.co.id"/>
    <s v="Bandung, Indonesia"/>
  </r>
  <r>
    <n v="202545977"/>
    <s v="Yoga Permata"/>
    <s v="0653548589918503"/>
    <s v="1696039419532972"/>
    <s v="Jakarta"/>
    <d v="2004-08-09T00:00:00"/>
    <s v="Male"/>
    <s v="Single"/>
    <n v="0"/>
    <s v="Islam"/>
    <s v="B"/>
    <d v="2025-11-16T00:00:00"/>
    <d v="2030-11-16T00:00:00"/>
    <m/>
    <x v="0"/>
    <x v="0"/>
    <x v="1"/>
    <s v="Vocational High School"/>
    <s v="Automotive Engineering"/>
    <x v="7"/>
    <s v="Production"/>
    <x v="11"/>
    <s v="Production Operator"/>
    <s v="G13"/>
    <s v="TK/0"/>
    <s v="618836582434467"/>
    <s v="11052942596"/>
    <s v="8997513813118"/>
    <s v="BANK BCA"/>
    <s v="4654570280"/>
    <s v="088895007865"/>
    <s v="yoga.permata@dumibumi.co.id"/>
    <s v="Depok, Indonesia"/>
  </r>
  <r>
    <n v="201441987"/>
    <s v="Rudi Maulana"/>
    <s v="4811430995627642"/>
    <s v="6622534146095148"/>
    <s v="Tangerang"/>
    <d v="2002-02-10T00:00:00"/>
    <s v="Male"/>
    <s v="Single"/>
    <n v="0"/>
    <s v="Islam"/>
    <s v="B"/>
    <d v="2023-12-14T00:00:00"/>
    <d v="2026-12-14T00:00:00"/>
    <m/>
    <x v="0"/>
    <x v="0"/>
    <x v="1"/>
    <s v="Vocational High School"/>
    <s v="Automotive Engineering"/>
    <x v="7"/>
    <s v="Production"/>
    <x v="11"/>
    <s v="Production Operator"/>
    <s v="G13"/>
    <s v="TK/0"/>
    <s v="619718234332321"/>
    <s v="82027550008"/>
    <s v="7015214224884"/>
    <s v="BANK BCA"/>
    <s v="1788751524"/>
    <s v="085075022496"/>
    <s v="rudi.maulana@dumibumi.co.id"/>
    <s v="Bekasi, Indonesia"/>
  </r>
  <r>
    <n v="201843418"/>
    <s v="Yusuf Maulana"/>
    <s v="0842958924190261"/>
    <s v="2027557138967484"/>
    <s v="Tangerang"/>
    <d v="2004-12-18T00:00:00"/>
    <s v="Male"/>
    <s v="Single"/>
    <n v="0"/>
    <s v="Islam"/>
    <s v="B"/>
    <d v="2023-11-14T00:00:00"/>
    <d v="2026-11-14T00:00:00"/>
    <m/>
    <x v="0"/>
    <x v="0"/>
    <x v="1"/>
    <s v="Vocational High School"/>
    <s v="Automotive Engineering"/>
    <x v="7"/>
    <s v="Production"/>
    <x v="11"/>
    <s v="Production Operator"/>
    <s v="G13"/>
    <s v="TK/0"/>
    <s v="472474692237260"/>
    <s v="52744204891"/>
    <s v="6528709186585"/>
    <s v="BANK BCA"/>
    <s v="3586748601"/>
    <s v="088430457461"/>
    <s v="yusuf.maulana@dumibumi.co.id"/>
    <s v="Subang, Indonesia"/>
  </r>
  <r>
    <n v="202344945"/>
    <s v="Rudi Kurniawan"/>
    <s v="2382969170350040"/>
    <s v="7106187998331466"/>
    <s v="Subang"/>
    <d v="2004-12-08T00:00:00"/>
    <s v="Male"/>
    <s v="Single"/>
    <n v="0"/>
    <s v="Islam"/>
    <s v="A"/>
    <d v="2023-01-19T00:00:00"/>
    <d v="2028-01-19T00:00:00"/>
    <m/>
    <x v="0"/>
    <x v="0"/>
    <x v="1"/>
    <s v="Vocational High School"/>
    <s v="Automotive Engineering"/>
    <x v="7"/>
    <s v="Production"/>
    <x v="11"/>
    <s v="Production Operator"/>
    <s v="G13"/>
    <s v="TK/0"/>
    <s v="196455974387887"/>
    <s v="45622424281"/>
    <s v="8908900386871"/>
    <s v="BANK BCA"/>
    <s v="0988499606"/>
    <s v="087204231691"/>
    <s v="rudi.kurniawan@dumibumi.co.id"/>
    <s v="Tangerang, Indonesia"/>
  </r>
  <r>
    <n v="201843419"/>
    <s v="Dwi Pratama"/>
    <s v="2779054638312821"/>
    <s v="4584898048402282"/>
    <s v="Bogor"/>
    <d v="2010-04-22T00:00:00"/>
    <s v="Male"/>
    <s v="Single"/>
    <n v="0"/>
    <s v="Islam"/>
    <s v="A"/>
    <d v="2025-11-15T00:00:00"/>
    <d v="2026-11-15T00:00:00"/>
    <m/>
    <x v="0"/>
    <x v="0"/>
    <x v="1"/>
    <s v="Vocational High School"/>
    <s v="Metal Engineering"/>
    <x v="7"/>
    <s v="Production"/>
    <x v="8"/>
    <s v="Procution Intern"/>
    <s v="G14"/>
    <s v="TK/0"/>
    <s v="207730753680711"/>
    <s v="35174413999"/>
    <s v="2189571543691"/>
    <s v="BANK BNI"/>
    <s v="8768571013"/>
    <s v="080235000304"/>
    <s v="dewi.pratama@dumibumi.co.id"/>
    <s v="Bandung, Indonesia"/>
  </r>
  <r>
    <n v="202144522"/>
    <s v="Budi Maulana"/>
    <s v="2103430328258333"/>
    <s v="1116731449916532"/>
    <s v="Jakarta"/>
    <d v="2002-03-03T00:00:00"/>
    <s v="Male"/>
    <s v="Single"/>
    <n v="0"/>
    <s v="Islam"/>
    <s v="A"/>
    <d v="2025-11-22T00:00:00"/>
    <d v="2030-11-22T00:00:00"/>
    <m/>
    <x v="0"/>
    <x v="0"/>
    <x v="1"/>
    <s v="Vocational High School"/>
    <s v="Automotive Engineering"/>
    <x v="7"/>
    <s v="Production"/>
    <x v="11"/>
    <s v="Production Operator"/>
    <s v="G13"/>
    <s v="TK/0"/>
    <s v="001277078151180"/>
    <s v="15808614666"/>
    <s v="6838562239350"/>
    <s v="BANK BCA"/>
    <s v="3725115785"/>
    <s v="082122402232"/>
    <s v="budi.maulana@dumibumi.co.id"/>
    <s v="Tangerang, Indonesia"/>
  </r>
  <r>
    <n v="201943796"/>
    <s v="Sapri Maulana"/>
    <s v="5196055810265711"/>
    <s v="1490893612136505"/>
    <s v="Bandung"/>
    <d v="2010-11-11T00:00:00"/>
    <s v="Male"/>
    <s v="Single"/>
    <n v="0"/>
    <s v="Islam"/>
    <s v="A"/>
    <d v="2025-11-27T00:00:00"/>
    <d v="2026-11-27T00:00:00"/>
    <m/>
    <x v="0"/>
    <x v="0"/>
    <x v="1"/>
    <s v="Vocational High School"/>
    <s v="Metal Engineering"/>
    <x v="7"/>
    <s v="Production"/>
    <x v="8"/>
    <s v="Procution Intern"/>
    <s v="G14"/>
    <s v="TK/0"/>
    <s v="964100140080475"/>
    <s v="54156634807"/>
    <s v="0552266439325"/>
    <s v="BANK BNI"/>
    <s v="7631606285"/>
    <s v="086487996675"/>
    <s v="siti.maulana@dumibumi.co.id"/>
    <s v="Jakarta, Indonesia"/>
  </r>
  <r>
    <n v="201843252"/>
    <s v="Rizky Ramadhan"/>
    <s v="8270091757844010"/>
    <s v="3224793982424427"/>
    <s v="Subang"/>
    <d v="2004-07-26T00:00:00"/>
    <s v="Male"/>
    <s v="Single"/>
    <n v="0"/>
    <s v="Islam"/>
    <s v="A"/>
    <d v="2025-06-01T00:00:00"/>
    <d v="2027-06-01T00:00:00"/>
    <m/>
    <x v="0"/>
    <x v="0"/>
    <x v="1"/>
    <s v="Vocational High School"/>
    <s v="Automotive Engineering"/>
    <x v="7"/>
    <s v="Production"/>
    <x v="11"/>
    <s v="Production Operator"/>
    <s v="G13"/>
    <s v="TK/0"/>
    <s v="350068970111503"/>
    <s v="23771112995"/>
    <s v="6212128900744"/>
    <s v="BANK BCA"/>
    <s v="9701057544"/>
    <s v="088211685405"/>
    <s v="rizky.ramadhan@dumibumi.co.id"/>
    <s v="Bandung, Indonesia"/>
  </r>
  <r>
    <n v="201642471"/>
    <s v="Fajar Saputra"/>
    <s v="9166623819915548"/>
    <s v="8228795445336476"/>
    <s v="Bandung"/>
    <d v="2004-09-26T00:00:00"/>
    <s v="Male"/>
    <s v="Single"/>
    <n v="0"/>
    <s v="Islam"/>
    <s v="A"/>
    <d v="2023-04-11T00:00:00"/>
    <d v="2028-04-11T00:00:00"/>
    <m/>
    <x v="0"/>
    <x v="0"/>
    <x v="1"/>
    <s v="Vocational High School"/>
    <s v="Automotive Engineering"/>
    <x v="7"/>
    <s v="Production"/>
    <x v="11"/>
    <s v="Production Operator"/>
    <s v="G13"/>
    <s v="TK/0"/>
    <s v="361383148390241"/>
    <s v="27641637383"/>
    <s v="4272699891639"/>
    <s v="BANK BCA"/>
    <s v="5473221620"/>
    <s v="084799067558"/>
    <s v="fajar.saputra@dumibumi.co.id"/>
    <s v="Bandung, Indonesia"/>
  </r>
  <r>
    <n v="202545968"/>
    <s v="Nanda Nugroho"/>
    <s v="8785436994493408"/>
    <s v="5861180074492022"/>
    <s v="Tangerang"/>
    <d v="2009-08-17T00:00:00"/>
    <s v="Male"/>
    <s v="Single"/>
    <n v="0"/>
    <s v="Islam"/>
    <s v="A"/>
    <d v="2025-11-07T00:00:00"/>
    <d v="2026-11-07T00:00:00"/>
    <m/>
    <x v="0"/>
    <x v="0"/>
    <x v="1"/>
    <s v="Vocational High School"/>
    <s v="Metal Engineering"/>
    <x v="7"/>
    <s v="Production"/>
    <x v="8"/>
    <s v="Procution Intern"/>
    <s v="G14"/>
    <s v="TK/0"/>
    <s v="748299557195774"/>
    <s v="30933274542"/>
    <s v="5306530753529"/>
    <s v="BANK BNI"/>
    <s v="1857254120"/>
    <s v="083614938947"/>
    <s v="nadia.nugroho@dumibumi.co.id"/>
    <s v="Subang, Indonesia"/>
  </r>
  <r>
    <n v="201742806"/>
    <s v="Rizky Saputra"/>
    <s v="3848323509854693"/>
    <s v="2636474072230777"/>
    <s v="Depok"/>
    <d v="2002-01-12T00:00:00"/>
    <s v="Male"/>
    <s v="Single"/>
    <n v="0"/>
    <s v="Islam"/>
    <s v="B"/>
    <d v="2023-03-12T00:00:00"/>
    <d v="2028-03-12T00:00:00"/>
    <m/>
    <x v="0"/>
    <x v="0"/>
    <x v="1"/>
    <s v="Vocational High School"/>
    <s v="Automotive Engineering"/>
    <x v="7"/>
    <s v="Production"/>
    <x v="11"/>
    <s v="Production Operator"/>
    <s v="G13"/>
    <s v="TK/0"/>
    <s v="091889193191889"/>
    <s v="72882444400"/>
    <s v="7863008197861"/>
    <s v="BANK BCA"/>
    <s v="5492451375"/>
    <s v="082807659302"/>
    <s v="rizky.saputra@dumibumi.co.id"/>
    <s v="Depok, Indonesia"/>
  </r>
  <r>
    <n v="201843451"/>
    <s v="Budi Kusuma"/>
    <s v="8966425293284516"/>
    <s v="6444158298300135"/>
    <s v="Tangerang"/>
    <d v="2002-09-11T00:00:00"/>
    <s v="Male"/>
    <s v="Single"/>
    <n v="0"/>
    <s v="Catholicism"/>
    <s v="B"/>
    <d v="2023-12-17T00:00:00"/>
    <d v="2028-12-17T00:00:00"/>
    <m/>
    <x v="0"/>
    <x v="0"/>
    <x v="1"/>
    <s v="Vocational High School"/>
    <s v="Automotive Engineering"/>
    <x v="7"/>
    <s v="Production"/>
    <x v="11"/>
    <s v="Production Operator"/>
    <s v="G13"/>
    <s v="TK/0"/>
    <s v="156422941044261"/>
    <s v="50268051678"/>
    <s v="9820190273042"/>
    <s v="BANK BCA"/>
    <s v="2862870575"/>
    <s v="081490623210"/>
    <s v="budi.kusuma@dumibumi.co.id"/>
    <s v="Jakarta, Indonesia"/>
  </r>
  <r>
    <n v="201943517"/>
    <s v="Yoga Kusuma"/>
    <s v="4056204832021363"/>
    <s v="1444684841150491"/>
    <s v="Depok"/>
    <d v="2002-07-12T00:00:00"/>
    <s v="Male"/>
    <s v="Single"/>
    <n v="0"/>
    <s v="Islam"/>
    <s v="B"/>
    <d v="2024-02-21T00:00:00"/>
    <d v="2029-02-21T00:00:00"/>
    <m/>
    <x v="0"/>
    <x v="0"/>
    <x v="1"/>
    <s v="Vocational High School"/>
    <s v="Automotive Engineering"/>
    <x v="7"/>
    <s v="Production"/>
    <x v="11"/>
    <s v="Production Operator"/>
    <s v="G13"/>
    <s v="TK/0"/>
    <s v="965972551011147"/>
    <s v="99558694649"/>
    <s v="2384854049745"/>
    <s v="BANK BCA"/>
    <s v="3301716355"/>
    <s v="081326766416"/>
    <s v="yoga.kusuma@dumibumi.co.id"/>
    <s v="Bandung, Indonesia"/>
  </r>
  <r>
    <n v="201943725"/>
    <s v="Rizky Saputra"/>
    <s v="8959147397370290"/>
    <s v="2829491068196691"/>
    <s v="Subang"/>
    <d v="2009-06-08T00:00:00"/>
    <s v="Male"/>
    <s v="Single"/>
    <n v="0"/>
    <s v="Islam"/>
    <s v="A"/>
    <d v="2025-09-17T00:00:00"/>
    <d v="2026-09-17T00:00:00"/>
    <m/>
    <x v="0"/>
    <x v="0"/>
    <x v="1"/>
    <s v="Vocational High School"/>
    <s v="Metal Engineering"/>
    <x v="7"/>
    <s v="Production"/>
    <x v="8"/>
    <s v="Procution Intern"/>
    <s v="G14"/>
    <s v="TK/0"/>
    <s v="878573998339648"/>
    <s v="94077887033"/>
    <s v="8282412016485"/>
    <s v="BANK BNI"/>
    <s v="2710411291"/>
    <s v="085305052617"/>
    <s v="rina.sari@dumibumi.co.id"/>
    <s v="Jakarta, Indonesia"/>
  </r>
  <r>
    <n v="202646042"/>
    <s v="Budi Kurniawan"/>
    <s v="9618115434098907"/>
    <s v="8289666117873440"/>
    <s v="Bekasi"/>
    <d v="2002-05-04T00:00:00"/>
    <s v="Male"/>
    <s v="Single"/>
    <n v="0"/>
    <s v="Islam"/>
    <s v="B"/>
    <d v="2026-01-20T00:00:00"/>
    <d v="2031-01-20T00:00:00"/>
    <m/>
    <x v="0"/>
    <x v="0"/>
    <x v="1"/>
    <s v="Vocational High School"/>
    <s v="Automotive Engineering"/>
    <x v="7"/>
    <s v="Production"/>
    <x v="11"/>
    <s v="Production Operator"/>
    <s v="G13"/>
    <s v="TK/0"/>
    <s v="888155225630260"/>
    <s v="65271985730"/>
    <s v="2730574992970"/>
    <s v="BANK BCA"/>
    <s v="9855166242"/>
    <s v="085920750544"/>
    <s v="budi.kurniawan@dumibumi.co.id"/>
    <s v="Tangerang, Indonesia"/>
  </r>
  <r>
    <n v="202044155"/>
    <s v="Rizky Permata"/>
    <s v="6739479691552944"/>
    <s v="7181230340916283"/>
    <s v="Bogor"/>
    <d v="2002-10-22T00:00:00"/>
    <s v="Male"/>
    <s v="Single"/>
    <n v="0"/>
    <s v="Islam"/>
    <s v="A"/>
    <d v="2025-11-20T00:00:00"/>
    <d v="2026-11-20T00:00:00"/>
    <m/>
    <x v="0"/>
    <x v="0"/>
    <x v="1"/>
    <s v="Vocational High School"/>
    <s v="Automotive Engineering"/>
    <x v="7"/>
    <s v="Production"/>
    <x v="11"/>
    <s v="Production Operator"/>
    <s v="G13"/>
    <s v="TK/0"/>
    <s v="966701965953332"/>
    <s v="69276802936"/>
    <s v="6653016416650"/>
    <s v="BANK BCA"/>
    <s v="6865426842"/>
    <s v="080614528889"/>
    <s v="rizky.permata@dumibumi.co.id"/>
    <s v="Tangerang, Indonesia"/>
  </r>
  <r>
    <n v="201843296"/>
    <s v="Dedi Maulana"/>
    <s v="3525858943087447"/>
    <s v="5499047027773277"/>
    <s v="Jakarta"/>
    <d v="2002-10-18T00:00:00"/>
    <s v="Male"/>
    <s v="Single"/>
    <n v="0"/>
    <s v="Islam"/>
    <s v="AB"/>
    <d v="2023-07-15T00:00:00"/>
    <d v="2028-07-15T00:00:00"/>
    <m/>
    <x v="0"/>
    <x v="0"/>
    <x v="1"/>
    <s v="Vocational High School"/>
    <s v="Automotive Engineering"/>
    <x v="7"/>
    <s v="Production"/>
    <x v="11"/>
    <s v="Production Operator"/>
    <s v="G13"/>
    <s v="TK/0"/>
    <s v="734411987609846"/>
    <s v="64688817989"/>
    <s v="1725033027195"/>
    <s v="BANK BCA"/>
    <s v="3419726240"/>
    <s v="088515747394"/>
    <s v="dedi.maulana@dumibumi.co.id"/>
    <s v="Bogor, Indonesia"/>
  </r>
  <r>
    <n v="201742836"/>
    <s v="Putra Lesmana"/>
    <s v="4576344194147583"/>
    <s v="5657087861845613"/>
    <s v="Tangerang"/>
    <d v="2009-09-02T00:00:00"/>
    <s v="Male"/>
    <s v="Single"/>
    <n v="0"/>
    <s v="Islam"/>
    <s v="A"/>
    <d v="2026-04-11T00:00:00"/>
    <d v="2027-04-11T00:00:00"/>
    <m/>
    <x v="0"/>
    <x v="0"/>
    <x v="1"/>
    <s v="Vocational High School"/>
    <s v="Automotive Engineering"/>
    <x v="7"/>
    <s v="Production"/>
    <x v="8"/>
    <s v="Procution Intern"/>
    <s v="G14"/>
    <s v="TK/0"/>
    <s v="889741024865383"/>
    <s v="98255812643"/>
    <s v="6889037959041"/>
    <s v="BANK BNI"/>
    <s v="1373025285"/>
    <s v="089557258583"/>
    <s v="putri.lestari@dumibumi.co.id"/>
    <s v="Bekasi, Indonesia"/>
  </r>
  <r>
    <n v="201943818"/>
    <s v="Rudi Hidayat"/>
    <s v="2681586103592001"/>
    <s v="7905699668146765"/>
    <s v="Bandung"/>
    <d v="2002-03-11T00:00:00"/>
    <s v="Male"/>
    <s v="Single"/>
    <n v="0"/>
    <s v="Islam"/>
    <s v="B"/>
    <d v="2024-12-19T00:00:00"/>
    <d v="2026-12-19T00:00:00"/>
    <m/>
    <x v="0"/>
    <x v="0"/>
    <x v="1"/>
    <s v="Vocational High School"/>
    <s v="Automotive Engineering"/>
    <x v="7"/>
    <s v="Production"/>
    <x v="11"/>
    <s v="Production Operator"/>
    <s v="G13"/>
    <s v="TK/0"/>
    <s v="717586342506109"/>
    <s v="04188340755"/>
    <s v="9473036609178"/>
    <s v="BANK BCA"/>
    <s v="8772925691"/>
    <s v="088591931527"/>
    <s v="rudi.hidayat@dumibumi.co.id"/>
    <s v="Bogor, Indonesia"/>
  </r>
  <r>
    <n v="201743033"/>
    <s v="Yoga Pratama"/>
    <s v="4879823425242053"/>
    <s v="4932760115738116"/>
    <s v="Bogor"/>
    <d v="2002-01-23T00:00:00"/>
    <s v="Male"/>
    <s v="Single"/>
    <n v="0"/>
    <s v="Islam"/>
    <s v="A"/>
    <d v="2023-10-25T00:00:00"/>
    <d v="2026-10-25T00:00:00"/>
    <m/>
    <x v="0"/>
    <x v="0"/>
    <x v="1"/>
    <s v="Vocational High School"/>
    <s v="Automotive Engineering"/>
    <x v="7"/>
    <s v="Production"/>
    <x v="11"/>
    <s v="Production Operator"/>
    <s v="G13"/>
    <s v="TK/0"/>
    <s v="528014728825516"/>
    <s v="55017668451"/>
    <s v="5966652289970"/>
    <s v="BANK BCA"/>
    <s v="7301918298"/>
    <s v="082825664057"/>
    <s v="yoga.pratama@dumibumi.co.id"/>
    <s v="Bandung, Indonesia"/>
  </r>
  <r>
    <n v="202445407"/>
    <s v="Rahmat Pangestu"/>
    <s v="2537623368823339"/>
    <s v="2467969718710905"/>
    <s v="Bandung"/>
    <d v="2002-06-13T00:00:00"/>
    <s v="Male"/>
    <s v="Single"/>
    <n v="0"/>
    <s v="Islam"/>
    <s v="A"/>
    <d v="2024-04-25T00:00:00"/>
    <d v="2029-04-25T00:00:00"/>
    <m/>
    <x v="0"/>
    <x v="0"/>
    <x v="1"/>
    <s v="Vocational High School"/>
    <s v="Automotive Engineering"/>
    <x v="7"/>
    <s v="Production"/>
    <x v="11"/>
    <s v="Production Operator"/>
    <s v="G13"/>
    <s v="TK/0"/>
    <s v="765917025389976"/>
    <s v="22117213315"/>
    <s v="8818479735058"/>
    <s v="BANK BCA"/>
    <s v="1727965861"/>
    <s v="080005406101"/>
    <s v="rahmat.pangestu@dumibumi.co.id"/>
    <s v="Jakarta, Indonesia"/>
  </r>
  <r>
    <n v="202044056"/>
    <s v="Asep Hidayat"/>
    <s v="3131320329661947"/>
    <s v="9255243207122333"/>
    <s v="Bogor"/>
    <d v="2009-08-04T00:00:00"/>
    <s v="Male"/>
    <s v="Single"/>
    <n v="0"/>
    <s v="Islam"/>
    <s v="A"/>
    <d v="2025-08-13T00:00:00"/>
    <d v="2026-08-13T00:00:00"/>
    <m/>
    <x v="0"/>
    <x v="0"/>
    <x v="1"/>
    <s v="Vocational High School"/>
    <s v="Automotive Engineering"/>
    <x v="7"/>
    <s v="Production"/>
    <x v="8"/>
    <s v="Procution Intern"/>
    <s v="G14"/>
    <s v="TK/0"/>
    <s v="254472193793220"/>
    <s v="57101939067"/>
    <s v="3438953619177"/>
    <s v="BANK BNI"/>
    <s v="6259513618"/>
    <s v="087158154784"/>
    <s v="indah.hidayat@dumibumi.co.id"/>
    <s v="Tangerang, Indonesia"/>
  </r>
  <r>
    <n v="202345272"/>
    <s v="Farhan Hidayat"/>
    <s v="8073565990990580"/>
    <s v="8888660849975061"/>
    <s v="Subang"/>
    <d v="2002-01-19T00:00:00"/>
    <s v="Male"/>
    <s v="Single"/>
    <n v="0"/>
    <s v="Islam"/>
    <s v="B"/>
    <d v="2023-12-12T00:00:00"/>
    <d v="2026-12-12T00:00:00"/>
    <m/>
    <x v="0"/>
    <x v="0"/>
    <x v="1"/>
    <s v="Vocational High School"/>
    <s v="Automotive Engineering"/>
    <x v="7"/>
    <s v="Production"/>
    <x v="11"/>
    <s v="Production Operator"/>
    <s v="G13"/>
    <s v="TK/0"/>
    <s v="530051463293704"/>
    <s v="81961592885"/>
    <s v="7333600014646"/>
    <s v="BANK BCA"/>
    <s v="5118008110"/>
    <s v="088511630784"/>
    <s v="farhan.hidayat@dumibumi.co.id"/>
    <s v="Bandung, Indonesia"/>
  </r>
  <r>
    <n v="202445398"/>
    <s v="Andi Ramadhan"/>
    <s v="5798617338079313"/>
    <s v="3647829132408864"/>
    <s v="Bogor"/>
    <d v="2002-01-18T00:00:00"/>
    <s v="Male"/>
    <s v="Single"/>
    <n v="0"/>
    <s v="Islam"/>
    <s v="B"/>
    <d v="2024-04-16T00:00:00"/>
    <d v="2027-04-16T00:00:00"/>
    <m/>
    <x v="0"/>
    <x v="0"/>
    <x v="1"/>
    <s v="Vocational High School"/>
    <s v="Automotive Engineering"/>
    <x v="7"/>
    <s v="Production"/>
    <x v="11"/>
    <s v="Production Operator"/>
    <s v="G13"/>
    <s v="TK/0"/>
    <s v="088379079842488"/>
    <s v="20075889935"/>
    <s v="9658119576872"/>
    <s v="BANK BCA"/>
    <s v="8933845708"/>
    <s v="082798684035"/>
    <s v="andi.ramadhan@dumibumi.co.id"/>
    <s v="Depok, Indonesia"/>
  </r>
  <r>
    <n v="202545706"/>
    <s v="Andi Maulana"/>
    <s v="5993341614580009"/>
    <s v="6803301750517023"/>
    <s v="Subang"/>
    <d v="2002-12-07T00:00:00"/>
    <s v="Male"/>
    <s v="Single"/>
    <n v="0"/>
    <s v="Islam"/>
    <s v="B"/>
    <d v="2025-02-18T00:00:00"/>
    <d v="2030-02-18T00:00:00"/>
    <m/>
    <x v="0"/>
    <x v="0"/>
    <x v="1"/>
    <s v="Vocational High School"/>
    <s v="Automotive Engineering"/>
    <x v="7"/>
    <s v="Production"/>
    <x v="11"/>
    <s v="Production Operator"/>
    <s v="G13"/>
    <s v="TK/0"/>
    <s v="721539562416585"/>
    <s v="53593179686"/>
    <s v="6280506357902"/>
    <s v="BANK BCA"/>
    <s v="3400274517"/>
    <s v="087758563674"/>
    <s v="andi.maulana@dumibumi.co.id"/>
    <s v="Bogor, Indonesia"/>
  </r>
  <r>
    <n v="202646151"/>
    <s v="Egi Pratama"/>
    <s v="1262401913414951"/>
    <s v="7727106293082942"/>
    <s v="Jakarta"/>
    <d v="2009-12-09T00:00:00"/>
    <s v="Male"/>
    <s v="Single"/>
    <n v="0"/>
    <s v="Islam"/>
    <s v="A"/>
    <d v="2026-05-09T00:00:00"/>
    <d v="2027-05-09T00:00:00"/>
    <m/>
    <x v="0"/>
    <x v="0"/>
    <x v="1"/>
    <s v="Vocational High School"/>
    <s v="Automotive Engineering"/>
    <x v="7"/>
    <s v="Production"/>
    <x v="8"/>
    <s v="Procution Intern"/>
    <s v="G14"/>
    <s v="TK/0"/>
    <s v="178182403118557"/>
    <s v="37597950926"/>
    <s v="7796737225699"/>
    <s v="BANK BNI"/>
    <s v="2067389914"/>
    <s v="083974159879"/>
    <s v="nadia.pratama@dumibumi.co.id"/>
    <s v="Bandung, Indonesia"/>
  </r>
  <r>
    <n v="202445560"/>
    <s v="Yusuf Saputra"/>
    <s v="4247871899125265"/>
    <s v="7444883367703655"/>
    <s v="Subang"/>
    <d v="2002-06-27T00:00:00"/>
    <s v="Male"/>
    <s v="Single"/>
    <n v="0"/>
    <s v="Islam"/>
    <s v="B"/>
    <d v="2024-09-25T00:00:00"/>
    <d v="2026-09-25T00:00:00"/>
    <m/>
    <x v="0"/>
    <x v="0"/>
    <x v="1"/>
    <s v="Vocational High School"/>
    <s v="Automotive Engineering"/>
    <x v="7"/>
    <s v="Production"/>
    <x v="11"/>
    <s v="Production Operator"/>
    <s v="G13"/>
    <s v="TK/0"/>
    <s v="152716823963612"/>
    <s v="60342795930"/>
    <s v="0091593832139"/>
    <s v="BANK BCA"/>
    <s v="9563330911"/>
    <s v="085321335287"/>
    <s v="yusuf.saputra@dumibumi.co.id"/>
    <s v="Bogor, Indonesia"/>
  </r>
  <r>
    <n v="202044023"/>
    <s v="Siti Maulana"/>
    <s v="2407510482879145"/>
    <s v="6379367309178858"/>
    <s v="Depok"/>
    <d v="2010-04-09T00:00:00"/>
    <s v="Female"/>
    <s v="Single"/>
    <n v="0"/>
    <s v="Islam"/>
    <s v="A"/>
    <d v="2026-07-11T00:00:00"/>
    <d v="2027-07-11T00:00:00"/>
    <m/>
    <x v="0"/>
    <x v="0"/>
    <x v="1"/>
    <s v="Vocational High School"/>
    <s v="Automotive Engineering"/>
    <x v="7"/>
    <s v="Production"/>
    <x v="8"/>
    <s v="Procution Intern"/>
    <s v="G14"/>
    <s v="TK/0"/>
    <s v="024800614788436"/>
    <s v="06508531356"/>
    <s v="4750315762832"/>
    <s v="BANK BNI"/>
    <s v="0131387787"/>
    <s v="088497523016"/>
    <s v="siti.maulana@dumibumi.co.id"/>
    <s v="Subang, Indonesia"/>
  </r>
  <r>
    <n v="202646255"/>
    <s v="Yusuf Maulana"/>
    <s v="3885473725425308"/>
    <s v="7068925847837895"/>
    <s v="Bekasi"/>
    <d v="2002-09-22T00:00:00"/>
    <s v="Male"/>
    <s v="Single"/>
    <n v="0"/>
    <s v="Islam"/>
    <s v="B"/>
    <d v="2025-08-21T00:00:00"/>
    <d v="2027-08-21T00:00:00"/>
    <m/>
    <x v="0"/>
    <x v="0"/>
    <x v="1"/>
    <s v="Vocational High School"/>
    <s v="Automotive Engineering"/>
    <x v="7"/>
    <s v="Production"/>
    <x v="11"/>
    <s v="Production Operator"/>
    <s v="G13"/>
    <s v="TK/0"/>
    <s v="711071195769254"/>
    <s v="73717795066"/>
    <s v="3225506848332"/>
    <s v="BANK BCA"/>
    <s v="5313080539"/>
    <s v="087564520494"/>
    <s v="yusuf.maulana@dumibumi.co.id"/>
    <s v="Tangerang, Indonesia"/>
  </r>
  <r>
    <n v="202545888"/>
    <s v="Farhan Utami"/>
    <s v="8628846092214915"/>
    <s v="3398196116382853"/>
    <s v="Jakarta"/>
    <d v="2003-06-04T00:00:00"/>
    <s v="Male"/>
    <s v="Single"/>
    <n v="0"/>
    <s v="Islam"/>
    <s v="B"/>
    <d v="2025-08-19T00:00:00"/>
    <d v="2026-08-19T00:00:00"/>
    <m/>
    <x v="0"/>
    <x v="0"/>
    <x v="1"/>
    <s v="Vocational High School"/>
    <s v="Automotive Engineering"/>
    <x v="7"/>
    <s v="Production"/>
    <x v="11"/>
    <s v="Production Operator"/>
    <s v="G13"/>
    <s v="TK/0"/>
    <s v="269110330083334"/>
    <s v="51075526539"/>
    <s v="6341322555815"/>
    <s v="BANK BCA"/>
    <s v="9423475922"/>
    <s v="089135814002"/>
    <s v="farhan.utami@dumibumi.co.id"/>
    <s v="Bandung, Indonesia"/>
  </r>
  <r>
    <n v="202144404"/>
    <s v="Andi Maulana"/>
    <s v="2427589308136896"/>
    <s v="1505522920969456"/>
    <s v="Bekasi"/>
    <d v="2002-11-15T00:00:00"/>
    <s v="Male"/>
    <s v="Single"/>
    <n v="0"/>
    <s v="Catholicism"/>
    <s v="B"/>
    <d v="2025-07-27T00:00:00"/>
    <d v="2026-07-27T00:00:00"/>
    <m/>
    <x v="0"/>
    <x v="0"/>
    <x v="1"/>
    <s v="Vocational High School"/>
    <s v="Automotive Engineering"/>
    <x v="7"/>
    <s v="Production"/>
    <x v="11"/>
    <s v="Production Operator"/>
    <s v="G13"/>
    <s v="TK/0"/>
    <s v="012973767581187"/>
    <s v="81082194883"/>
    <s v="6151539163462"/>
    <s v="BANK BCA"/>
    <s v="9502077492"/>
    <s v="087030051902"/>
    <s v="andi.maulana@dumibumi.co.id"/>
    <s v="Depok, Indonesia"/>
  </r>
  <r>
    <n v="202244566"/>
    <s v="Budi Saputra"/>
    <s v="0797537200301634"/>
    <s v="6598263530777036"/>
    <s v="Subang"/>
    <d v="2003-02-05T00:00:00"/>
    <s v="Male"/>
    <s v="Single"/>
    <n v="0"/>
    <s v="Islam"/>
    <s v="B"/>
    <d v="2026-01-05T00:00:00"/>
    <d v="2028-01-05T00:00:00"/>
    <m/>
    <x v="0"/>
    <x v="0"/>
    <x v="1"/>
    <s v="Vocational High School"/>
    <s v="Automotive Engineering"/>
    <x v="7"/>
    <s v="Production"/>
    <x v="11"/>
    <s v="Production Operator"/>
    <s v="G13"/>
    <s v="TK/0"/>
    <s v="180010361491525"/>
    <s v="09086446632"/>
    <s v="6330097262874"/>
    <s v="BANK BCA"/>
    <s v="0675851465"/>
    <s v="085265322441"/>
    <s v="budi.saputra@dumibumi.co.id"/>
    <s v="Tangerang, Indonesia"/>
  </r>
  <r>
    <n v="202545951"/>
    <s v="Zidan Santoso"/>
    <s v="6929659466034962"/>
    <s v="3619075271407520"/>
    <s v="Jakarta"/>
    <d v="2010-07-28T00:00:00"/>
    <s v="Male"/>
    <s v="Single"/>
    <n v="0"/>
    <s v="Islam"/>
    <s v="A"/>
    <d v="2025-10-21T00:00:00"/>
    <d v="2026-10-21T00:00:00"/>
    <m/>
    <x v="0"/>
    <x v="0"/>
    <x v="1"/>
    <s v="Vocational High School"/>
    <s v="Automotive Engineering"/>
    <x v="7"/>
    <s v="Production"/>
    <x v="8"/>
    <s v="Procution Intern"/>
    <s v="G14"/>
    <s v="TK/0"/>
    <s v="473428732411562"/>
    <s v="05890487741"/>
    <s v="4827775470500"/>
    <s v="BANK BNI"/>
    <s v="1745641355"/>
    <s v="087736661546"/>
    <s v="rina.santoso@dumibumi.co.id"/>
    <s v="Bekasi, Indonesia"/>
  </r>
  <r>
    <n v="202044048"/>
    <s v="Budi Lestari"/>
    <s v="9640926484738211"/>
    <s v="3085093696045186"/>
    <s v="Bogor"/>
    <d v="2003-01-11T00:00:00"/>
    <s v="Male"/>
    <s v="Single"/>
    <n v="0"/>
    <s v="Islam"/>
    <s v="B"/>
    <d v="2025-08-05T00:00:00"/>
    <d v="2026-08-05T00:00:00"/>
    <m/>
    <x v="0"/>
    <x v="0"/>
    <x v="1"/>
    <s v="Vocational High School"/>
    <s v="Automotive Engineering"/>
    <x v="7"/>
    <s v="Production"/>
    <x v="11"/>
    <s v="Production Operator"/>
    <s v="G13"/>
    <s v="TK/0"/>
    <s v="810409812185373"/>
    <s v="32500111139"/>
    <s v="9024306832500"/>
    <s v="BANK BCA"/>
    <s v="1960964456"/>
    <s v="086937977652"/>
    <s v="budi.lestari@dumibumi.co.id"/>
    <s v="Jakarta, Indonesia"/>
  </r>
  <r>
    <n v="202345147"/>
    <s v="Dedi Saputra"/>
    <s v="0021182811245545"/>
    <s v="7336431308215926"/>
    <s v="Bekasi"/>
    <d v="2002-12-11T00:00:00"/>
    <s v="Male"/>
    <s v="Single"/>
    <n v="0"/>
    <s v="Islam"/>
    <s v="B"/>
    <d v="2023-08-09T00:00:00"/>
    <d v="2026-08-09T00:00:00"/>
    <m/>
    <x v="0"/>
    <x v="0"/>
    <x v="1"/>
    <s v="Vocational High School"/>
    <s v="Automotive Engineering"/>
    <x v="7"/>
    <s v="Production"/>
    <x v="11"/>
    <s v="Production Operator"/>
    <s v="G13"/>
    <s v="TK/0"/>
    <s v="073145842929470"/>
    <s v="55162501598"/>
    <s v="1137369516630"/>
    <s v="BANK BCA"/>
    <s v="5410187661"/>
    <s v="088838998750"/>
    <s v="dedi.saputra@dumibumi.co.id"/>
    <s v="Bekasi, Indonesia"/>
  </r>
  <r>
    <n v="202043917"/>
    <s v="Dedi Lestari"/>
    <s v="5202246939820205"/>
    <s v="0076427352030788"/>
    <s v="Bandung"/>
    <d v="2003-04-16T00:00:00"/>
    <s v="Male"/>
    <s v="Single"/>
    <n v="0"/>
    <s v="Islam"/>
    <s v="B"/>
    <d v="2025-03-27T00:00:00"/>
    <d v="2028-03-27T00:00:00"/>
    <m/>
    <x v="0"/>
    <x v="0"/>
    <x v="1"/>
    <s v="Vocational High School"/>
    <s v="Automotive Engineering"/>
    <x v="7"/>
    <s v="Production"/>
    <x v="11"/>
    <s v="Production Operator"/>
    <s v="G13"/>
    <s v="TK/0"/>
    <s v="317284117252883"/>
    <s v="64684738019"/>
    <s v="5452698910524"/>
    <s v="BANK BCA"/>
    <s v="6090397056"/>
    <s v="082545618431"/>
    <s v="dedi.lestari@dumibumi.co.id"/>
    <s v="Bandung, Indonesia"/>
  </r>
  <r>
    <n v="202244568"/>
    <s v="Rizky Maulana"/>
    <s v="3492051085923581"/>
    <s v="4215959911904678"/>
    <s v="Depok"/>
    <d v="2002-07-19T00:00:00"/>
    <s v="Male"/>
    <s v="Single"/>
    <n v="0"/>
    <s v="Islam"/>
    <s v="B"/>
    <d v="2026-01-07T00:00:00"/>
    <d v="2027-01-07T00:00:00"/>
    <m/>
    <x v="0"/>
    <x v="0"/>
    <x v="1"/>
    <s v="Vocational High School"/>
    <s v="Automotive Engineering"/>
    <x v="7"/>
    <s v="Production"/>
    <x v="11"/>
    <s v="Production Operator"/>
    <s v="G13"/>
    <s v="TK/0"/>
    <s v="020666153586675"/>
    <s v="54818228325"/>
    <s v="1929297612879"/>
    <s v="BANK BCA"/>
    <s v="0888341797"/>
    <s v="081851322689"/>
    <s v="rizky.maulana@dumibumi.co.id"/>
    <s v="Bandung, Indonesia"/>
  </r>
  <r>
    <n v="202044149"/>
    <s v="Bayu Permata"/>
    <s v="2354000109505279"/>
    <s v="2379221298185111"/>
    <s v="Bandung"/>
    <d v="2003-04-08T00:00:00"/>
    <s v="Male"/>
    <s v="Single"/>
    <n v="0"/>
    <s v="Islam"/>
    <s v="B"/>
    <d v="2025-11-14T00:00:00"/>
    <d v="2027-11-14T00:00:00"/>
    <m/>
    <x v="0"/>
    <x v="0"/>
    <x v="1"/>
    <s v="Vocational High School"/>
    <s v="Automotive Engineering"/>
    <x v="7"/>
    <s v="Production"/>
    <x v="11"/>
    <s v="Production Operator"/>
    <s v="G13"/>
    <s v="TK/0"/>
    <s v="939627527675187"/>
    <s v="65749578703"/>
    <s v="7532272619977"/>
    <s v="BANK BCA"/>
    <s v="5037526261"/>
    <s v="084279200977"/>
    <s v="bayu.permata@dumibumi.co.id"/>
    <s v="Jakarta, Indonesia"/>
  </r>
  <r>
    <n v="202445405"/>
    <s v="Bayu Utami"/>
    <s v="1319927713057730"/>
    <s v="6712742096205780"/>
    <s v="Bekasi"/>
    <d v="2004-02-02T00:00:00"/>
    <s v="Male"/>
    <s v="Single"/>
    <n v="0"/>
    <s v="Islam"/>
    <s v="B"/>
    <d v="2024-04-23T00:00:00"/>
    <d v="2029-04-23T00:00:00"/>
    <m/>
    <x v="0"/>
    <x v="0"/>
    <x v="1"/>
    <s v="Vocational High School"/>
    <s v="Automotive Engineering"/>
    <x v="7"/>
    <s v="Production"/>
    <x v="11"/>
    <s v="Production Operator"/>
    <s v="G13"/>
    <s v="TK/0"/>
    <s v="650364218433304"/>
    <s v="68595819715"/>
    <s v="3419178413554"/>
    <s v="BANK BCA"/>
    <s v="1917024454"/>
    <s v="084700287265"/>
    <s v="bayu.utami@dumibumi.co.id"/>
    <s v="Jakarta, Indonesia"/>
  </r>
  <r>
    <n v="202646023"/>
    <s v="Rijal Pangestu"/>
    <s v="6879466711497989"/>
    <s v="2256831335271184"/>
    <s v="Jakarta"/>
    <d v="2010-09-21T00:00:00"/>
    <s v="Male"/>
    <s v="Single"/>
    <n v="0"/>
    <s v="Islam"/>
    <s v="B"/>
    <d v="2026-01-01T00:00:00"/>
    <d v="2027-01-01T00:00:00"/>
    <m/>
    <x v="0"/>
    <x v="0"/>
    <x v="1"/>
    <s v="Vocational High School"/>
    <s v="Automotive Engineering"/>
    <x v="7"/>
    <s v="Production"/>
    <x v="8"/>
    <s v="Procution Intern"/>
    <s v="G14"/>
    <s v="TK/0"/>
    <s v="440908508302237"/>
    <s v="04391021883"/>
    <s v="0213098054059"/>
    <s v="BANK BNI"/>
    <s v="8924049846"/>
    <s v="084791354918"/>
    <s v="rina.pangestu@dumibumi.co.id"/>
    <s v="Tangerang, Indonesia"/>
  </r>
  <r>
    <n v="202545771"/>
    <s v="Dedi Hidayat"/>
    <s v="7509803603208417"/>
    <s v="3315213603228498"/>
    <s v="Jakarta"/>
    <d v="2004-10-03T00:00:00"/>
    <s v="Male"/>
    <s v="Single"/>
    <n v="0"/>
    <s v="Islam"/>
    <s v="B"/>
    <d v="2025-04-24T00:00:00"/>
    <d v="2030-04-24T00:00:00"/>
    <m/>
    <x v="0"/>
    <x v="0"/>
    <x v="1"/>
    <s v="Vocational High School"/>
    <s v="Automotive Engineering"/>
    <x v="7"/>
    <s v="Production"/>
    <x v="11"/>
    <s v="Production Operator"/>
    <s v="G13"/>
    <s v="TK/0"/>
    <s v="015348766269718"/>
    <s v="10437416921"/>
    <s v="2437941095058"/>
    <s v="BANK BCA"/>
    <s v="5269964020"/>
    <s v="082371861305"/>
    <s v="dedi.hidayat@dumibumi.co.id"/>
    <s v="Depok, Indonesia"/>
  </r>
  <r>
    <n v="201642388"/>
    <s v="Andi Kusuma"/>
    <s v="2396431834956892"/>
    <s v="3474349954244480"/>
    <s v="Bekasi"/>
    <d v="2004-03-28T00:00:00"/>
    <s v="Male"/>
    <s v="Single"/>
    <n v="0"/>
    <s v="Islam"/>
    <s v="B"/>
    <d v="2023-01-19T00:00:00"/>
    <d v="2028-01-19T00:00:00"/>
    <m/>
    <x v="0"/>
    <x v="0"/>
    <x v="1"/>
    <s v="Vocational High School"/>
    <s v="Automotive Engineering"/>
    <x v="7"/>
    <s v="Production"/>
    <x v="11"/>
    <s v="Production Operator"/>
    <s v="G13"/>
    <s v="TK/0"/>
    <s v="465511070704202"/>
    <s v="41152701533"/>
    <s v="9385114384873"/>
    <s v="BANK BCA"/>
    <s v="6327485242"/>
    <s v="088051136555"/>
    <s v="andi.kusuma@dumibumi.co.id"/>
    <s v="Depok, Indonesia"/>
  </r>
  <r>
    <n v="202345134"/>
    <s v="Rudi Utami"/>
    <s v="4895716905552367"/>
    <s v="9805710017792075"/>
    <s v="Bekasi"/>
    <d v="2006-11-01T00:00:00"/>
    <s v="Male"/>
    <s v="Single"/>
    <n v="0"/>
    <s v="Islam"/>
    <s v="AB"/>
    <d v="2025-07-27T00:00:00"/>
    <d v="2027-07-27T00:00:00"/>
    <m/>
    <x v="0"/>
    <x v="0"/>
    <x v="1"/>
    <s v="Vocational High School"/>
    <s v="Automotive Engineering"/>
    <x v="7"/>
    <s v="Production"/>
    <x v="11"/>
    <s v="Production Operator"/>
    <s v="G13"/>
    <s v="TK/0"/>
    <s v="411210041829077"/>
    <s v="37492444048"/>
    <s v="0728560632803"/>
    <s v="BANK BCA"/>
    <s v="9505735151"/>
    <s v="088082899519"/>
    <s v="rudi.utami@dumibumi.co.id"/>
    <s v="Bandung, Indonesia"/>
  </r>
  <r>
    <n v="202545998"/>
    <s v="Farhan Saputra"/>
    <s v="5541047009231791"/>
    <s v="1673041150596269"/>
    <s v="Depok"/>
    <d v="2008-12-06T00:00:00"/>
    <s v="Male"/>
    <s v="Single"/>
    <n v="0"/>
    <s v="Catholicism"/>
    <s v="AB"/>
    <d v="2025-12-07T00:00:00"/>
    <d v="2027-12-07T00:00:00"/>
    <m/>
    <x v="0"/>
    <x v="0"/>
    <x v="1"/>
    <s v="Vocational High School"/>
    <s v="Automotive Engineering"/>
    <x v="7"/>
    <s v="Production"/>
    <x v="11"/>
    <s v="Production Operator"/>
    <s v="G13"/>
    <s v="TK/0"/>
    <s v="731736391622975"/>
    <s v="27353429772"/>
    <s v="4418210781291"/>
    <s v="BANK BCA"/>
    <s v="3635737797"/>
    <s v="087688353948"/>
    <s v="farhan.saputra@dumibumi.co.id"/>
    <s v="Bandung, Indonesia"/>
  </r>
  <r>
    <n v="202545921"/>
    <s v="Rahmat Santoso"/>
    <s v="2064765380847595"/>
    <s v="8522697536123844"/>
    <s v="Jakarta"/>
    <d v="2009-12-07T00:00:00"/>
    <s v="Male"/>
    <s v="Single"/>
    <n v="0"/>
    <s v="Islam"/>
    <s v="B"/>
    <d v="2025-09-21T00:00:00"/>
    <d v="2030-09-21T00:00:00"/>
    <m/>
    <x v="0"/>
    <x v="0"/>
    <x v="1"/>
    <s v="Vocational High School"/>
    <s v="Automotive Engineering"/>
    <x v="7"/>
    <s v="Production"/>
    <x v="11"/>
    <s v="Production Operator"/>
    <s v="G13"/>
    <s v="TK/0"/>
    <s v="211932763089559"/>
    <s v="79213036409"/>
    <s v="2979115174880"/>
    <s v="BANK BCA"/>
    <s v="6278687416"/>
    <s v="088597130807"/>
    <s v="rahmat.santoso@dumibumi.co.id"/>
    <s v="Bandung, Indonesia"/>
  </r>
  <r>
    <n v="201943809"/>
    <s v="Aulia Nugroho"/>
    <s v="1295034105715948"/>
    <s v="5782932783093382"/>
    <s v="Medan"/>
    <d v="1992-09-05T00:00:00"/>
    <s v="Male"/>
    <s v="Single"/>
    <n v="0"/>
    <s v="Islam"/>
    <s v="A"/>
    <d v="2019-12-10T00:00:00"/>
    <m/>
    <m/>
    <x v="0"/>
    <x v="0"/>
    <x v="0"/>
    <s v="Master's Degree (S2)"/>
    <s v="Accounting"/>
    <x v="6"/>
    <s v="Purchasing"/>
    <x v="4"/>
    <s v="Purchasing Manager"/>
    <s v="G06"/>
    <s v="TK/0"/>
    <s v="287155813847630"/>
    <s v="61464372887"/>
    <s v="8069443593015"/>
    <s v="BANK BCA"/>
    <s v="1212942153"/>
    <s v="085833466539"/>
    <s v="aulia.nugroho@dumibumi.co.id"/>
    <s v="Bekasi, Indonesia"/>
  </r>
  <r>
    <n v="201943701"/>
    <s v="Nadia Ramadhan"/>
    <s v="2863966344936627"/>
    <s v="7481556366248163"/>
    <s v="Bekasi"/>
    <d v="1996-07-23T00:00:00"/>
    <s v="Female"/>
    <s v="Single"/>
    <n v="0"/>
    <s v="Islam"/>
    <s v="A"/>
    <d v="2019-08-24T00:00:00"/>
    <m/>
    <m/>
    <x v="0"/>
    <x v="0"/>
    <x v="0"/>
    <s v="Bachelor's Degree (S1)"/>
    <s v="Accounting"/>
    <x v="6"/>
    <s v="Purchasing"/>
    <x v="3"/>
    <s v="Purchasing Supervisor"/>
    <s v="G07"/>
    <s v="TK/0"/>
    <s v="925022216370362"/>
    <s v="74870192150"/>
    <s v="9937586667761"/>
    <s v="BANK BCA"/>
    <s v="8845491505"/>
    <s v="081657029772"/>
    <s v="nadia.ramadhan@dumibumi.co.id"/>
    <s v="Jakarta, Indonesia"/>
  </r>
  <r>
    <n v="201742819"/>
    <s v="Nadia Saputra"/>
    <s v="3390132480979198"/>
    <s v="6856273758812235"/>
    <s v="Kota Metro"/>
    <d v="1995-12-08T00:00:00"/>
    <s v="Female"/>
    <s v="Single"/>
    <n v="0"/>
    <s v="Islam"/>
    <s v="A"/>
    <d v="2017-03-25T00:00:00"/>
    <m/>
    <m/>
    <x v="0"/>
    <x v="0"/>
    <x v="0"/>
    <s v="Bachelor's Degree (S1)"/>
    <s v="Accounting"/>
    <x v="6"/>
    <s v="Purchasing"/>
    <x v="0"/>
    <s v="Purchasing Officer"/>
    <s v="G10"/>
    <s v="TK/0"/>
    <s v="205728287756686"/>
    <s v="27209639654"/>
    <s v="2541147832356"/>
    <s v="BANK BCA"/>
    <s v="1048427143"/>
    <s v="085082327032"/>
    <s v="nadia.saputra@dumibumi.co.id"/>
    <s v="Bandung, Indonesia"/>
  </r>
  <r>
    <n v="202345132"/>
    <s v="Indah Pratama"/>
    <s v="9816902626621420"/>
    <s v="5309943362261814"/>
    <s v="Bogor"/>
    <d v="1996-09-12T00:00:00"/>
    <s v="Male"/>
    <s v="Single"/>
    <n v="0"/>
    <s v="Islam"/>
    <s v="B"/>
    <d v="2022-07-25T00:00:00"/>
    <d v="2027-07-25T00:00:00"/>
    <m/>
    <x v="0"/>
    <x v="0"/>
    <x v="1"/>
    <s v="Bachelor's Degree (S1)"/>
    <s v="Economics"/>
    <x v="6"/>
    <s v="Purchasing"/>
    <x v="0"/>
    <s v="Purchasing Officer"/>
    <s v="G10"/>
    <s v="TK/0"/>
    <s v="603711055495237"/>
    <s v="70714771509"/>
    <s v="2617174087790"/>
    <s v="BANK BCA"/>
    <s v="4217772790"/>
    <s v="088882819660"/>
    <s v="indah.pratama@dumibumi.co.id"/>
    <s v="Jakarta, Indonesia"/>
  </r>
  <r>
    <n v="201943629"/>
    <s v="Nadia Sari"/>
    <s v="3220029541592023"/>
    <s v="3901816078597068"/>
    <s v="Sukabumi"/>
    <d v="1996-05-25T00:00:00"/>
    <s v="Female"/>
    <s v="Single"/>
    <n v="0"/>
    <s v="Islam"/>
    <s v="B"/>
    <d v="2021-06-13T00:00:00"/>
    <m/>
    <m/>
    <x v="0"/>
    <x v="0"/>
    <x v="0"/>
    <s v="Bachelor's Degree (S1)"/>
    <s v="Economics"/>
    <x v="6"/>
    <s v="Purchasing"/>
    <x v="0"/>
    <s v="Purchasing Officer"/>
    <s v="G10"/>
    <s v="TK/0"/>
    <s v="749289477607999"/>
    <s v="82530374899"/>
    <s v="8208103921973"/>
    <s v="BANK BCA"/>
    <s v="8847648721"/>
    <s v="086546053446"/>
    <s v="nadia.sari@dumibumi.co.id"/>
    <s v="Tangerang, Indonesia"/>
  </r>
  <r>
    <n v="202044076"/>
    <s v="Indah Lestari"/>
    <s v="3839945762360325"/>
    <s v="5484503241451972"/>
    <s v="Sukabumi"/>
    <d v="1995-12-19T00:00:00"/>
    <s v="Male"/>
    <s v="Single"/>
    <n v="0"/>
    <s v="Islam"/>
    <s v="A"/>
    <d v="2024-09-02T00:00:00"/>
    <d v="2027-09-02T00:00:00"/>
    <m/>
    <x v="0"/>
    <x v="0"/>
    <x v="1"/>
    <s v="Associate Degree (D3)"/>
    <s v="Statistics"/>
    <x v="6"/>
    <s v="Purchasing"/>
    <x v="0"/>
    <s v="Purchasing Officer"/>
    <s v="G10"/>
    <s v="TK/0"/>
    <s v="102318287124113"/>
    <s v="87961863709"/>
    <s v="4201462214960"/>
    <s v="BANK BCA"/>
    <s v="0776460066"/>
    <s v="084819815776"/>
    <s v="indah.lestari@dumibumi.co.id"/>
    <s v="Subang, Indonesia"/>
  </r>
  <r>
    <n v="202144298"/>
    <s v="Rina Utami"/>
    <s v="5628304238381508"/>
    <s v="4872599858970939"/>
    <s v="Tangerang"/>
    <d v="1996-06-17T00:00:00"/>
    <s v="Male"/>
    <s v="Single"/>
    <n v="0"/>
    <s v="Islam"/>
    <s v="B"/>
    <d v="2023-04-12T00:00:00"/>
    <d v="2028-04-12T00:00:00"/>
    <m/>
    <x v="0"/>
    <x v="0"/>
    <x v="1"/>
    <s v="Bachelor's Degree (S1)"/>
    <s v="Economics"/>
    <x v="6"/>
    <s v="Purchasing"/>
    <x v="1"/>
    <s v="Purchasing Staff"/>
    <s v="G11"/>
    <s v="TK/0"/>
    <s v="195030311588513"/>
    <s v="35813193281"/>
    <s v="3190109759371"/>
    <s v="BANK BCA"/>
    <s v="5862979944"/>
    <s v="086858560657"/>
    <s v="rina.utami@dumibumi.co.id"/>
    <s v="Bekasi, Indonesia"/>
  </r>
  <r>
    <n v="202244696"/>
    <s v="Putri Sari"/>
    <s v="7913666856775592"/>
    <s v="2780928903912879"/>
    <s v="Bogor"/>
    <d v="1997-10-19T00:00:00"/>
    <s v="Female"/>
    <s v="Single"/>
    <n v="0"/>
    <s v="Islam"/>
    <s v="A"/>
    <d v="2023-05-15T00:00:00"/>
    <d v="2028-05-15T00:00:00"/>
    <m/>
    <x v="0"/>
    <x v="0"/>
    <x v="1"/>
    <s v="Bachelor's Degree (S1)"/>
    <s v="Business Administration"/>
    <x v="6"/>
    <s v="Purchasing"/>
    <x v="1"/>
    <s v="Purchasing Staff"/>
    <s v="G11"/>
    <s v="TK/0"/>
    <s v="351455211424646"/>
    <s v="51919289684"/>
    <s v="0603490074491"/>
    <s v="BANK BCA"/>
    <s v="0258111755"/>
    <s v="088146563187"/>
    <s v="putri.sari@dumibumi.co.id"/>
    <s v="Bekasi, Indonesia"/>
  </r>
  <r>
    <n v="201943604"/>
    <s v="Indah Maulana"/>
    <s v="8826988217568372"/>
    <s v="2196534076956270"/>
    <s v="Sukabumi"/>
    <d v="1997-05-09T00:00:00"/>
    <s v="Female"/>
    <s v="Single"/>
    <n v="0"/>
    <s v="Islam"/>
    <s v="A"/>
    <d v="2024-05-19T00:00:00"/>
    <d v="2029-05-19T00:00:00"/>
    <m/>
    <x v="0"/>
    <x v="0"/>
    <x v="1"/>
    <s v="Vocational High School"/>
    <s v="Marketing"/>
    <x v="6"/>
    <s v="Purchasing"/>
    <x v="2"/>
    <s v="Purchasing Administrator"/>
    <s v="G12"/>
    <s v="TK/0"/>
    <s v="396051673655490"/>
    <s v="11679493985"/>
    <s v="1564773280244"/>
    <s v="BANK BCA"/>
    <s v="5017712831"/>
    <s v="085942105504"/>
    <s v="indah.maulana@dumibumi.co.id"/>
    <s v="Subang, Indonesia"/>
  </r>
  <r>
    <n v="201943773"/>
    <s v="Putri Pratama"/>
    <s v="9592944269454532"/>
    <s v="0119806461141714"/>
    <s v="Depok"/>
    <d v="1999-10-28T00:00:00"/>
    <s v="Female"/>
    <s v="Single"/>
    <n v="0"/>
    <s v="Islam"/>
    <s v="AB"/>
    <d v="2024-11-04T00:00:00"/>
    <d v="2027-11-04T00:00:00"/>
    <m/>
    <x v="0"/>
    <x v="0"/>
    <x v="1"/>
    <s v="Vocational High School"/>
    <s v="Marketing"/>
    <x v="6"/>
    <s v="Purchasing"/>
    <x v="2"/>
    <s v="Purchasing Administrator"/>
    <s v="G12"/>
    <s v="TK/0"/>
    <s v="710084714724340"/>
    <s v="72221211046"/>
    <s v="8011385192947"/>
    <s v="BANK BCA"/>
    <s v="8127635485"/>
    <s v="088229431364"/>
    <s v="putri.pratama@dumibumi.co.id"/>
    <s v="Bekasi, Indonesia"/>
  </r>
  <r>
    <n v="202144512"/>
    <s v="Lina Utami"/>
    <s v="1164671285472335"/>
    <s v="3030779647834132"/>
    <s v="Jakarta"/>
    <d v="2010-12-13T00:00:00"/>
    <s v="Female"/>
    <s v="Single"/>
    <n v="0"/>
    <s v="Islam"/>
    <s v="B"/>
    <d v="2025-11-12T00:00:00"/>
    <d v="2026-11-12T00:00:00"/>
    <m/>
    <x v="0"/>
    <x v="0"/>
    <x v="1"/>
    <s v="Vocational High School"/>
    <s v="Marketing"/>
    <x v="6"/>
    <s v="Purchasing"/>
    <x v="8"/>
    <s v="Data Entry Intern"/>
    <s v="G14"/>
    <s v="TK/0"/>
    <s v="566342622651333"/>
    <s v="51585926799"/>
    <s v="4980441733522"/>
    <s v="BANK BNI"/>
    <s v="7875398819"/>
    <s v="086981293489"/>
    <s v="lina.utami@dumibumi.co.id"/>
    <s v="Bogor, Indonesia"/>
  </r>
  <r>
    <n v="202144287"/>
    <s v="Dedi Pangestu"/>
    <s v="1365702684592569"/>
    <s v="4163036908394398"/>
    <s v="Padang"/>
    <d v="1988-09-28T00:00:00"/>
    <s v="Male"/>
    <s v="Divorced"/>
    <n v="1"/>
    <s v="Islam"/>
    <e v="#N/A"/>
    <d v="2018-04-01T00:00:00"/>
    <m/>
    <m/>
    <x v="0"/>
    <x v="0"/>
    <x v="0"/>
    <s v="Bachelor's Degree (S1)"/>
    <s v="Management"/>
    <x v="7"/>
    <s v="Quality Assurance"/>
    <x v="4"/>
    <s v="QA Manager"/>
    <s v="G06"/>
    <s v="TK/1"/>
    <s v="357692346975237"/>
    <s v="44942536257"/>
    <s v="6637140601673"/>
    <s v="BANK BCA"/>
    <s v="0780035906"/>
    <s v="088847656801"/>
    <s v="dedi.pangestu@dumibumi.co.id"/>
    <s v="Depok, Indonesia"/>
  </r>
  <r>
    <n v="202144360"/>
    <s v="Budi Sari"/>
    <s v="8092982691525350"/>
    <s v="7738019845705712"/>
    <s v="Karawang"/>
    <d v="1982-01-22T00:00:00"/>
    <s v="Male"/>
    <s v="Divorced"/>
    <n v="1"/>
    <s v="Islam"/>
    <s v="A"/>
    <d v="2015-06-13T00:00:00"/>
    <m/>
    <m/>
    <x v="0"/>
    <x v="0"/>
    <x v="0"/>
    <s v="Bachelor's Degree (S1)"/>
    <s v="Management"/>
    <x v="7"/>
    <s v="Quality Engineering"/>
    <x v="4"/>
    <s v="QE Manager"/>
    <s v="G06"/>
    <s v="TK/1"/>
    <s v="172514489791932"/>
    <s v="64170768912"/>
    <s v="5142778299941"/>
    <s v="BANK BCA"/>
    <s v="6089959938"/>
    <s v="087493689897"/>
    <s v="budi.sari@dumibumi.co.id"/>
    <s v="Jakarta, Indonesia"/>
  </r>
  <r>
    <n v="202345071"/>
    <s v="Yusuf Sari"/>
    <s v="9621823781760710"/>
    <s v="6767392721481063"/>
    <s v="Bukittinggi"/>
    <d v="1988-08-17T00:00:00"/>
    <s v="Male"/>
    <s v="Single"/>
    <n v="0"/>
    <s v="Islam"/>
    <s v="AB"/>
    <d v="2016-05-25T00:00:00"/>
    <m/>
    <m/>
    <x v="0"/>
    <x v="0"/>
    <x v="0"/>
    <s v="Bachelor's Degree (S1)"/>
    <s v="Mechanical Engineering"/>
    <x v="7"/>
    <s v="Quality Engineering"/>
    <x v="3"/>
    <s v="Quality Engineering Supervisor"/>
    <s v="G07"/>
    <s v="TK/0"/>
    <s v="565883510766404"/>
    <s v="60704139682"/>
    <s v="4716597033455"/>
    <s v="BANK BCA"/>
    <s v="8254797127"/>
    <s v="084519081777"/>
    <s v="yusuf.sari@dumibumi.co.id"/>
    <s v="Bekasi, Indonesia"/>
  </r>
  <r>
    <n v="202345114"/>
    <s v="Rahmat Wijaya"/>
    <s v="2463836531799488"/>
    <s v="9678406480291727"/>
    <s v="Pasuruan"/>
    <d v="1990-01-26T00:00:00"/>
    <s v="Male"/>
    <s v="Married"/>
    <n v="3"/>
    <s v="Islam"/>
    <s v="B"/>
    <d v="2019-07-07T00:00:00"/>
    <m/>
    <m/>
    <x v="0"/>
    <x v="0"/>
    <x v="0"/>
    <s v="Bachelor's Degree (S1)"/>
    <s v="Mechanical Engineering"/>
    <x v="7"/>
    <s v="Quality Engineering"/>
    <x v="3"/>
    <s v="Quality Engineering Supervisor"/>
    <s v="G07"/>
    <s v="K/3"/>
    <s v="036459431774413"/>
    <s v="35227101881"/>
    <s v="6332083292032"/>
    <s v="BANK BCA"/>
    <s v="2132608547"/>
    <s v="082998612431"/>
    <s v="rahmat.wijaya@dumibumi.co.id"/>
    <s v="Bandung, Indonesia"/>
  </r>
  <r>
    <n v="202244562"/>
    <s v="Indah Permata"/>
    <s v="0175033289319928"/>
    <s v="5520442228637766"/>
    <s v="Bekasi"/>
    <d v="1988-05-25T00:00:00"/>
    <s v="Female"/>
    <s v="Married"/>
    <n v="0"/>
    <s v="Islam"/>
    <s v="A"/>
    <d v="2017-01-01T00:00:00"/>
    <m/>
    <m/>
    <x v="0"/>
    <x v="0"/>
    <x v="0"/>
    <s v="Bachelor's Degree (S1)"/>
    <s v="Economics"/>
    <x v="5"/>
    <s v="Sales"/>
    <x v="4"/>
    <s v="Sales Manager"/>
    <s v="G06"/>
    <s v="TK/0"/>
    <s v="366914497949253"/>
    <s v="21110558421"/>
    <s v="3145952742400"/>
    <s v="BANK BCA"/>
    <s v="8998390006"/>
    <s v="086008479119"/>
    <s v="indah.permata@dumibumi.co.id"/>
    <s v="Subang, Indonesia"/>
  </r>
  <r>
    <n v="202043906"/>
    <s v="Yulia Lestari"/>
    <s v="8212869237859707"/>
    <s v="5572191666971911"/>
    <s v="Palembang"/>
    <d v="1987-10-15T00:00:00"/>
    <s v="Female"/>
    <s v="Married"/>
    <n v="0"/>
    <s v="Islam"/>
    <s v="B"/>
    <d v="2019-03-16T00:00:00"/>
    <m/>
    <m/>
    <x v="0"/>
    <x v="0"/>
    <x v="0"/>
    <s v="Bachelor's Degree (S1)"/>
    <s v="Economics"/>
    <x v="5"/>
    <s v="Sales"/>
    <x v="3"/>
    <s v="Sales Supervisor"/>
    <s v="G07"/>
    <s v="TK/0"/>
    <s v="175638464027516"/>
    <s v="75810851447"/>
    <s v="7500306798893"/>
    <s v="BANK BCA"/>
    <s v="3534201312"/>
    <s v="088091377540"/>
    <s v="yusuf.lestari@dumibumi.co.id"/>
    <s v="Bekasi, Indonesia"/>
  </r>
  <r>
    <n v="201642410"/>
    <s v="Puta Pra Ramadhan"/>
    <s v="2955052372617768"/>
    <s v="8308884190330878"/>
    <s v="Balikpapan"/>
    <d v="1996-10-22T00:00:00"/>
    <s v="Male"/>
    <s v="Married"/>
    <n v="1"/>
    <s v="Islam"/>
    <s v="AB"/>
    <d v="2022-02-10T00:00:00"/>
    <d v="2027-02-10T00:00:00"/>
    <m/>
    <x v="0"/>
    <x v="0"/>
    <x v="1"/>
    <s v="Bachelor's Degree (S1)"/>
    <s v="Economics"/>
    <x v="5"/>
    <s v="Sales"/>
    <x v="0"/>
    <s v="Sales Executive"/>
    <s v="G10"/>
    <s v="K/1"/>
    <s v="420779676204842"/>
    <s v="52066772425"/>
    <s v="8770238491848"/>
    <s v="BANK BCA"/>
    <s v="3940414243"/>
    <s v="083480227307"/>
    <s v="putri.sari@dumibumi.co.id"/>
    <s v="Tangerang, Indonesia"/>
  </r>
  <r>
    <n v="201943644"/>
    <s v="Dewi Permata"/>
    <s v="5147618433656994"/>
    <s v="1518942608955194"/>
    <s v="Balikpapan"/>
    <d v="1997-04-09T00:00:00"/>
    <s v="Female"/>
    <s v="Married"/>
    <n v="1"/>
    <s v="Islam"/>
    <s v="O"/>
    <d v="2021-06-28T00:00:00"/>
    <m/>
    <m/>
    <x v="0"/>
    <x v="0"/>
    <x v="0"/>
    <s v="Bachelor's Degree (S1)"/>
    <s v="Economics"/>
    <x v="5"/>
    <s v="Sales"/>
    <x v="0"/>
    <s v="Sales Executive"/>
    <s v="G10"/>
    <s v="TK/0"/>
    <s v="834790397574251"/>
    <s v="40989069369"/>
    <s v="0388447369177"/>
    <s v="BANK BCA"/>
    <s v="0026323976"/>
    <s v="081192849306"/>
    <s v="dewi.permata@dumibumi.co.id"/>
    <s v="Bekasi, Indonesia"/>
  </r>
  <r>
    <n v="202043864"/>
    <s v="Ary Setyo Prasetya"/>
    <s v="8953780020319290"/>
    <s v="4815846507594164"/>
    <s v="Balikpapan"/>
    <d v="1996-09-02T00:00:00"/>
    <s v="Male"/>
    <s v="Single"/>
    <n v="0"/>
    <s v="Islam"/>
    <s v="A"/>
    <d v="2023-02-03T00:00:00"/>
    <d v="2028-02-03T00:00:00"/>
    <m/>
    <x v="0"/>
    <x v="0"/>
    <x v="1"/>
    <s v="Bachelor's Degree (S1)"/>
    <s v="Economics"/>
    <x v="5"/>
    <s v="Sales"/>
    <x v="0"/>
    <s v="Sales Executive"/>
    <s v="G10"/>
    <s v="TK/0"/>
    <s v="129700008201199"/>
    <s v="13981758363"/>
    <s v="4930864660084"/>
    <s v="BANK BCA"/>
    <s v="5074613365"/>
    <s v="089431199635"/>
    <s v="wati.wijaya@dumibumi.co.id"/>
    <s v="Bogor, Indonesia"/>
  </r>
  <r>
    <n v="202044136"/>
    <s v="Dadan Hidayat"/>
    <s v="7022425036210321"/>
    <s v="3460585707001565"/>
    <s v="Aceh"/>
    <d v="1999-11-28T00:00:00"/>
    <s v="Male"/>
    <s v="Single"/>
    <n v="0"/>
    <s v="Islam"/>
    <s v="O"/>
    <d v="2024-11-01T00:00:00"/>
    <d v="2026-11-01T00:00:00"/>
    <m/>
    <x v="0"/>
    <x v="0"/>
    <x v="1"/>
    <s v="Bachelor's Degree (S1)"/>
    <s v="Economics"/>
    <x v="5"/>
    <s v="Sales"/>
    <x v="0"/>
    <s v="Sales Executive"/>
    <s v="G10"/>
    <s v="TK/0"/>
    <s v="862783453320730"/>
    <s v="45050155657"/>
    <s v="4165346900742"/>
    <s v="BANK BCA"/>
    <s v="5212673672"/>
    <s v="088734279115"/>
    <s v="siti.hidayat@dumibumi.co.id"/>
    <s v="Depok, Indonesia"/>
  </r>
  <r>
    <n v="202345127"/>
    <s v="Dewi Kusuma"/>
    <s v="9580001408070899"/>
    <s v="5435237321899800"/>
    <s v="Jakarta"/>
    <d v="2004-07-13T00:00:00"/>
    <s v="Female"/>
    <s v="Single"/>
    <n v="0"/>
    <s v="Islam"/>
    <s v="AB"/>
    <d v="2025-07-20T00:00:00"/>
    <d v="2027-07-20T00:00:00"/>
    <m/>
    <x v="0"/>
    <x v="0"/>
    <x v="1"/>
    <s v="High School"/>
    <s v="Social Sciences (IPS)"/>
    <x v="5"/>
    <s v="Sales"/>
    <x v="2"/>
    <s v="Sales Administration"/>
    <s v="G12"/>
    <s v="TK/0"/>
    <s v="900325623936449"/>
    <s v="62991237460"/>
    <s v="2658490175403"/>
    <s v="BANK BCA"/>
    <s v="1635237309"/>
    <s v="085123852075"/>
    <s v="dewi.kusuma@dumibumi.co.id"/>
    <s v="Tangerang, Indonesia"/>
  </r>
  <r>
    <n v="201742972"/>
    <s v="Farah Lestari"/>
    <s v="5964054130178706"/>
    <s v="2413733347389957"/>
    <s v="Palembang"/>
    <d v="2004-06-07T00:00:00"/>
    <s v="Female"/>
    <s v="Single"/>
    <n v="0"/>
    <s v="Islam"/>
    <s v="AB"/>
    <d v="2026-06-15T00:00:00"/>
    <d v="2031-06-15T00:00:00"/>
    <m/>
    <x v="0"/>
    <x v="0"/>
    <x v="1"/>
    <s v="Vocational High School"/>
    <s v="Marketing"/>
    <x v="5"/>
    <s v="Sales"/>
    <x v="2"/>
    <s v="Sales Administration"/>
    <s v="G12"/>
    <s v="TK/0"/>
    <s v="992457558123751"/>
    <s v="70344422273"/>
    <s v="3717695019262"/>
    <s v="BANK BCA"/>
    <s v="9379803329"/>
    <s v="089946504480"/>
    <s v="farhan.lestari@dumibumi.co.id"/>
    <s v="Tangerang, Indonesia"/>
  </r>
  <r>
    <n v="202144523"/>
    <s v="Rina Santoso"/>
    <s v="5629496890865088"/>
    <s v="2796321002158135"/>
    <s v="Tangerang"/>
    <d v="2009-07-06T00:00:00"/>
    <s v="Female"/>
    <s v="Single"/>
    <n v="0"/>
    <s v="Islam"/>
    <s v="B"/>
    <d v="2025-11-23T00:00:00"/>
    <d v="2026-11-23T00:00:00"/>
    <m/>
    <x v="0"/>
    <x v="0"/>
    <x v="1"/>
    <s v="Vocational High School"/>
    <s v="Marketing"/>
    <x v="5"/>
    <s v="Sales"/>
    <x v="8"/>
    <s v="Data Entry Intern"/>
    <s v="G14"/>
    <s v="TK/0"/>
    <s v="885924491040718"/>
    <s v="00912133861"/>
    <s v="1511884026863"/>
    <s v="BANK BNI"/>
    <s v="2842286461"/>
    <s v="088157724729"/>
    <s v="rina.santoso@dumibumi.co.id"/>
    <s v="Bekasi, Indonesia"/>
  </r>
  <r>
    <n v="202144251"/>
    <s v="Ayu Lestari"/>
    <s v="7638445739321715"/>
    <s v="8668616642921596"/>
    <s v="Jakarta"/>
    <d v="1997-12-21T00:00:00"/>
    <s v="Female"/>
    <s v="Married"/>
    <n v="0"/>
    <s v="Islam"/>
    <s v="O"/>
    <d v="2022-02-24T00:00:00"/>
    <m/>
    <m/>
    <x v="0"/>
    <x v="0"/>
    <x v="0"/>
    <s v="Bachelor's Degree (S1)"/>
    <s v="Economics"/>
    <x v="0"/>
    <s v="TAX"/>
    <x v="0"/>
    <s v="Tax Officer"/>
    <s v="G10"/>
    <s v="TK/0"/>
    <s v="155706685620024"/>
    <s v="36312366907"/>
    <s v="7814866637177"/>
    <s v="BANK BCA"/>
    <s v="1733464438"/>
    <s v="081924542640"/>
    <s v="aulia.lestari@dumibumi.co.id"/>
    <s v="Jakarta, Indonesia"/>
  </r>
  <r>
    <n v="202344949"/>
    <s v="Rina Saputra"/>
    <s v="8704903334925991"/>
    <s v="9675565287305857"/>
    <s v="Jakarta"/>
    <d v="2000-06-22T00:00:00"/>
    <s v="Female"/>
    <s v="Single"/>
    <n v="0"/>
    <s v="Islam"/>
    <s v="O"/>
    <d v="2023-01-23T00:00:00"/>
    <d v="2028-01-23T00:00:00"/>
    <m/>
    <x v="0"/>
    <x v="0"/>
    <x v="1"/>
    <s v="Bachelor's Degree (S1)"/>
    <s v="Accounting"/>
    <x v="0"/>
    <s v="TAX"/>
    <x v="1"/>
    <s v="Tax Staff"/>
    <s v="G11"/>
    <s v="TK/0"/>
    <s v="600063901768523"/>
    <s v="30127717568"/>
    <s v="8688679721983"/>
    <s v="BANK BCA"/>
    <s v="1704542775"/>
    <s v="083842722058"/>
    <s v="rina.saputra@dumibumi.co.id"/>
    <s v="Tangerang, Indonesia"/>
  </r>
  <r>
    <n v="202044178"/>
    <s v="Rina Utami"/>
    <s v="3802820764098726"/>
    <s v="6230263546040597"/>
    <s v="Samarinda"/>
    <d v="1999-06-15T00:00:00"/>
    <s v="Female"/>
    <s v="Married"/>
    <n v="0"/>
    <s v="Islam"/>
    <s v="A"/>
    <d v="2017-12-13T00:00:00"/>
    <m/>
    <m/>
    <x v="0"/>
    <x v="0"/>
    <x v="0"/>
    <s v="Master's Degree (S2)"/>
    <s v="Accounting"/>
    <x v="0"/>
    <s v="TAX"/>
    <x v="3"/>
    <s v="Tax Supervisor"/>
    <s v="G07"/>
    <s v="TK/0"/>
    <s v="981555653242929"/>
    <s v="55267154049"/>
    <s v="8990793816402"/>
    <s v="BANK BCA"/>
    <s v="0991262553"/>
    <s v="083474133596"/>
    <s v="rina.utami@dumibumi.co.id"/>
    <s v="Tangerang, Indonesia"/>
  </r>
  <r>
    <n v="201843377"/>
    <s v="Yoga Santoso"/>
    <s v="6016950437026186"/>
    <s v="2808695458448564"/>
    <s v="Purwakarta"/>
    <d v="2001-03-23T00:00:00"/>
    <s v="Male"/>
    <s v="Single"/>
    <n v="0"/>
    <s v="Islam"/>
    <s v="A"/>
    <d v="2024-10-04T00:00:00"/>
    <d v="2026-10-04T00:00:00"/>
    <m/>
    <x v="0"/>
    <x v="0"/>
    <x v="1"/>
    <s v="High School"/>
    <s v="Software Engineering (RPL)"/>
    <x v="6"/>
    <s v="Warehouse"/>
    <x v="1"/>
    <s v="Warehouse Staff"/>
    <s v="G11"/>
    <s v="TK/0"/>
    <s v="603294177673869"/>
    <s v="59883694700"/>
    <s v="5647379820679"/>
    <s v="BANK BCA"/>
    <s v="8987750216"/>
    <s v="087247620318"/>
    <s v="yoga.santoso@dumibumi.co.id"/>
    <s v="Subang, Indonesia"/>
  </r>
  <r>
    <n v="202545977"/>
    <s v="Rizky Lestari"/>
    <s v="9631379592415442"/>
    <s v="4052868049390727"/>
    <s v="Banjarmasin"/>
    <d v="2001-05-05T00:00:00"/>
    <s v="Male"/>
    <s v="Single"/>
    <n v="0"/>
    <s v="Islam"/>
    <s v="O"/>
    <d v="2025-11-16T00:00:00"/>
    <d v="2027-11-16T00:00:00"/>
    <m/>
    <x v="0"/>
    <x v="0"/>
    <x v="1"/>
    <s v="High School"/>
    <s v="Electrical Engineering"/>
    <x v="6"/>
    <s v="Warehouse"/>
    <x v="1"/>
    <s v="Warehouse Staff"/>
    <s v="G11"/>
    <s v="TK/0"/>
    <s v="517400776855394"/>
    <s v="76020416861"/>
    <s v="1222312029764"/>
    <s v="BANK BCA"/>
    <s v="6873747101"/>
    <s v="088207245024"/>
    <s v="rizky.lestari@dumibumi.co.id"/>
    <s v="Depok, Indonesia"/>
  </r>
  <r>
    <n v="202043916"/>
    <s v="Dedi Kusuma"/>
    <s v="9782076164222303"/>
    <s v="4485016280872613"/>
    <s v="Jakarta"/>
    <d v="1989-12-07T00:00:00"/>
    <s v="Male"/>
    <s v="Married"/>
    <n v="2"/>
    <s v="Islam"/>
    <s v="B"/>
    <d v="2016-03-26T00:00:00"/>
    <m/>
    <m/>
    <x v="0"/>
    <x v="0"/>
    <x v="0"/>
    <s v="Bachelor's Degree (S1)"/>
    <s v="Mechanical Engineering"/>
    <x v="6"/>
    <s v="Warehouse"/>
    <x v="4"/>
    <s v="Warehouse Manager"/>
    <s v="G06"/>
    <s v="K/2"/>
    <s v="250210543264773"/>
    <s v="60160076084"/>
    <s v="1218658049593"/>
    <s v="BANK BCA"/>
    <s v="6240219974"/>
    <s v="089342892178"/>
    <s v="dedi.kusuma@dumibumi.co.id"/>
    <s v="Jakarta, Indonesia"/>
  </r>
  <r>
    <n v="201843195"/>
    <s v="Dewi Wijaya"/>
    <s v="2810026473048455"/>
    <s v="3986044438448019"/>
    <s v="Magetan"/>
    <d v="2004-01-02T00:00:00"/>
    <s v="Female"/>
    <s v="Single"/>
    <n v="0"/>
    <s v="Islam"/>
    <s v="AB"/>
    <d v="2025-04-05T00:00:00"/>
    <d v="2030-04-05T00:00:00"/>
    <m/>
    <x v="0"/>
    <x v="0"/>
    <x v="1"/>
    <s v="Bachelor's Degree (S1)"/>
    <s v="Economics"/>
    <x v="0"/>
    <s v="TAX"/>
    <x v="2"/>
    <s v="Tax Administration Staff"/>
    <s v="G12"/>
    <s v="TK/0"/>
    <s v="138246243135872"/>
    <s v="44022479767"/>
    <s v="7679086809357"/>
    <s v="BANK BCA"/>
    <s v="2337743036"/>
    <s v="083796185600"/>
    <s v="dewi.wijaya@dumibumi.co.id"/>
    <s v="Jakarta, Indonesia"/>
  </r>
  <r>
    <n v="201743005"/>
    <s v="Yusuf Ramadhan"/>
    <s v="7074521815591706"/>
    <s v="4788256102703483"/>
    <s v="Purwakarta"/>
    <d v="2004-04-19T00:00:00"/>
    <s v="Male"/>
    <s v="Single"/>
    <n v="0"/>
    <s v="Islam"/>
    <s v="AB"/>
    <d v="2025-09-27T00:00:00"/>
    <d v="2026-09-27T00:00:00"/>
    <m/>
    <x v="0"/>
    <x v="0"/>
    <x v="1"/>
    <s v="High School"/>
    <s v="Software Engineering (RPL)"/>
    <x v="6"/>
    <s v="Warehouse"/>
    <x v="1"/>
    <s v="Warehouse Staff"/>
    <s v="G11"/>
    <s v="TK/0"/>
    <s v="833172374746193"/>
    <s v="72806010360"/>
    <s v="2389391318480"/>
    <s v="BANK BCA"/>
    <s v="3231675365"/>
    <s v="083391277436"/>
    <s v="yusuf.ramadhan@dumibumi.co.id"/>
    <s v="Bekasi, Indonesia"/>
  </r>
  <r>
    <n v="202244615"/>
    <s v="Dewi Maulana"/>
    <s v="2237620441081834"/>
    <s v="5695074118601775"/>
    <s v="Pasuruan"/>
    <d v="1983-07-27T00:00:00"/>
    <s v="Female"/>
    <s v="Single"/>
    <n v="0"/>
    <s v="Islam"/>
    <s v="B"/>
    <d v="2024-02-23T00:00:00"/>
    <d v="2027-02-23T00:00:00"/>
    <m/>
    <x v="0"/>
    <x v="0"/>
    <x v="1"/>
    <s v="Bachelor's Degree (S1)"/>
    <s v="Information Systems"/>
    <x v="0"/>
    <s v="TAX"/>
    <x v="0"/>
    <s v="Tax Officer"/>
    <s v="G10"/>
    <s v="TK/0"/>
    <s v="814099587725947"/>
    <s v="68231931358"/>
    <s v="2297446825680"/>
    <s v="BANK BCA"/>
    <s v="0792357627"/>
    <s v="081066425459"/>
    <s v="dewi.maulana@dumibumi.co.id"/>
    <s v="Bekasi, Indonesia"/>
  </r>
  <r>
    <n v="201742816"/>
    <s v="Budi Utami"/>
    <s v="3647434499587736"/>
    <s v="4139924922148524"/>
    <s v="Semarang"/>
    <d v="2004-02-15T00:00:00"/>
    <s v="Male"/>
    <s v="Single"/>
    <n v="0"/>
    <s v="Islam"/>
    <s v="A"/>
    <d v="2024-03-22T00:00:00"/>
    <d v="2029-03-22T00:00:00"/>
    <m/>
    <x v="0"/>
    <x v="0"/>
    <x v="1"/>
    <s v="High School"/>
    <s v="Automotive Engineering"/>
    <x v="6"/>
    <s v="Warehouse"/>
    <x v="11"/>
    <s v="Forklift Operator"/>
    <s v="G13"/>
    <s v="TK/0"/>
    <s v="142310628661927"/>
    <s v="61373342832"/>
    <s v="5699370584580"/>
    <s v="BANK BCA"/>
    <s v="1953584360"/>
    <s v="086708602072"/>
    <s v="budi.utami@dumibumi.co.id"/>
    <s v="Depok, Indonesia"/>
  </r>
  <r>
    <n v="201943679"/>
    <s v="Rudi Utami"/>
    <s v="7843747209341391"/>
    <s v="3301706418548260"/>
    <s v="Jakarta"/>
    <d v="2004-09-12T00:00:00"/>
    <s v="Male"/>
    <s v="Single"/>
    <n v="0"/>
    <s v="Islam"/>
    <s v="A"/>
    <d v="2025-08-02T00:00:00"/>
    <d v="2026-08-02T00:00:00"/>
    <m/>
    <x v="0"/>
    <x v="0"/>
    <x v="1"/>
    <s v="High School"/>
    <s v="Automotive Engineering"/>
    <x v="6"/>
    <s v="Warehouse"/>
    <x v="11"/>
    <s v="Forklift Operator"/>
    <s v="G13"/>
    <s v="TK/0"/>
    <s v="278428080134562"/>
    <s v="93005294671"/>
    <s v="6451987582705"/>
    <s v="BANK BCA"/>
    <s v="2428715760"/>
    <s v="087473117585"/>
    <s v="rudi.utami@dumibumi.co.id"/>
    <s v="Bekasi, Indonesia"/>
  </r>
  <r>
    <n v="202545846"/>
    <s v="Nadia Utami"/>
    <s v="6394987389503003"/>
    <s v="2823948242201454"/>
    <s v="Pontianak"/>
    <d v="1984-09-15T00:00:00"/>
    <s v="Female"/>
    <s v="Married"/>
    <n v="0"/>
    <s v="Islam"/>
    <s v="O"/>
    <d v="2018-07-08T00:00:00"/>
    <m/>
    <m/>
    <x v="0"/>
    <x v="0"/>
    <x v="0"/>
    <s v="Bachelor's Degree (S1)"/>
    <s v="Economics"/>
    <x v="6"/>
    <s v="Warehouse"/>
    <x v="10"/>
    <s v="Warehouse Leader"/>
    <s v="G08"/>
    <s v="TK/0"/>
    <s v="440799591086582"/>
    <s v="48137817213"/>
    <s v="0673494265925"/>
    <s v="BANK BCA"/>
    <s v="8293009816"/>
    <s v="086654819118"/>
    <s v="nadia.utami@dumibumi.co.id"/>
    <s v="Jakarta, Indonesia"/>
  </r>
  <r>
    <n v="201542261"/>
    <s v="Putri Wijaya"/>
    <s v="5433919006616868"/>
    <s v="7977571063785652"/>
    <s v="Surabaya"/>
    <d v="2004-09-02T00:00:00"/>
    <s v="Female"/>
    <s v="Single"/>
    <n v="0"/>
    <s v="Islam"/>
    <s v="AB"/>
    <d v="2025-09-14T00:00:00"/>
    <d v="2026-09-14T00:00:00"/>
    <m/>
    <x v="0"/>
    <x v="0"/>
    <x v="1"/>
    <s v="Vocational High School"/>
    <s v="Tourism"/>
    <x v="6"/>
    <s v="Warehouse"/>
    <x v="2"/>
    <s v="Warehouse Administrator Staff"/>
    <s v="G12"/>
    <s v="TK/0"/>
    <s v="395898126286624"/>
    <s v="91391205620"/>
    <s v="4494458224678"/>
    <s v="BANK BCA"/>
    <s v="7108805604"/>
    <s v="086702721430"/>
    <s v="putri.wijaya@dumibumi.co.id"/>
    <s v="Jakarta, Indonesia"/>
  </r>
  <r>
    <n v="201843326"/>
    <s v="Siti Kusuma"/>
    <s v="6208489535227313"/>
    <s v="6029588815660053"/>
    <s v="Singkawang"/>
    <d v="2004-10-23T00:00:00"/>
    <s v="Female"/>
    <s v="Single"/>
    <n v="0"/>
    <s v="Islam"/>
    <s v="A"/>
    <d v="2025-08-14T00:00:00"/>
    <d v="2027-08-14T00:00:00"/>
    <m/>
    <x v="0"/>
    <x v="0"/>
    <x v="1"/>
    <s v="High School"/>
    <s v="Social Sciences (IPS)"/>
    <x v="6"/>
    <s v="Warehouse"/>
    <x v="2"/>
    <s v="Warehouse Administrator Staff"/>
    <s v="G12"/>
    <s v="TK/0"/>
    <s v="236793076102048"/>
    <s v="43655396789"/>
    <s v="3053073862218"/>
    <s v="BANK BCA"/>
    <s v="0931522009"/>
    <s v="089072253002"/>
    <s v="siti.kusuma@dumibumi.co.id"/>
    <s v="Subang, Indonesia"/>
  </r>
  <r>
    <n v="201642513"/>
    <s v="Bayu Pratama"/>
    <s v="1662116209398589"/>
    <s v="8214258388409993"/>
    <s v="Pasuruan"/>
    <d v="1985-02-24T00:00:00"/>
    <s v="Male"/>
    <s v="Single"/>
    <n v="0"/>
    <s v="Islam"/>
    <s v="B"/>
    <d v="2026-05-23T00:00:00"/>
    <d v="2028-05-23T00:00:00"/>
    <m/>
    <x v="0"/>
    <x v="0"/>
    <x v="1"/>
    <s v="Vocational High School"/>
    <s v="Automotive Engineering"/>
    <x v="6"/>
    <s v="Warehouse"/>
    <x v="11"/>
    <s v="Forklift Operator"/>
    <s v="G13"/>
    <s v="TK/0"/>
    <s v="886654307924364"/>
    <s v="85979657931"/>
    <s v="1921358191677"/>
    <s v="BANK BCA"/>
    <s v="4907729343"/>
    <s v="083445890949"/>
    <s v="bayu.pratama@dumibumi.co.id"/>
    <s v="Bogor, Indonesia"/>
  </r>
  <r>
    <n v="201743044"/>
    <s v="Farhan Sari"/>
    <s v="4888093008290270"/>
    <s v="8449139281707252"/>
    <s v="Madiun"/>
    <d v="2004-09-23T00:00:00"/>
    <s v="Male"/>
    <s v="Single"/>
    <n v="0"/>
    <s v="Islam"/>
    <s v="AB"/>
    <d v="2025-11-05T00:00:00"/>
    <d v="2027-11-05T00:00:00"/>
    <m/>
    <x v="0"/>
    <x v="0"/>
    <x v="1"/>
    <s v="Vocational High School"/>
    <s v="Automotive Engineering"/>
    <x v="6"/>
    <s v="Warehouse"/>
    <x v="11"/>
    <s v="Forklift Operator"/>
    <s v="G13"/>
    <s v="TK/0"/>
    <s v="159263026746988"/>
    <s v="76297201714"/>
    <s v="8790312758870"/>
    <s v="BANK BCA"/>
    <s v="4529710472"/>
    <s v="087106441527"/>
    <s v="farhan.sari@dumibumi.co.id"/>
    <s v="Jakarta, Indonesia"/>
  </r>
  <r>
    <n v="201642683"/>
    <s v="Fajar Kurniawan"/>
    <s v="9648241861843912"/>
    <s v="3357944284876435"/>
    <s v="Pasuruan"/>
    <d v="1985-05-15T00:00:00"/>
    <s v="Male"/>
    <s v="Single"/>
    <n v="0"/>
    <s v="Islam"/>
    <s v="A"/>
    <d v="2025-11-09T00:00:00"/>
    <d v="2026-11-09T00:00:00"/>
    <m/>
    <x v="0"/>
    <x v="0"/>
    <x v="1"/>
    <s v="Vocational High School"/>
    <s v="Automotive Engineering"/>
    <x v="6"/>
    <s v="Warehouse"/>
    <x v="11"/>
    <s v="Forklift Operator"/>
    <s v="G13"/>
    <s v="TK/0"/>
    <s v="396777201061401"/>
    <s v="06747586016"/>
    <s v="4761212400683"/>
    <s v="BANK BCA"/>
    <s v="0128561518"/>
    <s v="085004011476"/>
    <s v="fajar.kurniawan@dumibumi.co.id"/>
    <s v="Jakarta, Indonesia"/>
  </r>
  <r>
    <n v="201642715"/>
    <s v="Indah Kurniawan"/>
    <s v="1825176604819172"/>
    <s v="5839031077002594"/>
    <s v="Semarang"/>
    <d v="1985-06-22T00:00:00"/>
    <s v="Female"/>
    <s v="Single"/>
    <n v="0"/>
    <s v="Islam"/>
    <s v="A"/>
    <d v="2025-12-11T00:00:00"/>
    <d v="2027-12-11T00:00:00"/>
    <m/>
    <x v="0"/>
    <x v="0"/>
    <x v="1"/>
    <s v="High School"/>
    <s v="Social Sciences (IPS)"/>
    <x v="6"/>
    <s v="Warehouse"/>
    <x v="2"/>
    <s v="Warehouse Administrator Staff"/>
    <s v="G12"/>
    <s v="TK/0"/>
    <s v="814511817349825"/>
    <s v="55583676604"/>
    <s v="6204764775332"/>
    <s v="BANK BCA"/>
    <s v="6138755470"/>
    <s v="087806995476"/>
    <s v="indah.kurniawan@dumibumi.co.id"/>
    <s v="Bandung, Indonesia"/>
  </r>
  <r>
    <n v="202044015"/>
    <s v="Bayu Saputra"/>
    <s v="4346609203612168"/>
    <s v="6657220513466009"/>
    <s v="Singkawang"/>
    <d v="1985-04-26T00:00:00"/>
    <s v="Male"/>
    <s v="Married"/>
    <n v="0"/>
    <s v="Islam"/>
    <s v="B"/>
    <d v="2020-07-03T00:00:00"/>
    <m/>
    <m/>
    <x v="0"/>
    <x v="0"/>
    <x v="0"/>
    <s v="Vocational High School"/>
    <s v="Automotive Engineering"/>
    <x v="6"/>
    <s v="Warehouse"/>
    <x v="1"/>
    <s v="Warehouse Staff"/>
    <s v="G11"/>
    <s v="K/0"/>
    <s v="977651996767174"/>
    <s v="03992155784"/>
    <s v="1897251209077"/>
    <s v="BANK BCA"/>
    <s v="6278322261"/>
    <s v="084596871321"/>
    <s v="bayu.saputra@dumibumi.co.id"/>
    <s v="Subang, Indonesia"/>
  </r>
  <r>
    <n v="202445397"/>
    <s v="Lina Santoso"/>
    <s v="2517196805439571"/>
    <s v="9584530999839852"/>
    <s v="Karawang"/>
    <d v="1986-02-09T00:00:00"/>
    <s v="Female"/>
    <s v="Single"/>
    <n v="0"/>
    <s v="Islam"/>
    <s v="A"/>
    <d v="2024-04-15T00:00:00"/>
    <d v="2027-04-15T00:00:00"/>
    <m/>
    <x v="0"/>
    <x v="0"/>
    <x v="1"/>
    <s v="Associate Degree (D3)"/>
    <s v="Statistics"/>
    <x v="0"/>
    <s v="TAX"/>
    <x v="0"/>
    <s v="Tax Officer"/>
    <s v="G10"/>
    <s v="TK/0"/>
    <s v="282566242009362"/>
    <s v="59505272413"/>
    <s v="2006102574532"/>
    <s v="BANK BCA"/>
    <s v="3670684262"/>
    <s v="081795402547"/>
    <s v="lina.santoso@dumibumi.co.id"/>
    <s v="Depok, Indonesia"/>
  </r>
  <r>
    <n v="201642468"/>
    <s v="Andi Saputra"/>
    <s v="9508902869302612"/>
    <s v="9061265736963339"/>
    <s v="Madiun"/>
    <d v="1986-02-28T00:00:00"/>
    <s v="Male"/>
    <s v="Single"/>
    <n v="0"/>
    <s v="Islam"/>
    <s v="O"/>
    <d v="2026-04-08T00:00:00"/>
    <d v="2031-04-08T00:00:00"/>
    <m/>
    <x v="0"/>
    <x v="0"/>
    <x v="1"/>
    <s v="Vocational High School"/>
    <s v="Metal Engineering"/>
    <x v="6"/>
    <s v="Warehouse"/>
    <x v="11"/>
    <s v="Driver"/>
    <s v="G13"/>
    <s v="TK/0"/>
    <s v="627480348906267"/>
    <s v="04199748192"/>
    <s v="6414079683781"/>
    <s v="BANK BCA"/>
    <s v="7332954844"/>
    <s v="083659168085"/>
    <s v="andi.saputra@dumibumi.co.id"/>
    <s v="Subang, Indonesia"/>
  </r>
  <r>
    <n v="202044125"/>
    <s v="Dewi Sari"/>
    <s v="7888533908614606"/>
    <s v="6588492277391341"/>
    <s v="Singkawang"/>
    <d v="1985-08-20T00:00:00"/>
    <s v="Female"/>
    <s v="Single"/>
    <n v="0"/>
    <s v="Islam"/>
    <s v="A"/>
    <d v="2025-10-21T00:00:00"/>
    <d v="2028-10-21T00:00:00"/>
    <m/>
    <x v="0"/>
    <x v="0"/>
    <x v="1"/>
    <s v="Associate Degree (D3)"/>
    <s v="Statistics"/>
    <x v="0"/>
    <s v="TAX"/>
    <x v="1"/>
    <s v="Tax Staff"/>
    <s v="G11"/>
    <s v="TK/0"/>
    <s v="793616579733422"/>
    <s v="73865587869"/>
    <s v="3610010354131"/>
    <s v="BANK BCA"/>
    <s v="1708175273"/>
    <s v="081243050612"/>
    <s v="dewi.sari@dumibumi.co.id"/>
    <s v="Jakarta, Indonesia"/>
  </r>
  <r>
    <n v="202144470"/>
    <s v="Rudi Pratama"/>
    <s v="4372642327668348"/>
    <s v="8617685180882309"/>
    <s v="Jakarta"/>
    <d v="1991-10-24T00:00:00"/>
    <s v="Male"/>
    <s v="Divorced"/>
    <n v="1"/>
    <s v="Islam"/>
    <s v="B"/>
    <d v="2021-10-01T00:00:00"/>
    <d v="2026-12-01T00:00:00"/>
    <m/>
    <x v="0"/>
    <x v="0"/>
    <x v="1"/>
    <s v="Vocational High School"/>
    <s v="Electrical Engineering"/>
    <x v="6"/>
    <s v="Warehouse"/>
    <x v="11"/>
    <s v="Driver"/>
    <s v="G13"/>
    <s v="TK/1"/>
    <s v="622887088395910"/>
    <s v="17939393874"/>
    <s v="8159265894847"/>
    <s v="BANK BCA"/>
    <s v="9532476458"/>
    <s v="080943735354"/>
    <s v="rudi.pratama@dumibumi.co.id"/>
    <s v="Jakarta, Indonesia"/>
  </r>
  <r>
    <n v="201642544"/>
    <s v="Rahmat Ramadhan"/>
    <s v="1285573668109270"/>
    <s v="7108825544669347"/>
    <s v="Jakarta"/>
    <d v="1993-07-10T00:00:00"/>
    <s v="Male"/>
    <s v="Divorced"/>
    <n v="1"/>
    <s v="Islam"/>
    <s v="O"/>
    <d v="2024-06-23T00:00:00"/>
    <d v="2029-06-23T00:00:00"/>
    <m/>
    <x v="0"/>
    <x v="0"/>
    <x v="1"/>
    <s v="Vocational High School"/>
    <s v="Automotive Engineering"/>
    <x v="6"/>
    <s v="Warehouse"/>
    <x v="11"/>
    <s v="Forklift Operator"/>
    <s v="G13"/>
    <s v="TK/1"/>
    <s v="890286155303937"/>
    <s v="84806961962"/>
    <s v="6793567439666"/>
    <s v="BANK BCA"/>
    <s v="3465114169"/>
    <s v="081556367087"/>
    <s v="rahmat.ramadhan@dumibumi.co.id"/>
    <s v="Bogor, Indonesia"/>
  </r>
  <r>
    <n v="201642373"/>
    <s v="Firman Pangestu"/>
    <s v="9176392721630333"/>
    <s v="4160946139683242"/>
    <s v="Jakarta"/>
    <d v="1997-12-09T00:00:00"/>
    <s v="Male"/>
    <s v="Divorced"/>
    <n v="1"/>
    <s v="Islam"/>
    <s v="B"/>
    <d v="2022-01-04T00:00:00"/>
    <d v="2027-01-04T00:00:00"/>
    <m/>
    <x v="0"/>
    <x v="0"/>
    <x v="1"/>
    <s v="Vocational High School"/>
    <s v="Social Sciences (IPS)"/>
    <x v="6"/>
    <s v="Warehouse"/>
    <x v="2"/>
    <s v="Warehouse Administrator Staff"/>
    <s v="G12"/>
    <s v="TK/1"/>
    <s v="706319753057026"/>
    <s v="50120175189"/>
    <s v="5741866233529"/>
    <s v="BANK BCA"/>
    <s v="6686784624"/>
    <s v="087022678176"/>
    <s v="rahmat.pangestu@dumibumi.co.id"/>
    <s v="Bekasi, Indonesia"/>
  </r>
  <r>
    <n v="202043922"/>
    <s v="Andi Sari"/>
    <s v="3784399302361858"/>
    <s v="2535723676203132"/>
    <s v="Palembang"/>
    <d v="1991-11-27T00:00:00"/>
    <s v="Male"/>
    <s v="Married"/>
    <n v="1"/>
    <s v="Islam"/>
    <s v="B"/>
    <d v="2020-04-01T00:00:00"/>
    <m/>
    <m/>
    <x v="0"/>
    <x v="0"/>
    <x v="0"/>
    <s v="Vocational High School"/>
    <s v="Automotive Engineering"/>
    <x v="6"/>
    <s v="Warehouse"/>
    <x v="11"/>
    <s v="Driver"/>
    <s v="G13"/>
    <s v="K/1"/>
    <s v="253905918891918"/>
    <s v="01285378396"/>
    <s v="5190413512851"/>
    <s v="BANK BCA"/>
    <s v="4821411451"/>
    <s v="084333272377"/>
    <s v="andi.sari@dumibumi.co.id"/>
    <s v="Bandung, Indonesia"/>
  </r>
  <r>
    <n v="201843391"/>
    <s v="Bayu Saputra"/>
    <s v="2461732181760316"/>
    <s v="4849722960441078"/>
    <s v="Jakarta"/>
    <d v="1983-06-19T00:00:00"/>
    <s v="Male"/>
    <s v="Married"/>
    <n v="2"/>
    <s v="Islam"/>
    <s v="AB"/>
    <d v="2020-10-18T00:00:00"/>
    <m/>
    <m/>
    <x v="0"/>
    <x v="0"/>
    <x v="0"/>
    <s v="Vocational High School"/>
    <s v="Automotive Engineering"/>
    <x v="6"/>
    <s v="Warehouse"/>
    <x v="11"/>
    <s v="Driver"/>
    <s v="G13"/>
    <s v="K/2"/>
    <s v="719794072807075"/>
    <s v="21601655871"/>
    <s v="0505086764147"/>
    <s v="BANK BCA"/>
    <s v="3281431981"/>
    <s v="082839644995"/>
    <s v="bayu.saputra@dumibumi.co.id"/>
    <s v="Jakarta, Indonesia"/>
  </r>
  <r>
    <n v="201843144"/>
    <s v="Bagas Pratama"/>
    <s v="0852705160988180"/>
    <s v="7635438031805205"/>
    <s v="Sukabumi"/>
    <d v="1996-02-03T00:00:00"/>
    <s v="Male"/>
    <s v="Single"/>
    <n v="0"/>
    <s v="Islam"/>
    <s v="A"/>
    <d v="2026-02-13T00:00:00"/>
    <d v="2031-02-13T00:00:00"/>
    <m/>
    <x v="0"/>
    <x v="0"/>
    <x v="1"/>
    <s v="Vocational High School"/>
    <s v="Automotive Engineering"/>
    <x v="6"/>
    <s v="Warehouse"/>
    <x v="11"/>
    <s v="Forklift Operator"/>
    <s v="G13"/>
    <s v="TK/0"/>
    <s v="855462077864713"/>
    <s v="39227763842"/>
    <s v="6156780811272"/>
    <s v="BANK BCA"/>
    <s v="0197375125"/>
    <s v="084092019210"/>
    <s v="aulia.pratama@dumibumi.co.id"/>
    <s v="Bogor, Indonesia"/>
  </r>
  <r>
    <n v="202144282"/>
    <s v="Samsul Hidayatullah"/>
    <s v="4395464990903556"/>
    <s v="8829509739364332"/>
    <s v="Sukabumi"/>
    <d v="1998-10-03T00:00:00"/>
    <s v="Male"/>
    <s v="Single"/>
    <n v="0"/>
    <s v="Islam"/>
    <s v="A"/>
    <d v="2024-03-27T00:00:00"/>
    <d v="2027-03-27T00:00:00"/>
    <m/>
    <x v="0"/>
    <x v="0"/>
    <x v="1"/>
    <s v="Vocational High School"/>
    <s v="Software Engineering (RPL)"/>
    <x v="6"/>
    <s v="Warehouse"/>
    <x v="11"/>
    <s v="Forklift Operator"/>
    <s v="G13"/>
    <s v="TK/0"/>
    <s v="638039538768990"/>
    <s v="84894746959"/>
    <s v="7887224001343"/>
    <s v="BANK BCA"/>
    <s v="9439069601"/>
    <s v="087184535814"/>
    <s v="aulia.pratama@dumibumi.co.id"/>
    <s v="Jakarta, Indonesia"/>
  </r>
  <r>
    <n v="201642692"/>
    <s v="Iwan Kurniawan"/>
    <s v="0685320109630851"/>
    <s v="6198807385386196"/>
    <s v="Sukabumi"/>
    <d v="1998-09-22T00:00:00"/>
    <s v="Male"/>
    <s v="Single"/>
    <n v="0"/>
    <s v="Islam"/>
    <s v="A"/>
    <d v="2025-11-18T00:00:00"/>
    <d v="2030-11-18T00:00:00"/>
    <m/>
    <x v="0"/>
    <x v="0"/>
    <x v="1"/>
    <s v="Vocational High School"/>
    <s v="Electrical Engineering"/>
    <x v="6"/>
    <s v="Warehouse"/>
    <x v="11"/>
    <s v="Forklift Operator"/>
    <s v="G13"/>
    <s v="TK/0"/>
    <s v="332232835364759"/>
    <s v="61466077473"/>
    <s v="3244200795939"/>
    <s v="BANK BCA"/>
    <s v="1851272766"/>
    <s v="086996746442"/>
    <s v="siti.kurniawan@dumibumi.co.id"/>
    <s v="Jakarta, Indonesia"/>
  </r>
  <r>
    <n v="202144512"/>
    <s v="Asep Setiadi"/>
    <s v="5857745349964183"/>
    <s v="2141561672139967"/>
    <s v="Jakarta"/>
    <d v="1999-05-11T00:00:00"/>
    <s v="Male"/>
    <s v="Single"/>
    <n v="0"/>
    <s v="Islam"/>
    <s v="A"/>
    <d v="2024-11-12T00:00:00"/>
    <d v="2029-11-12T00:00:00"/>
    <m/>
    <x v="0"/>
    <x v="0"/>
    <x v="1"/>
    <s v="Vocational High School"/>
    <s v="Automotive Engineering"/>
    <x v="6"/>
    <s v="Warehouse"/>
    <x v="11"/>
    <s v="Forklift Operator"/>
    <s v="G13"/>
    <s v="TK/0"/>
    <s v="770154949085260"/>
    <s v="44036647790"/>
    <s v="8436871664564"/>
    <s v="BANK BCA"/>
    <s v="6871415377"/>
    <s v="080348433193"/>
    <s v="indah.kurniawan@dumibumi.co.id"/>
    <s v="Bogor, Indonesia"/>
  </r>
  <r>
    <n v="201843242"/>
    <s v="Yusuf Hidayat"/>
    <s v="5543783749403835"/>
    <s v="5479205758171740"/>
    <s v="Jakarta"/>
    <d v="1999-06-24T00:00:00"/>
    <s v="Male"/>
    <s v="Single"/>
    <n v="0"/>
    <s v="Islam"/>
    <s v="A"/>
    <d v="2023-05-22T00:00:00"/>
    <d v="2028-05-22T00:00:00"/>
    <m/>
    <x v="0"/>
    <x v="0"/>
    <x v="1"/>
    <s v="Vocational High School"/>
    <s v="Metal Engineering"/>
    <x v="6"/>
    <s v="Warehouse"/>
    <x v="11"/>
    <s v="Forklift Operator"/>
    <s v="G13"/>
    <s v="TK/0"/>
    <s v="846847865082369"/>
    <s v="01566711252"/>
    <s v="6491449801113"/>
    <s v="BANK BCA"/>
    <s v="1815145465"/>
    <s v="089121946464"/>
    <s v="lina.sari@dumibumi.co.id"/>
    <s v="Bandung, Indonesia"/>
  </r>
  <r>
    <n v="202545910"/>
    <s v="Zidan Malik Ridwan"/>
    <s v="9620936265739804"/>
    <s v="2753950614063132"/>
    <s v="Bogor"/>
    <d v="1999-07-12T00:00:00"/>
    <s v="Male"/>
    <s v="Single"/>
    <n v="0"/>
    <s v="Islam"/>
    <s v="A"/>
    <d v="2025-09-10T00:00:00"/>
    <d v="2027-09-10T00:00:00"/>
    <m/>
    <x v="0"/>
    <x v="0"/>
    <x v="1"/>
    <s v="Vocational High School"/>
    <s v="Automotive Engineering"/>
    <x v="6"/>
    <s v="Warehouse"/>
    <x v="11"/>
    <s v="Forklift Operator"/>
    <s v="G13"/>
    <s v="TK/0"/>
    <s v="629161801947383"/>
    <s v="46228303938"/>
    <s v="1133245817436"/>
    <s v="BANK BCA"/>
    <s v="8511885258"/>
    <s v="083013491911"/>
    <s v="rina.kurniawan@dumibumi.co.id"/>
    <s v="Subang, Indonesia"/>
  </r>
  <r>
    <n v="202044080"/>
    <s v="Rudi Nugroho"/>
    <s v="9850842040085733"/>
    <s v="3247209749777825"/>
    <s v="Bekasi"/>
    <d v="1990-09-13T00:00:00"/>
    <s v="Male"/>
    <s v="Married"/>
    <n v="1"/>
    <s v="Islam"/>
    <s v="AB"/>
    <d v="2020-09-06T00:00:00"/>
    <m/>
    <m/>
    <x v="0"/>
    <x v="0"/>
    <x v="0"/>
    <s v="Vocational High School"/>
    <s v="Automotive Engineering"/>
    <x v="6"/>
    <s v="Warehouse"/>
    <x v="11"/>
    <s v="Driver"/>
    <s v="G13"/>
    <s v="K/1"/>
    <s v="591515579538159"/>
    <s v="60301880593"/>
    <s v="6455770266711"/>
    <s v="BANK BCA"/>
    <s v="5450600387"/>
    <s v="086860872560"/>
    <s v="rudi.nugroho@dumibumi.co.id"/>
    <s v="Tangerang, Indonesia"/>
  </r>
  <r>
    <n v="202144367"/>
    <s v="M. Agil"/>
    <s v="2041489941686343"/>
    <s v="7008005612506468"/>
    <s v="Medan"/>
    <d v="1997-02-13T00:00:00"/>
    <s v="Male"/>
    <s v="Single"/>
    <n v="0"/>
    <s v="Islam"/>
    <s v="A"/>
    <d v="2023-06-20T00:00:00"/>
    <d v="2028-06-20T00:00:00"/>
    <m/>
    <x v="0"/>
    <x v="0"/>
    <x v="1"/>
    <s v="Vocational High School"/>
    <s v="Electrical Engineering"/>
    <x v="6"/>
    <s v="Warehouse"/>
    <x v="11"/>
    <s v="Forklift Operator"/>
    <s v="G13"/>
    <s v="TK/0"/>
    <s v="598337243661980"/>
    <s v="01294823249"/>
    <s v="3335019243433"/>
    <s v="BANK BCA"/>
    <s v="2708605970"/>
    <s v="089228002484"/>
    <s v="nadia.kurniawan@dumibumi.co.id"/>
    <s v="Bandung, Indonesia"/>
  </r>
  <r>
    <n v="201642577"/>
    <s v="Putra Wijaya"/>
    <s v="6321032555540292"/>
    <s v="4877274786780922"/>
    <s v="Jakarta"/>
    <d v="1997-09-07T00:00:00"/>
    <s v="Male"/>
    <s v="Single"/>
    <n v="0"/>
    <s v="Protestantism"/>
    <s v="A"/>
    <d v="2025-07-26T00:00:00"/>
    <d v="2030-07-26T00:00:00"/>
    <m/>
    <x v="0"/>
    <x v="0"/>
    <x v="1"/>
    <s v="Vocational High School"/>
    <s v="Tourism"/>
    <x v="6"/>
    <s v="Warehouse"/>
    <x v="11"/>
    <s v="Forklift Operator"/>
    <s v="G13"/>
    <s v="TK/0"/>
    <s v="957847087399961"/>
    <s v="50129118103"/>
    <s v="7820379445141"/>
    <s v="BANK BCA"/>
    <s v="6236913311"/>
    <s v="080449873471"/>
    <s v="putri.wijaya@dumibumi.co.id"/>
    <s v="Jakarta, Indonesia"/>
  </r>
  <r>
    <n v="202144493"/>
    <s v="Dedi Kusuma"/>
    <s v="0583642967094845"/>
    <s v="8242274765808210"/>
    <s v="Tangerang"/>
    <d v="1989-11-21T00:00:00"/>
    <s v="Male"/>
    <s v="Married"/>
    <n v="3"/>
    <s v="Islam"/>
    <s v="O"/>
    <d v="2021-10-24T00:00:00"/>
    <d v="2027-01-24T00:00:00"/>
    <m/>
    <x v="0"/>
    <x v="0"/>
    <x v="1"/>
    <s v="Vocational High School"/>
    <s v="Automotive Engineering"/>
    <x v="6"/>
    <s v="Warehouse"/>
    <x v="11"/>
    <s v="Driver"/>
    <s v="G13"/>
    <s v="K/3"/>
    <s v="930199145743323"/>
    <s v="18324990932"/>
    <s v="3951704123279"/>
    <s v="BANK BCA"/>
    <s v="9843629728"/>
    <s v="087844038398"/>
    <s v="dedi.kusuma@dumibumi.co.id"/>
    <s v="Bogor, Indonesia"/>
  </r>
  <r>
    <n v="202144365"/>
    <s v="Budi Saputra"/>
    <s v="0952753256087345"/>
    <s v="5060351608604102"/>
    <s v="Bekasi"/>
    <d v="1985-04-10T00:00:00"/>
    <s v="Male"/>
    <s v="Married"/>
    <n v="2"/>
    <s v="Islam"/>
    <s v="B"/>
    <d v="2021-06-18T00:00:00"/>
    <m/>
    <m/>
    <x v="0"/>
    <x v="0"/>
    <x v="0"/>
    <s v="Vocational High School"/>
    <s v="Automotive Engineering"/>
    <x v="6"/>
    <s v="Warehouse"/>
    <x v="11"/>
    <s v="Driver"/>
    <s v="G13"/>
    <s v="K/2"/>
    <s v="114641179895632"/>
    <s v="16453563971"/>
    <s v="5388234537347"/>
    <s v="BANK BCA"/>
    <s v="0995328120"/>
    <s v="083630392663"/>
    <s v="budi.saputra@dumibumi.co.id"/>
    <s v="Jakarta, Indonesia"/>
  </r>
  <r>
    <n v="202043974"/>
    <s v="Agus Maulana"/>
    <s v="5157201582796516"/>
    <s v="9463795218005823"/>
    <s v="Pontianak"/>
    <d v="1989-05-04T00:00:00"/>
    <s v="Male"/>
    <s v="Married"/>
    <n v="1"/>
    <s v="Islam"/>
    <s v="A"/>
    <d v="2020-05-23T00:00:00"/>
    <m/>
    <m/>
    <x v="0"/>
    <x v="0"/>
    <x v="0"/>
    <s v="Vocational High School"/>
    <s v="Automotive Engineering"/>
    <x v="6"/>
    <s v="Warehouse"/>
    <x v="11"/>
    <s v="Driver"/>
    <s v="G13"/>
    <s v="K/1"/>
    <s v="976637946449162"/>
    <s v="91829165080"/>
    <s v="7129556564910"/>
    <s v="BANK BCA"/>
    <s v="0536905546"/>
    <s v="081141420095"/>
    <s v="agus.maulana@dumibumi.co.id"/>
    <s v="Subang, Indonesia"/>
  </r>
  <r>
    <n v="201843432"/>
    <s v="Agus Kusuma"/>
    <s v="2820290502353446"/>
    <s v="5379411953542881"/>
    <s v="Sukabumi"/>
    <d v="1996-05-18T00:00:00"/>
    <s v="Male"/>
    <s v="Married"/>
    <n v="1"/>
    <s v="Islam"/>
    <s v="A"/>
    <d v="2018-11-28T00:00:00"/>
    <m/>
    <m/>
    <x v="0"/>
    <x v="0"/>
    <x v="0"/>
    <s v="Vocational High School"/>
    <s v="Automotive Engineering"/>
    <x v="6"/>
    <s v="Warehouse"/>
    <x v="11"/>
    <s v="Driver"/>
    <s v="G13"/>
    <s v="K/1"/>
    <s v="607960383268142"/>
    <s v="50073045078"/>
    <s v="9656030976614"/>
    <s v="BANK BCA"/>
    <s v="9062586252"/>
    <s v="087896851971"/>
    <s v="agus.kusuma@dumibumi.co.id"/>
    <s v="Bekasi, Indonesia"/>
  </r>
  <r>
    <n v="201843375"/>
    <s v="Yusuf Ramadhan"/>
    <s v="9311046115432387"/>
    <s v="1282423837071414"/>
    <s v="Bandung"/>
    <d v="1997-01-07T00:00:00"/>
    <s v="Male"/>
    <s v="Married"/>
    <n v="0"/>
    <s v="Islam"/>
    <s v="AB"/>
    <d v="2018-10-02T00:00:00"/>
    <m/>
    <m/>
    <x v="0"/>
    <x v="0"/>
    <x v="0"/>
    <s v="Vocational High School"/>
    <s v="Automotive Engineering"/>
    <x v="6"/>
    <s v="Warehouse"/>
    <x v="11"/>
    <s v="Driver"/>
    <s v="G13"/>
    <s v="K/0"/>
    <s v="311270374718438"/>
    <s v="14115733101"/>
    <s v="0550075940868"/>
    <s v="BANK BCA"/>
    <s v="2086002417"/>
    <s v="089973994831"/>
    <s v="yusuf.ramadhan@dumibumi.co.id"/>
    <s v="Bandung, Indonesia"/>
  </r>
  <r>
    <n v="201542202"/>
    <s v="Indah Kurniawan"/>
    <s v="0335298473304103"/>
    <s v="2665109498156153"/>
    <s v="Bandung"/>
    <d v="2010-03-03T00:00:00"/>
    <s v="Female"/>
    <s v="Single"/>
    <n v="0"/>
    <s v="Islam"/>
    <s v="A"/>
    <d v="2026-07-17T00:00:00"/>
    <d v="2027-07-17T00:00:00"/>
    <m/>
    <x v="0"/>
    <x v="0"/>
    <x v="1"/>
    <s v="Vocational High School"/>
    <s v="Marketing"/>
    <x v="6"/>
    <s v="Warehouse"/>
    <x v="8"/>
    <s v="Data Entry Intern"/>
    <s v="G14"/>
    <s v="TK/0"/>
    <s v="062148804862305"/>
    <s v="65461861282"/>
    <s v="3676706224192"/>
    <s v="BANK BNI"/>
    <s v="6875828574"/>
    <s v="082380514146"/>
    <s v="indah.kurniawan@dumibumi.co.id"/>
    <s v="Tangerang, Indonesia"/>
  </r>
  <r>
    <n v="201943492"/>
    <s v="Ridwan Maulana"/>
    <s v="1620500422570080"/>
    <s v="2878734248465833"/>
    <s v="Tangerang"/>
    <d v="2008-09-09T00:00:00"/>
    <s v="Male"/>
    <s v="Single"/>
    <n v="0"/>
    <s v="Islam"/>
    <s v="B"/>
    <d v="2026-01-27T00:00:00"/>
    <d v="2027-01-27T00:00:00"/>
    <m/>
    <x v="0"/>
    <x v="0"/>
    <x v="1"/>
    <s v="Vocational High School"/>
    <s v="Automotive Engineering"/>
    <x v="6"/>
    <s v="Warehouse"/>
    <x v="8"/>
    <s v="Data Entry Intern"/>
    <s v="G14"/>
    <s v="TK/0"/>
    <s v="935808147888820"/>
    <s v="05637583564"/>
    <s v="4648035151492"/>
    <s v="BANK BNI"/>
    <s v="6287746202"/>
    <s v="082318628339"/>
    <s v="rina.maulana@dumibumi.co.id"/>
    <s v="Tangerang, Indonesia"/>
  </r>
  <r>
    <n v="202545831"/>
    <s v="Lili Maulana"/>
    <s v="1519301104783343"/>
    <s v="1418241359321232"/>
    <s v="Bandung"/>
    <d v="2009-12-14T00:00:00"/>
    <s v="Male"/>
    <s v="Single"/>
    <n v="0"/>
    <s v="Islam"/>
    <s v="AB"/>
    <d v="2026-06-23T00:00:00"/>
    <d v="2027-06-23T00:00:00"/>
    <m/>
    <x v="0"/>
    <x v="0"/>
    <x v="1"/>
    <s v="Vocational High School"/>
    <s v="Automotive Engineering"/>
    <x v="6"/>
    <s v="Warehouse"/>
    <x v="8"/>
    <s v="Data Entry Intern"/>
    <s v="G14"/>
    <s v="TK/0"/>
    <s v="772190670310918"/>
    <s v="43544912064"/>
    <s v="1576019560026"/>
    <s v="BANK BNI"/>
    <s v="5189826662"/>
    <s v="083741758668"/>
    <s v="lina.maulana@dumibumi.co.id"/>
    <s v="Bandung, Indonesia"/>
  </r>
  <r>
    <n v="202545996"/>
    <s v="Dwi Kusnandar"/>
    <s v="2508163100662630"/>
    <s v="7369998525423015"/>
    <s v="Jakarta"/>
    <d v="2010-11-16T00:00:00"/>
    <s v="Male"/>
    <s v="Single"/>
    <n v="0"/>
    <s v="Islam"/>
    <s v="B"/>
    <d v="2025-12-05T00:00:00"/>
    <d v="2026-12-05T00:00:00"/>
    <m/>
    <x v="0"/>
    <x v="0"/>
    <x v="1"/>
    <s v="Vocational High School"/>
    <s v="Automotive Engineering"/>
    <x v="6"/>
    <s v="Warehouse"/>
    <x v="8"/>
    <s v="Data Entry Intern"/>
    <s v="G14"/>
    <s v="TK/0"/>
    <s v="601586945032924"/>
    <s v="62445806920"/>
    <s v="4309803097372"/>
    <s v="BANK BNI"/>
    <s v="4147209039"/>
    <s v="089880456410"/>
    <s v="dewi.kusuma@dumibumi.co.id"/>
    <s v="Tangerang, Indonesia"/>
  </r>
  <r>
    <n v="201994268"/>
    <s v="Sapri Dewantara"/>
    <s v="3172014605910008"/>
    <s v="3172011102120031"/>
    <s v="Jakarta"/>
    <d v="1982-04-04T00:00:00"/>
    <s v="Male"/>
    <s v="Married"/>
    <n v="0"/>
    <s v="Islam"/>
    <s v="A"/>
    <d v="2012-07-04T00:00:00"/>
    <m/>
    <d v="2016-07-04T00:00:00"/>
    <x v="1"/>
    <x v="1"/>
    <x v="0"/>
    <s v="Associate Degree (D3)"/>
    <s v="Business Administration"/>
    <x v="0"/>
    <s v="Finance"/>
    <x v="4"/>
    <s v="Finance Manager"/>
    <s v="G06"/>
    <s v="K/0"/>
    <n v="214859310150000"/>
    <n v="18024957134"/>
    <n v="1429583712"/>
    <s v="BANK BCA"/>
    <n v="1240009874521"/>
    <n v="81289452311"/>
    <s v="ahmad.subagja@gmail.com"/>
    <s v="Depok, Indonesia"/>
  </r>
  <r>
    <n v="202090377"/>
    <s v="Rina Kurniawan Setyawati"/>
    <s v="3576011508970012"/>
    <s v="3576012407180052"/>
    <s v="Bandung"/>
    <d v="1996-09-21T00:00:00"/>
    <s v="Female"/>
    <s v="Married"/>
    <n v="0"/>
    <s v="Islam"/>
    <s v="A"/>
    <d v="2020-12-21T00:00:00"/>
    <m/>
    <d v="2026-04-04T00:00:00"/>
    <x v="2"/>
    <x v="1"/>
    <x v="0"/>
    <s v="Bachelor's Degree (S1)"/>
    <s v="Business Administration"/>
    <x v="7"/>
    <s v="Quality Assurance"/>
    <x v="1"/>
    <s v="Quality Control In-Coming"/>
    <s v="G11"/>
    <s v="TK/0"/>
    <n v="329581420260000"/>
    <n v="19047285193"/>
    <n v="2849153824"/>
    <s v="BANK BCA"/>
    <n v="5220394812"/>
    <n v="81311224455"/>
    <s v="sitiaminah.hr@yahoo.com"/>
    <s v="Depok, Indonesia"/>
  </r>
  <r>
    <n v="201577847"/>
    <s v="Lili Pangestu Rahma"/>
    <s v="5171022312930001"/>
    <s v="5171020904150074"/>
    <s v="Jakarta"/>
    <d v="1989-05-13T00:00:00"/>
    <s v="Female"/>
    <s v="Married"/>
    <n v="0"/>
    <s v="Islam"/>
    <s v="A"/>
    <d v="2015-03-13T00:00:00"/>
    <m/>
    <d v="2026-05-19T00:00:00"/>
    <x v="2"/>
    <x v="1"/>
    <x v="0"/>
    <s v="High School"/>
    <s v="Social Sciences (IPS)"/>
    <x v="5"/>
    <s v="Marketing"/>
    <x v="0"/>
    <s v="Marketing Officer"/>
    <s v="G10"/>
    <s v="TK/0"/>
    <n v="184729530410000"/>
    <n v="17059381427"/>
    <n v="1938472516"/>
    <s v="BANK BCA"/>
    <n v="384759214"/>
    <n v="81574892013"/>
    <s v="budi.santoso90@outlook.com"/>
    <s v="Bekasi, Indonesia"/>
  </r>
  <r>
    <n v="201689316"/>
    <s v="Zidan Pangestu Putra"/>
    <s v="1212055409950006"/>
    <s v="1212051611160029"/>
    <s v="Bekasi"/>
    <d v="1999-09-16T00:00:00"/>
    <s v="Male"/>
    <s v="Single"/>
    <n v="0"/>
    <s v="Islam"/>
    <s v="B"/>
    <d v="2021-07-16T00:00:00"/>
    <d v="2026-07-16T00:00:00"/>
    <m/>
    <x v="3"/>
    <x v="1"/>
    <x v="1"/>
    <s v="Vocational High School"/>
    <s v="Electrical Engineering"/>
    <x v="7"/>
    <s v="Production"/>
    <x v="11"/>
    <s v="Production Operator"/>
    <s v="G13"/>
    <s v="TK/0"/>
    <n v="249158370520000"/>
    <n v="18063947215"/>
    <n v="2154839726"/>
    <s v="BANK BCA"/>
    <n v="34101049281503"/>
    <n v="85719348274"/>
    <s v="dewi.lestari.88@gmail.com"/>
    <s v="Depok, Indonesia"/>
  </r>
  <r>
    <n v="201923389"/>
    <s v="Dea Santoso Putri"/>
    <s v="6402030201920009"/>
    <s v="6402032208130061"/>
    <s v="Bogor"/>
    <d v="1990-10-02T00:00:00"/>
    <s v="Female"/>
    <s v="Married"/>
    <n v="0"/>
    <s v="Islam"/>
    <s v="B"/>
    <d v="2016-02-02T00:00:00"/>
    <m/>
    <d v="2020-02-10T00:00:00"/>
    <x v="0"/>
    <x v="1"/>
    <x v="0"/>
    <s v="Bachelor's Degree (S1)"/>
    <s v="Human Resource Management"/>
    <x v="2"/>
    <s v="Human Resources &amp; General Affairs"/>
    <x v="3"/>
    <s v="HR Ops &amp; GA Supervisor"/>
    <s v="G07"/>
    <s v="TK/0"/>
    <n v="158392470130000"/>
    <n v="16074829153"/>
    <n v="1837492510"/>
    <s v="BANK BCA"/>
    <n v="704193857200"/>
    <n v="87823419582"/>
    <s v="roni.hidayat@hotmail.com"/>
    <s v="Subang, Indonesia"/>
  </r>
  <r>
    <n v="202072845"/>
    <s v="Yoga Pangestu Wijaya"/>
    <s v="7371054904900003"/>
    <s v="7371050503110047"/>
    <s v="Tangerang"/>
    <d v="1998-01-28T00:00:00"/>
    <s v="Male"/>
    <s v="Single"/>
    <n v="0"/>
    <s v="Islam"/>
    <s v="B"/>
    <d v="2020-05-28T00:00:00"/>
    <d v="2025-05-28T00:00:00"/>
    <m/>
    <x v="3"/>
    <x v="1"/>
    <x v="1"/>
    <s v="Vocational High School"/>
    <s v="Electrical Engineering"/>
    <x v="7"/>
    <s v="Production"/>
    <x v="11"/>
    <s v="Production Operator"/>
    <s v="G13"/>
    <s v="TK/0"/>
    <n v="315482970420000"/>
    <n v="19082739415"/>
    <n v="3194827513"/>
    <s v="BANK BCA"/>
    <n v="1320015482937"/>
    <n v="82194837210"/>
    <s v="rina.permata@gmail.com"/>
    <s v="Bekasi, Indonesia"/>
  </r>
  <r>
    <n v="201733399"/>
    <s v="Iwan Prasetyo"/>
    <s v="3275011811940007"/>
    <s v="3275011312150016"/>
    <s v="Depok"/>
    <d v="1999-07-19T00:00:00"/>
    <s v="Male"/>
    <s v="Single"/>
    <n v="0"/>
    <s v="Protestantism"/>
    <s v="A"/>
    <d v="2021-07-19T00:00:00"/>
    <d v="2026-07-19T00:00:00"/>
    <m/>
    <x v="3"/>
    <x v="1"/>
    <x v="1"/>
    <s v="Vocational High School"/>
    <s v="Electrical Engineering"/>
    <x v="7"/>
    <s v="Production"/>
    <x v="11"/>
    <s v="Production Operator"/>
    <s v="G13"/>
    <s v="TK/0"/>
    <n v="274915380510000"/>
    <n v="18019384726"/>
    <n v="2749183526"/>
    <s v="BANK BCA"/>
    <n v="8420591834"/>
    <n v="81239485711"/>
    <s v="dika.pratama@yahoo.com"/>
    <s v="Depok, Indonesia"/>
  </r>
  <r>
    <n v="202196149"/>
    <s v="Yulia Pangestu Ningsih"/>
    <s v="3516042502930011"/>
    <s v="3516041705140056"/>
    <s v="Bogor"/>
    <d v="1997-04-22T00:00:00"/>
    <s v="Female"/>
    <s v="Married"/>
    <n v="0"/>
    <s v="Islam"/>
    <s v="A"/>
    <d v="2021-10-22T00:00:00"/>
    <d v="2023-10-22T00:00:00"/>
    <m/>
    <x v="3"/>
    <x v="1"/>
    <x v="1"/>
    <s v="Bachelor's Degree (S1)"/>
    <s v="Human Resource Management"/>
    <x v="2"/>
    <s v="Human Resources &amp; General Affairs"/>
    <x v="1"/>
    <s v="Recruitment Staff"/>
    <s v="G11"/>
    <s v="TK/0"/>
    <n v="193847250630000"/>
    <n v="17028491537"/>
    <n v="1639482715"/>
    <s v="BANK BCA"/>
    <n v="492837152"/>
    <n v="81905847321"/>
    <s v="mega.utami@gmail.com"/>
    <s v="Tangerang, Indonesia"/>
  </r>
  <r>
    <n v="202079020"/>
    <s v="Renaldi Halim Perdana"/>
    <s v="3209140406950005"/>
    <s v="3209142101160092"/>
    <s v="Bandung"/>
    <d v="1998-06-14T00:00:00"/>
    <s v="Male"/>
    <s v="Single"/>
    <n v="0"/>
    <s v="Islam"/>
    <s v="A"/>
    <d v="2021-01-14T00:00:00"/>
    <d v="2026-01-14T00:00:00"/>
    <m/>
    <x v="3"/>
    <x v="1"/>
    <x v="1"/>
    <s v="Vocational High School"/>
    <s v="Electrical Engineering"/>
    <x v="7"/>
    <s v="Production"/>
    <x v="11"/>
    <s v="Production Operator"/>
    <s v="G13"/>
    <s v="TK/0"/>
    <n v="228491530140000"/>
    <n v="18037492815"/>
    <n v="2948173526"/>
    <s v="BANK BCA"/>
    <n v="12501093847502"/>
    <n v="85219483725"/>
    <s v="agus.setiawan@outlook.com"/>
    <s v="Bandung, Indonesia"/>
  </r>
  <r>
    <n v="202148399"/>
    <s v="Rina Lesmana Sari"/>
    <s v="3175044910910001"/>
    <s v="3175040308120025"/>
    <s v="Depok"/>
    <d v="1996-01-05T00:00:00"/>
    <s v="Female"/>
    <s v="Married"/>
    <n v="0"/>
    <s v="Islam"/>
    <s v="A"/>
    <d v="2021-09-05T00:00:00"/>
    <d v="2023-09-05T00:00:00"/>
    <m/>
    <x v="3"/>
    <x v="1"/>
    <x v="1"/>
    <s v="Bachelor's Degree (S1)"/>
    <s v="Human Resource Management"/>
    <x v="2"/>
    <s v="Human Resources &amp; General Affairs"/>
    <x v="1"/>
    <s v="Employer Branding Staff"/>
    <s v="G11"/>
    <s v="TK/0"/>
    <n v="349182730510000"/>
    <n v="19046392817"/>
    <n v="3281947526"/>
    <s v="BANK BCA"/>
    <n v="706294817300"/>
    <n v="81384729153"/>
    <s v="ninda.sari@gmail.com"/>
    <s v="Jakarta, Indonesia"/>
  </r>
  <r>
    <n v="202072061"/>
    <s v="Nadia Firmansyah Putri"/>
    <s v="1276032712960006"/>
    <s v="1276031907170013"/>
    <s v="Bekasi"/>
    <d v="1990-06-18T00:00:00"/>
    <s v="Female"/>
    <s v="Married"/>
    <n v="0"/>
    <s v="Islam"/>
    <s v="B"/>
    <d v="2017-06-18T00:00:00"/>
    <m/>
    <m/>
    <x v="4"/>
    <x v="0"/>
    <x v="0"/>
    <s v="Bachelor's Degree (S1)"/>
    <s v="Law"/>
    <x v="4"/>
    <s v="Legal"/>
    <x v="4"/>
    <s v="Legal Manager"/>
    <s v="G06"/>
    <s v="TK/0"/>
    <n v="129584730620000"/>
    <n v="16057483921"/>
    <n v="1749283516"/>
    <s v="BANK BCA"/>
    <n v="1560018472935"/>
    <n v="87719384726"/>
    <s v="hendra.wijaya@yahoo.com"/>
    <s v="Tangerang, Indonesia"/>
  </r>
  <r>
    <n v="202376552"/>
    <s v="Yusuf Lesmana Putra"/>
    <s v="3277011401910007"/>
    <s v="3277010906120085"/>
    <s v="Tanjung Pinang"/>
    <d v="1999-09-26T00:00:00"/>
    <s v="Male"/>
    <s v="Single"/>
    <n v="0"/>
    <s v="Islam"/>
    <s v="B"/>
    <d v="2023-02-26T00:00:00"/>
    <d v="2026-02-26T00:00:00"/>
    <m/>
    <x v="3"/>
    <x v="1"/>
    <x v="1"/>
    <s v="Bachelor's Degree (S1)"/>
    <s v="Communication"/>
    <x v="2"/>
    <s v="Human Resources &amp; General Affairs"/>
    <x v="1"/>
    <s v="HR Operations &amp; General Affairs Staff"/>
    <s v="G11"/>
    <s v="TK/0"/>
    <n v="284917350130000"/>
    <n v="18069384712"/>
    <n v="2639481725"/>
    <s v="BANK BCA"/>
    <n v="2750394817"/>
    <n v="81194857213"/>
    <s v="lusi.febriani@gmail.com"/>
    <s v="Bogor, Indonesia"/>
  </r>
  <r>
    <n v="201843175"/>
    <s v="Septiadi Halim Nugraha"/>
    <s v="3273035104920006"/>
    <s v="3273031210130097"/>
    <s v="Depok"/>
    <d v="1998-05-04T00:00:00"/>
    <s v="Male"/>
    <s v="Single"/>
    <n v="0"/>
    <s v="Islam"/>
    <s v="A"/>
    <d v="2022-12-04T00:00:00"/>
    <d v="2025-12-04T00:00:00"/>
    <m/>
    <x v="3"/>
    <x v="1"/>
    <x v="1"/>
    <s v="Vocational High School"/>
    <s v="Electrical Engineering"/>
    <x v="7"/>
    <s v="Production"/>
    <x v="11"/>
    <s v="Production Operator"/>
    <s v="G13"/>
    <s v="TK/0"/>
    <n v="173948250420000"/>
    <n v="17072938416"/>
    <n v="1847295163"/>
    <s v="BANK BCA"/>
    <n v="529384716"/>
    <n v="81395847210"/>
    <s v="taufik.hidayat@gmail.com"/>
    <s v="Tangerang, Indonesia"/>
  </r>
  <r>
    <n v="201773866"/>
    <s v="Bambang Kusuma Jaya"/>
    <s v="3173020309940009"/>
    <s v="3173022605150044"/>
    <s v="Depok"/>
    <d v="1999-11-22T00:00:00"/>
    <s v="Male"/>
    <s v="Single"/>
    <n v="0"/>
    <s v="Buddhism"/>
    <s v="A"/>
    <d v="2022-07-22T00:00:00"/>
    <d v="2025-07-22T00:00:00"/>
    <m/>
    <x v="3"/>
    <x v="1"/>
    <x v="1"/>
    <s v="Vocational High School"/>
    <s v="Electrical Engineering"/>
    <x v="7"/>
    <s v="Production"/>
    <x v="11"/>
    <s v="Production Operator"/>
    <s v="G13"/>
    <s v="TK/0"/>
    <n v="339481520510000"/>
    <n v="19084729153"/>
    <n v="3491827351"/>
    <s v="BANK BCA"/>
    <n v="23101083927504"/>
    <n v="85693847215"/>
    <s v="siska.amalia@hotmail.com"/>
    <s v="Bandung, Indonesia"/>
  </r>
  <r>
    <n v="202135656"/>
    <s v="Firman Nugroho Adi"/>
    <s v="3578016402960003"/>
    <s v="3578011911170018"/>
    <s v="Bengkulu"/>
    <d v="1998-06-10T00:00:00"/>
    <s v="Male"/>
    <s v="Single"/>
    <n v="0"/>
    <s v="Catholicism"/>
    <s v="B"/>
    <d v="2023-01-10T00:00:00"/>
    <d v="2024-01-10T00:00:00"/>
    <m/>
    <x v="3"/>
    <x v="1"/>
    <x v="1"/>
    <s v="Vocational High School"/>
    <s v="Software Engineering (RPL)"/>
    <x v="7"/>
    <s v="Production"/>
    <x v="11"/>
    <s v="Production Operator"/>
    <s v="G13"/>
    <s v="TK/0"/>
    <n v="251938470630000"/>
    <n v="18018374925"/>
    <n v="2194837256"/>
    <s v="BANK BCA"/>
    <n v="708394817200"/>
    <n v="81294857361"/>
    <s v="aditya.nugraha@gmail.com"/>
    <s v="Jakarta, Indonesia"/>
  </r>
  <r>
    <n v="202118426"/>
    <s v="Aulia Kusuma Wardani"/>
    <s v="1271024508930012"/>
    <s v="1271021707140035"/>
    <s v="Jakarta"/>
    <d v="1997-08-19T00:00:00"/>
    <s v="Female"/>
    <s v="Married"/>
    <n v="0"/>
    <s v="Islam"/>
    <s v="AB"/>
    <d v="2021-02-19T00:00:00"/>
    <d v="2022-02-19T00:00:00"/>
    <m/>
    <x v="3"/>
    <x v="1"/>
    <x v="1"/>
    <s v="Bachelor's Degree (S1)"/>
    <s v="Industrial Engineering"/>
    <x v="7"/>
    <s v="Production"/>
    <x v="4"/>
    <s v="Production Manager"/>
    <s v="G06"/>
    <s v="TK/0"/>
    <n v="149283750140000"/>
    <n v="16029481735"/>
    <n v="1529384716"/>
    <s v="BANK BCA"/>
    <n v="1020019384726"/>
    <n v="81829384756"/>
    <s v="maya.kartika@yahoo.com"/>
    <s v="Depok, Indonesia"/>
  </r>
  <r>
    <n v="202080333"/>
    <s v="Yoga Sari Wijaya"/>
    <s v="7371020610950001"/>
    <s v="7371022209160026"/>
    <s v="Jakarta"/>
    <d v="1998-03-12T00:00:00"/>
    <s v="Male"/>
    <s v="Married"/>
    <n v="0"/>
    <s v="Islam"/>
    <s v="B"/>
    <d v="2023-11-12T00:00:00"/>
    <d v="2025-11-12T00:00:00"/>
    <m/>
    <x v="3"/>
    <x v="1"/>
    <x v="1"/>
    <s v="Vocational High School"/>
    <s v="Software Engineering (RPL)"/>
    <x v="7"/>
    <s v="Production"/>
    <x v="11"/>
    <s v="Production Operator"/>
    <s v="G13"/>
    <s v="K/0"/>
    <n v="364918270520000"/>
    <n v="19038471926"/>
    <n v="3629184735"/>
    <s v="BANK BCA"/>
    <n v="6040294813"/>
    <n v="81384910293"/>
    <s v="rudi.hermansyah@gmail.com"/>
    <s v="Bogor, Indonesia"/>
  </r>
  <r>
    <n v="201834031"/>
    <s v="Iwan Boediono Wibowo"/>
    <s v="3275034803900004"/>
    <s v="3275031405110063"/>
    <s v="Jakarta"/>
    <d v="1999-09-03T00:00:00"/>
    <s v="Male"/>
    <s v="Single"/>
    <n v="0"/>
    <s v="Islam"/>
    <s v="A"/>
    <d v="2024-05-03T00:00:00"/>
    <d v="2026-05-03T00:00:00"/>
    <m/>
    <x v="3"/>
    <x v="1"/>
    <x v="1"/>
    <s v="Vocational High School"/>
    <s v="Software Engineering (RPL)"/>
    <x v="7"/>
    <s v="Production"/>
    <x v="11"/>
    <s v="Production Operator"/>
    <s v="G13"/>
    <s v="TK/0"/>
    <n v="294817350410000"/>
    <n v="18049382715"/>
    <n v="2839481726"/>
    <s v="BANK BCA"/>
    <n v="619384725"/>
    <n v="85729384710"/>
    <s v="elena.putri@outlook.com"/>
    <s v="Bandung, Indonesia"/>
  </r>
  <r>
    <n v="201989715"/>
    <s v="Samsul Kusuma Bakti"/>
    <s v="3172021907960007"/>
    <s v="3172020512170094"/>
    <s v="Bandung"/>
    <d v="1998-02-17T00:00:00"/>
    <s v="Male"/>
    <s v="Single"/>
    <n v="0"/>
    <s v="Islam"/>
    <s v="A"/>
    <d v="2024-06-17T00:00:00"/>
    <d v="2026-06-17T00:00:00"/>
    <m/>
    <x v="3"/>
    <x v="1"/>
    <x v="1"/>
    <s v="Vocational High School"/>
    <s v="Software Engineering (RPL)"/>
    <x v="7"/>
    <s v="Production"/>
    <x v="11"/>
    <s v="Production Operator"/>
    <s v="G13"/>
    <s v="TK/0"/>
    <n v="118394720630000"/>
    <n v="16051938472"/>
    <n v="1948273615"/>
    <s v="BANK BCA"/>
    <n v="41501029384501"/>
    <n v="81210293847"/>
    <s v="joko.susilo@gmail.com"/>
    <s v="Bandung, Indonesia"/>
  </r>
  <r>
    <n v="202082491"/>
    <s v="Ine Maulana Putri"/>
    <s v="3517025301940002"/>
    <s v="3517022808150051"/>
    <s v="Subang"/>
    <d v="1996-04-25T00:00:00"/>
    <s v="Female"/>
    <s v="Married"/>
    <n v="0"/>
    <s v="Islam"/>
    <s v="A"/>
    <d v="2020-10-25T00:00:00"/>
    <d v="2021-10-25T00:00:00"/>
    <m/>
    <x v="3"/>
    <x v="1"/>
    <x v="1"/>
    <s v="Bachelor's Degree (S1)"/>
    <s v="Information Systems"/>
    <x v="7"/>
    <s v="Production"/>
    <x v="3"/>
    <s v="Production Supervisor"/>
    <s v="G07"/>
    <s v="TK/0"/>
    <n v="239481750120000"/>
    <n v="18062948371"/>
    <n v="2493847156"/>
    <s v="BANK BCA"/>
    <n v="702938471600"/>
    <n v="81948372615"/>
    <s v="yuni.lestari@gmail.com"/>
    <s v="Bandung, Indonesia"/>
  </r>
  <r>
    <n v="202168417"/>
    <s v="Lina Karunisa Sari"/>
    <s v="3174016711910003"/>
    <s v="3174010909120089"/>
    <s v="Jakarta"/>
    <d v="1962-11-09T00:00:00"/>
    <s v="Female"/>
    <s v="Married"/>
    <n v="0"/>
    <s v="Islam"/>
    <s v="B"/>
    <d v="1988-03-09T00:00:00"/>
    <m/>
    <d v="2018-08-10T00:00:00"/>
    <x v="5"/>
    <x v="1"/>
    <x v="0"/>
    <s v="Bachelor's Degree (S1)"/>
    <s v="Management"/>
    <x v="6"/>
    <s v="PPIC"/>
    <x v="4"/>
    <s v="Demand &amp; Supply Manager"/>
    <s v="G06"/>
    <s v="TK/0"/>
    <n v="351948270430000"/>
    <n v="19073849125"/>
    <n v="3847192536"/>
    <s v="BANK BCA"/>
    <n v="1410019483725"/>
    <n v="81394827361"/>
    <s v="fajar.budi@yahoo.com"/>
    <s v="Tangerang, Indonesia"/>
  </r>
  <r>
    <n v="201912416"/>
    <s v="Rahmat Satria Wijaya"/>
    <s v="3573022408950010"/>
    <s v="3573021404160046"/>
    <s v="Jakarta"/>
    <d v="1961-07-23T00:00:00"/>
    <s v="Male"/>
    <s v="Married"/>
    <n v="0"/>
    <s v="Islam"/>
    <s v="A"/>
    <d v="1986-04-23T00:00:00"/>
    <m/>
    <d v="2017-04-10T00:00:00"/>
    <x v="5"/>
    <x v="1"/>
    <x v="0"/>
    <s v="Bachelor's Degree (S1)"/>
    <s v="Marketing"/>
    <x v="0"/>
    <s v="Finance"/>
    <x v="4"/>
    <s v="Finance Manager"/>
    <s v="G06"/>
    <s v="K/0"/>
    <n v="163948270510000"/>
    <n v="17084729351"/>
    <n v="1394827156"/>
    <s v="BANK BCA"/>
    <n v="4530294815"/>
    <n v="87839482715"/>
    <s v="rita.wahyuni@gmail.com"/>
    <s v="Bandung, Indonesia"/>
  </r>
  <r>
    <n v="201938204"/>
    <s v="Dea Puspa Lestari"/>
    <s v="1275024906920009"/>
    <s v="1275020301130075"/>
    <s v="Jakarta"/>
    <d v="1965-04-11T00:00:00"/>
    <s v="Female"/>
    <s v="Married"/>
    <n v="0"/>
    <s v="Islam"/>
    <s v="B"/>
    <d v="1987-12-11T00:00:00"/>
    <m/>
    <d v="2020-10-10T00:00:00"/>
    <x v="5"/>
    <x v="1"/>
    <x v="0"/>
    <s v="Bachelor's Degree (S1)"/>
    <s v="Management"/>
    <x v="0"/>
    <s v="Accounting"/>
    <x v="3"/>
    <s v="Accounting Supervisor"/>
    <s v="G07"/>
    <s v="TK/0"/>
    <n v="219483720620000"/>
    <n v="18013948274"/>
    <n v="2183948271"/>
    <s v="BANK BCA"/>
    <n v="739482715"/>
    <n v="85293847102"/>
    <s v="iwan.fals@outlook.com"/>
    <s v="Tangerang, Indonesia"/>
  </r>
  <r>
    <n v="201956738"/>
    <s v="Bayu Agil Perkasa"/>
    <s v="3175035507930005"/>
    <s v="3175030805140021"/>
    <s v="Bogor"/>
    <d v="1994-11-15T00:00:00"/>
    <s v="Male"/>
    <s v="Married"/>
    <n v="0"/>
    <s v="Islam"/>
    <s v="B"/>
    <d v="2019-06-15T00:00:00"/>
    <d v="2023-06-15T00:00:00"/>
    <m/>
    <x v="3"/>
    <x v="1"/>
    <x v="1"/>
    <s v="Bachelor's Degree (S1)"/>
    <s v="Information Systems"/>
    <x v="7"/>
    <s v="Production"/>
    <x v="10"/>
    <s v="Leader Engineering"/>
    <s v="G08"/>
    <s v="K/0"/>
    <n v="348291530140000"/>
    <n v="19027493816"/>
    <n v="3928471536"/>
    <s v="BANK BCA"/>
    <n v="53201048293502"/>
    <n v="81293847156"/>
    <s v="sinta.dewi@gmail.com"/>
    <s v="Bogor, Indonesia"/>
  </r>
  <r>
    <n v="202486913"/>
    <s v="Agus Pratama Yudha"/>
    <s v="3273044303950001"/>
    <s v="3273041912160043"/>
    <s v="Subang"/>
    <d v="1999-08-13T00:00:00"/>
    <s v="Male"/>
    <s v="Single"/>
    <n v="0"/>
    <s v="Islam"/>
    <s v="A"/>
    <d v="2024-02-13T00:00:00"/>
    <d v="2027-02-13T00:00:00"/>
    <s v="10/005/2026"/>
    <x v="6"/>
    <x v="1"/>
    <x v="1"/>
    <s v="Vocational High School"/>
    <s v="Electrical Engineering"/>
    <x v="7"/>
    <s v="Production"/>
    <x v="2"/>
    <s v="Production Administrator"/>
    <s v="G12"/>
    <s v="TK/0"/>
    <n v="139482710520000"/>
    <n v="16038472915"/>
    <n v="1293847152"/>
    <s v="BANK BCA"/>
    <n v="705193847200"/>
    <n v="81310394857"/>
    <s v="andi.wijaya@yahoo.com"/>
    <s v="Tangerang, Indonesia"/>
  </r>
  <r>
    <n v="201647247"/>
    <s v="Rahmat Hidayatullah"/>
    <s v="3575015201960012"/>
    <s v="3575012809170087"/>
    <s v="Tangerang"/>
    <d v="1992-02-18T00:00:00"/>
    <s v="Male"/>
    <s v="Married"/>
    <n v="0"/>
    <s v="Islam"/>
    <s v="B"/>
    <d v="2017-08-18T00:00:00"/>
    <d v="2019-08-18T00:00:00"/>
    <m/>
    <x v="3"/>
    <x v="1"/>
    <x v="1"/>
    <s v="Bachelor's Degree (S1)"/>
    <s v="Informatics Engineering"/>
    <x v="7"/>
    <s v="Production"/>
    <x v="10"/>
    <s v="Leader Line Production"/>
    <s v="G08"/>
    <s v="K/0"/>
    <n v="263948170410000"/>
    <n v="18042938471"/>
    <n v="2519384726"/>
    <s v="BANK BCA"/>
    <n v="1130018472935"/>
    <n v="81729384715"/>
    <s v="dian.sastro@gmail.com"/>
    <s v="Jakarta, Indonesia"/>
  </r>
  <r>
    <n v="201478649"/>
    <s v="Reza Satria Utama"/>
    <s v="5171040906940004"/>
    <s v="5171042302150052"/>
    <s v="Depok"/>
    <d v="1990-10-29T00:00:00"/>
    <s v="Male"/>
    <s v="Married"/>
    <n v="0"/>
    <s v="Islam"/>
    <s v="A"/>
    <d v="2016-10-29T00:00:00"/>
    <d v="2019-10-29T00:00:00"/>
    <m/>
    <x v="3"/>
    <x v="1"/>
    <x v="1"/>
    <s v="Bachelor's Degree (S1)"/>
    <s v="Law"/>
    <x v="2"/>
    <s v="Human Resources &amp; General Affairs"/>
    <x v="1"/>
    <s v="HR Operations &amp; General Affairs Staff"/>
    <s v="G11"/>
    <s v="K/0"/>
    <n v="371948250630000"/>
    <n v="19053847192"/>
    <n v="3719482635"/>
    <s v="BANK BCA"/>
    <n v="7120394816"/>
    <n v="81294837152"/>
    <s v="bayu.aji@gmail.com"/>
    <s v="Subang, Indonesia"/>
  </r>
  <r>
    <n v="202112469"/>
    <s v="Nanda Satria Perkasa"/>
    <s v="6403012207970003"/>
    <s v="6403010905180076"/>
    <s v="Bandung"/>
    <d v="1996-11-06T00:00:00"/>
    <s v="Male"/>
    <s v="Married"/>
    <n v="0"/>
    <s v="Islam"/>
    <s v="B"/>
    <d v="2021-05-06T00:00:00"/>
    <d v="2022-05-06T00:00:00"/>
    <m/>
    <x v="3"/>
    <x v="1"/>
    <x v="1"/>
    <s v="Bachelor's Degree (S1)"/>
    <s v="Electrical Engineering"/>
    <x v="7"/>
    <s v="Quality Engineering"/>
    <x v="3"/>
    <s v="Quality Engineering Supervisor"/>
    <s v="G07"/>
    <s v="K/0"/>
    <n v="182938470120000"/>
    <n v="17064938271"/>
    <n v="1492837156"/>
    <s v="BANK BCA"/>
    <n v="293847156"/>
    <n v="85619384725"/>
    <s v="ari.wibowo@yahoo.com"/>
    <s v="Bekasi, Indonesia"/>
  </r>
  <r>
    <n v="201419758"/>
    <s v="Samsul Lestari Wijaya"/>
    <s v="3278025409900002"/>
    <s v="3278021803110091"/>
    <s v="Jakarta"/>
    <d v="1989-12-12T00:00:00"/>
    <s v="Male"/>
    <s v="Married"/>
    <n v="0"/>
    <s v="Islam"/>
    <s v="B"/>
    <d v="2014-12-12T00:00:00"/>
    <d v="2016-12-12T00:00:00"/>
    <m/>
    <x v="3"/>
    <x v="1"/>
    <x v="1"/>
    <s v="Bachelor's Degree (S1)"/>
    <s v="Informatics Engineering"/>
    <x v="7"/>
    <s v="Quality Engineering"/>
    <x v="3"/>
    <s v="Quality Engineering Supervisor"/>
    <s v="G07"/>
    <s v="K/0"/>
    <n v="293847150510000"/>
    <n v="18071938426"/>
    <n v="2938471625"/>
    <s v="BANK BCA"/>
    <n v="14201093847504"/>
    <n v="81394810293"/>
    <s v="dewi.persik@gmail.com"/>
    <s v="Subang, Indonesia"/>
  </r>
  <r>
    <n v="202470337"/>
    <s v="Lili Prasetya Ningrum"/>
    <s v="3174040602960006"/>
    <s v="3174042211170064"/>
    <s v="Bandung"/>
    <d v="1997-04-09T00:00:00"/>
    <s v="Female"/>
    <s v="Single"/>
    <n v="0"/>
    <s v="Islam"/>
    <s v="B"/>
    <d v="2018-11-09T00:00:00"/>
    <d v="2020-11-09T00:00:00"/>
    <m/>
    <x v="3"/>
    <x v="1"/>
    <x v="1"/>
    <s v="Associate Degree (D3)"/>
    <s v="Business Administration"/>
    <x v="0"/>
    <s v="Accounting"/>
    <x v="1"/>
    <s v="Accounting Staff"/>
    <s v="G11"/>
    <s v="TK/0"/>
    <n v="128394710620000"/>
    <n v="16082938471"/>
    <n v="1839472615"/>
    <s v="BANK BCA"/>
    <n v="709182736400"/>
    <n v="87819283745"/>
    <s v="heru.prasetyo@hotmail.com"/>
    <s v="Bekasi, Indonesia"/>
  </r>
  <r>
    <n v="201873231"/>
    <s v="Andi Saputra Perdana"/>
    <s v="3211021810920005"/>
    <s v="3211020505130082"/>
    <s v="Bandung"/>
    <d v="1994-01-20T00:00:00"/>
    <s v="Male"/>
    <s v="Married"/>
    <n v="0"/>
    <s v="Islam"/>
    <s v="O"/>
    <d v="2018-07-20T00:00:00"/>
    <d v="2020-07-20T00:00:00"/>
    <m/>
    <x v="3"/>
    <x v="1"/>
    <x v="1"/>
    <s v="Bachelor's Degree (S1)"/>
    <s v="Industrial Engineering"/>
    <x v="7"/>
    <s v="Quality Assurance"/>
    <x v="1"/>
    <s v="Quality Control In-Coming"/>
    <s v="G11"/>
    <s v="K/0"/>
    <n v="319283740130000"/>
    <n v="19014928375"/>
    <n v="3192837465"/>
    <s v="BANK BCA"/>
    <n v="1370019283745"/>
    <n v="81283746152"/>
    <s v="tina.toon@gmail.com"/>
    <s v="Jakarta, Indonesia"/>
  </r>
  <r>
    <n v="202076403"/>
    <s v="Zidan Ridwanullah"/>
    <s v="5101036512910011"/>
    <s v="5101031109120075"/>
    <s v="Tangerang"/>
    <d v="1996-04-10T00:00:00"/>
    <s v="Male"/>
    <s v="Married"/>
    <n v="0"/>
    <s v="Islam"/>
    <s v="B"/>
    <d v="2018-10-10T00:00:00"/>
    <d v="2020-10-10T00:00:00"/>
    <m/>
    <x v="3"/>
    <x v="1"/>
    <x v="1"/>
    <s v="Bachelor's Degree (S1)"/>
    <s v="Business Administration"/>
    <x v="6"/>
    <s v="PPIC"/>
    <x v="9"/>
    <s v="Production Planning Analyst"/>
    <s v="G09"/>
    <s v="K/0"/>
    <n v="248392710420000"/>
    <n v="18029384716"/>
    <n v="2483927156"/>
    <s v="BANK BCA"/>
    <n v="3091827364"/>
    <n v="81392837415"/>
    <s v="bagas.kara@yahoo.com"/>
    <s v="Depok, Indonesia"/>
  </r>
  <r>
    <n v="202086214"/>
    <s v="Ary Hidayat Pratama"/>
    <s v="1273012905960004"/>
    <s v="1273011402170031"/>
    <s v="Bandung"/>
    <d v="1998-06-03T00:00:00"/>
    <s v="Male"/>
    <s v="Married"/>
    <n v="0"/>
    <s v="Islam"/>
    <s v="B"/>
    <d v="2023-06-03T00:00:00"/>
    <d v="2026-06-03T00:00:00"/>
    <m/>
    <x v="3"/>
    <x v="1"/>
    <x v="1"/>
    <s v="Vocational High School"/>
    <s v="Automotive Engineering"/>
    <x v="7"/>
    <s v="Production"/>
    <x v="11"/>
    <s v="Production Operator"/>
    <s v="G13"/>
    <s v="K/0"/>
    <n v="359281730510000"/>
    <n v="19038472615"/>
    <n v="3592817364"/>
    <s v="BANK BCA"/>
    <n v="819283746"/>
    <n v="85219283746"/>
    <s v="citra.kirana@gmail.com"/>
    <s v="Bekasi, Indonesia"/>
  </r>
  <r>
    <n v="202124768"/>
    <s v="Raffi Permata Wijaya"/>
    <s v="6472031201930009"/>
    <s v="6472032808140096"/>
    <s v="Depok"/>
    <d v="1998-08-27T00:00:00"/>
    <s v="Male"/>
    <s v="Single"/>
    <n v="0"/>
    <s v="Islam"/>
    <s v="B"/>
    <d v="2022-02-27T00:00:00"/>
    <d v="2026-02-27T00:00:00"/>
    <m/>
    <x v="3"/>
    <x v="1"/>
    <x v="1"/>
    <s v="Vocational High School"/>
    <s v="Automotive Engineering"/>
    <x v="7"/>
    <s v="Production"/>
    <x v="11"/>
    <s v="Production Operator"/>
    <s v="G13"/>
    <s v="TK/0"/>
    <n v="174938270630000"/>
    <n v="17049382715"/>
    <n v="1749382756"/>
    <s v="BANK BCA"/>
    <n v="62101039482501"/>
    <n v="81928374165"/>
    <s v="roni.doang@outlook.com"/>
    <s v="Bekasi, Indonesia"/>
  </r>
  <r>
    <n v="201830849"/>
    <s v="Adi Saputra Utama"/>
    <s v="7303025806950002"/>
    <s v="7303021903160058"/>
    <s v="Jakarta"/>
    <d v="1999-11-14T00:00:00"/>
    <s v="Male"/>
    <s v="Single"/>
    <n v="0"/>
    <s v="Islam"/>
    <s v="AB"/>
    <d v="2021-04-14T00:00:00"/>
    <d v="2026-04-14T00:00:00"/>
    <m/>
    <x v="3"/>
    <x v="1"/>
    <x v="1"/>
    <s v="Vocational High School"/>
    <s v="Automotive Engineering"/>
    <x v="7"/>
    <s v="Production"/>
    <x v="11"/>
    <s v="Production Operator"/>
    <s v="G13"/>
    <s v="TK/0"/>
    <n v="283948170140000"/>
    <n v="18051928374"/>
    <n v="2839481756"/>
    <s v="BANK BCA"/>
    <n v="701928374600"/>
    <n v="81238471925"/>
    <s v="anisa.pohan@gmail.com"/>
    <s v="Bekasi, Indonesia"/>
  </r>
  <r>
    <n v="201435656"/>
    <s v="Raffi Agil Wijaya"/>
    <s v="3172034704900010"/>
    <s v="3172031510110069"/>
    <s v="Bekasi"/>
    <d v="1998-01-22T00:00:00"/>
    <s v="Male"/>
    <s v="Single"/>
    <n v="0"/>
    <s v="Islam"/>
    <s v="A"/>
    <d v="2024-01-22T00:00:00"/>
    <d v="2026-01-22T00:00:00"/>
    <m/>
    <x v="3"/>
    <x v="1"/>
    <x v="1"/>
    <s v="Vocational High School"/>
    <s v="Metal Engineering"/>
    <x v="7"/>
    <s v="Production"/>
    <x v="11"/>
    <s v="Production Operator"/>
    <s v="G13"/>
    <s v="TK/0"/>
    <n v="148529630250000"/>
    <n v="16048592731"/>
    <n v="1485296374"/>
    <s v="BANK BCA"/>
    <n v="842039158"/>
    <n v="81288994411"/>
    <s v="ryan.hidayat@gmail.com"/>
    <s v="Bogor, Indonesia"/>
  </r>
  <r>
    <n v="201996766"/>
    <s v="Egi Hidayatullah"/>
    <s v="3273051512960007"/>
    <s v="3273050409170019"/>
    <s v="Bekasi"/>
    <d v="1998-12-05T00:00:00"/>
    <s v="Male"/>
    <s v="Married"/>
    <n v="0"/>
    <s v="Islam"/>
    <s v="B"/>
    <d v="2023-12-05T00:00:00"/>
    <d v="2025-12-05T00:00:00"/>
    <m/>
    <x v="3"/>
    <x v="1"/>
    <x v="1"/>
    <s v="Vocational High School"/>
    <s v="Metal Engineering"/>
    <x v="7"/>
    <s v="Production"/>
    <x v="11"/>
    <s v="Production Operator"/>
    <s v="G13"/>
    <s v="K/0"/>
    <n v="395148260340000"/>
    <n v="19051482637"/>
    <n v="3951482618"/>
    <s v="BANK BCA"/>
    <n v="482951637"/>
    <n v="81374529103"/>
    <s v="endah.w@yahoo.com"/>
    <s v="Tangerang, Indonesia"/>
  </r>
  <r>
    <n v="202120561"/>
    <s v="Andi Ramadhan Putra"/>
    <s v="3578030903910011"/>
    <s v="3578032212120053"/>
    <s v="Jakarta"/>
    <d v="1998-01-28T00:00:00"/>
    <s v="Male"/>
    <s v="Single"/>
    <n v="0"/>
    <s v="Islam"/>
    <s v="B"/>
    <d v="2023-05-28T00:00:00"/>
    <d v="2025-05-28T00:00:00"/>
    <m/>
    <x v="3"/>
    <x v="1"/>
    <x v="1"/>
    <s v="Vocational High School"/>
    <s v="Metal Engineering"/>
    <x v="7"/>
    <s v="Production"/>
    <x v="11"/>
    <s v="Production Operator"/>
    <s v="G13"/>
    <s v="TK/0"/>
    <n v="275814930120000"/>
    <n v="18075814923"/>
    <n v="2758149385"/>
    <s v="BANK BCA"/>
    <n v="34501029384509"/>
    <n v="85694857213"/>
    <s v="heri.kurniawan@outlook.com"/>
    <s v="Jakarta, Indonesia"/>
  </r>
  <r>
    <n v="201747513"/>
    <s v="Lili Ayu Wandira"/>
    <s v="5171015308950006"/>
    <s v="5171011705160037"/>
    <s v="Tangerang"/>
    <d v="1974-07-09T00:00:00"/>
    <s v="Female"/>
    <s v="Married"/>
    <n v="0"/>
    <s v="Islam"/>
    <s v="B"/>
    <d v="2002-01-09T00:00:00"/>
    <m/>
    <d v="2017-10-10T00:00:00"/>
    <x v="6"/>
    <x v="1"/>
    <x v="0"/>
    <s v="Bachelor's Degree (S1)"/>
    <s v="Management"/>
    <x v="0"/>
    <s v="Finance"/>
    <x v="3"/>
    <s v="Finance Supervisor"/>
    <s v="G07"/>
    <s v="TK/0"/>
    <n v="184927530630000"/>
    <n v="17084927514"/>
    <n v="1849275392"/>
    <s v="BANK BCA"/>
    <n v="705829417300"/>
    <n v="81902847391"/>
    <s v="meira.sari@gmail.com"/>
    <s v="Bekasi, Indonesia"/>
  </r>
  <r>
    <n v="201981799"/>
    <s v="Budi Lesmana Hadi"/>
    <s v="3279015901930003"/>
    <s v="3279011410140071"/>
    <s v="Bogor"/>
    <d v="1998-11-16T00:00:00"/>
    <s v="Male"/>
    <s v="Single"/>
    <n v="0"/>
    <s v="Islam"/>
    <s v="B"/>
    <d v="2024-11-16T00:00:00"/>
    <d v="2025-11-16T00:00:00"/>
    <m/>
    <x v="3"/>
    <x v="1"/>
    <x v="1"/>
    <s v="Vocational High School"/>
    <s v="Management"/>
    <x v="0"/>
    <s v="TAX"/>
    <x v="1"/>
    <s v="Tax Staff"/>
    <s v="G11"/>
    <s v="TK/0"/>
    <n v="239154820140000"/>
    <n v="18019548236"/>
    <n v="2391548274"/>
    <s v="BANK BCA"/>
    <n v="1310014852936"/>
    <n v="81294857310"/>
    <s v="tedi.permana@gmail.com"/>
    <s v="Bandung, Indonesia"/>
  </r>
  <r>
    <n v="201958274"/>
    <s v="Dewi Utami Ningsih"/>
    <s v="3171042305960007"/>
    <s v="3171040802170046"/>
    <s v="Bogor"/>
    <d v="1977-03-04T00:00:00"/>
    <s v="Female"/>
    <s v="Married"/>
    <n v="0"/>
    <s v="Islam"/>
    <s v="O"/>
    <d v="1999-09-04T00:00:00"/>
    <m/>
    <d v="2014-10-10T00:00:00"/>
    <x v="6"/>
    <x v="1"/>
    <x v="0"/>
    <s v="Bachelor's Degree (S1)"/>
    <s v="Management"/>
    <x v="0"/>
    <s v="TAX"/>
    <x v="3"/>
    <s v="Tax Supervisor"/>
    <s v="G07"/>
    <s v="TK/0"/>
    <n v="315482960250000"/>
    <n v="19025482961"/>
    <n v="3154829647"/>
    <s v="BANK BCA"/>
    <n v="2750482915"/>
    <n v="81381928374"/>
    <s v="anita.rahma@yahoo.com"/>
    <s v="Depok, Indonesia"/>
  </r>
  <r>
    <n v="201878703"/>
    <s v="Dadan Prasetya Utama"/>
    <s v="3512020711900012"/>
    <s v="3512021908110015"/>
    <s v="Subang"/>
    <d v="1999-08-11T00:00:00"/>
    <s v="Male"/>
    <s v="Married"/>
    <n v="0"/>
    <s v="Islam"/>
    <s v="A"/>
    <d v="2023-02-11T00:00:00"/>
    <d v="2025-02-11T00:00:00"/>
    <m/>
    <x v="3"/>
    <x v="1"/>
    <x v="1"/>
    <s v="Vocational High School"/>
    <s v="Management"/>
    <x v="0"/>
    <s v="TAX"/>
    <x v="1"/>
    <s v="Tax Staff"/>
    <s v="G11"/>
    <s v="K/0"/>
    <n v="195283740360000"/>
    <n v="17039528374"/>
    <n v="1952837415"/>
    <s v="BANK BCA"/>
    <n v="519384726"/>
    <n v="85293847152"/>
    <s v="dodi.alfayed@gmail.com"/>
    <s v="Tangerang, Indonesia"/>
  </r>
  <r>
    <n v="202017747"/>
    <s v="Rizky Utami Putri"/>
    <s v="3273011205950003"/>
    <s v="3273011508120041"/>
    <s v="Pontianak"/>
    <d v="1996-03-19T00:00:00"/>
    <s v="Female"/>
    <s v="Married"/>
    <n v="0"/>
    <s v="Islam"/>
    <s v="A"/>
    <d v="2018-05-14T00:00:00"/>
    <d v="2021-05-14T00:00:00"/>
    <m/>
    <x v="3"/>
    <x v="1"/>
    <x v="1"/>
    <s v="Bachelor's Degree (S1)"/>
    <m/>
    <x v="0"/>
    <s v="Accounting"/>
    <x v="1"/>
    <s v="Accounting Staff"/>
    <s v="G11"/>
    <s v="TK/0"/>
    <n v="284153960410000"/>
    <n v="18048415392"/>
    <n v="2841539658"/>
    <s v="BANK BCA"/>
    <n v="12301049281504"/>
    <n v="87819384726"/>
    <s v="siska.yuliana@outlook.com"/>
    <s v="Subang, Indonesia"/>
  </r>
  <r>
    <n v="202016499"/>
    <s v="Dea Arum Lestari"/>
    <s v="3174032408910007"/>
    <s v="3174031904100082"/>
    <s v="Tangerang"/>
    <d v="1994-07-25T00:00:00"/>
    <s v="Female"/>
    <s v="Married"/>
    <n v="0"/>
    <s v="Islam"/>
    <s v="A"/>
    <d v="2020-08-22T00:00:00"/>
    <d v="2023-08-22T00:00:00"/>
    <m/>
    <x v="3"/>
    <x v="1"/>
    <x v="1"/>
    <s v="Bachelor's Degree (S1)"/>
    <m/>
    <x v="0"/>
    <s v="Accounting"/>
    <x v="1"/>
    <s v="Accounting Staff"/>
    <s v="G11"/>
    <s v="TK/0"/>
    <n v="352918470520000"/>
    <n v="19055291843"/>
    <n v="3529184761"/>
    <s v="BANK BCA"/>
    <n v="708294153700"/>
    <n v="81394857210"/>
    <s v="bagus.tri@gmail.com"/>
    <s v="Bekasi, Indonesia"/>
  </r>
  <r>
    <n v="201983434"/>
    <s v="Rizka Karunisa"/>
    <s v="3578020511880012"/>
    <s v="3578022211140023"/>
    <s v="Sukabumi"/>
    <d v="1993-11-08T00:00:00"/>
    <s v="Female"/>
    <s v="Married"/>
    <n v="0"/>
    <s v="Islam"/>
    <s v="AB"/>
    <d v="2019-11-03T00:00:00"/>
    <d v="2023-11-03T00:00:00"/>
    <m/>
    <x v="3"/>
    <x v="1"/>
    <x v="1"/>
    <s v="Bachelor's Degree (S1)"/>
    <m/>
    <x v="0"/>
    <s v="Finance"/>
    <x v="0"/>
    <s v="Finance Officer"/>
    <s v="G10"/>
    <s v="TK/0"/>
    <n v="128495130630000"/>
    <n v="16062849514"/>
    <n v="1284951372"/>
    <s v="BANK BCA"/>
    <n v="1560012948573"/>
    <n v="81295847362"/>
    <s v="rina.amalia@yahoo.com"/>
    <s v="Bogor, Indonesia"/>
  </r>
  <r>
    <n v="202381793"/>
    <s v="Raffi Boediono Pradana"/>
    <s v="5171014203930005"/>
    <s v="5171011105150067"/>
    <s v="Depok"/>
    <d v="1999-02-19T00:00:00"/>
    <s v="Male"/>
    <s v="Single"/>
    <n v="0"/>
    <s v="Islam"/>
    <s v="AB"/>
    <d v="2022-01-19T00:00:00"/>
    <d v="2024-01-19T00:00:00"/>
    <m/>
    <x v="3"/>
    <x v="1"/>
    <x v="1"/>
    <s v="Bachelor's Degree (S1)"/>
    <m/>
    <x v="2"/>
    <s v="Human Resources &amp; General Affairs"/>
    <x v="1"/>
    <s v="Employer Branding Staff"/>
    <s v="G11"/>
    <s v="TK/0"/>
    <n v="249153820140000"/>
    <n v="18074915381"/>
    <n v="2491538264"/>
    <s v="BANK BCA"/>
    <n v="6040193857"/>
    <n v="81802938475"/>
    <s v="andre.taulany@gmail.com"/>
    <s v="Bogor, Indonesia"/>
  </r>
  <r>
    <n v="202171027"/>
    <s v="Muhammad Rizal Fauzi"/>
    <s v="1271041807970001"/>
    <s v="1271040309180094"/>
    <s v="Tangerang"/>
    <d v="1995-10-14T00:00:00"/>
    <s v="Male"/>
    <s v="Married"/>
    <n v="0"/>
    <s v="Islam"/>
    <s v="O"/>
    <d v="2021-12-07T00:00:00"/>
    <d v="2025-04-07T00:00:00"/>
    <m/>
    <x v="3"/>
    <x v="1"/>
    <x v="1"/>
    <s v="Bachelor's Degree (S1)"/>
    <m/>
    <x v="2"/>
    <s v="Human Resources &amp; General Affairs"/>
    <x v="1"/>
    <s v="Recruitment Staff"/>
    <s v="G11"/>
    <s v="K/0"/>
    <n v="374915280250000"/>
    <n v="19087491523"/>
    <n v="3749152861"/>
    <s v="BANK BCA"/>
    <n v="629481735"/>
    <n v="85729384716"/>
    <s v="dewi.safitri@gmail.com"/>
    <s v="Depok, Indonesia"/>
  </r>
  <r>
    <n v="202485290"/>
    <s v="Fajar Satria Perkasa"/>
    <s v="6472025512940004"/>
    <s v="6472022801160015"/>
    <s v="Jakarta"/>
    <d v="2000-05-30T00:00:00"/>
    <s v="Male"/>
    <s v="Single"/>
    <n v="0"/>
    <s v="Islam"/>
    <s v="B"/>
    <d v="2024-09-11T00:00:00"/>
    <d v="2025-09-11T00:00:00"/>
    <m/>
    <x v="3"/>
    <x v="1"/>
    <x v="1"/>
    <s v="Bachelor's Degree (S1)"/>
    <m/>
    <x v="2"/>
    <s v="Human Resources &amp; General Affairs"/>
    <x v="1"/>
    <s v="HR Operations &amp; General Affairs Staff"/>
    <s v="G11"/>
    <s v="TK/0"/>
    <n v="158294730360000"/>
    <n v="16015829472"/>
    <n v="1582947385"/>
    <s v="BANK BCA"/>
    <n v="41201083947502"/>
    <n v="81219384726"/>
    <s v="iwan.setiawan@outlook.com"/>
    <s v="Bekasi, Indonesia"/>
  </r>
  <r>
    <n v="201777100"/>
    <s v="Ine Hidayatullah"/>
    <s v="7371030906900008"/>
    <s v="7371031410110036"/>
    <s v="Tangerang"/>
    <d v="1993-01-17T00:00:00"/>
    <s v="Female"/>
    <s v="Married"/>
    <n v="0"/>
    <s v="Islam"/>
    <s v="B"/>
    <d v="2017-02-15T00:00:00"/>
    <d v="2019-02-15T00:00:00"/>
    <m/>
    <x v="3"/>
    <x v="1"/>
    <x v="1"/>
    <s v="Bachelor's Degree (S1)"/>
    <m/>
    <x v="5"/>
    <s v="Marketing"/>
    <x v="0"/>
    <s v="Marketing Officer"/>
    <s v="G10"/>
    <s v="TK/0"/>
    <n v="293847160410000"/>
    <n v="18029384715"/>
    <n v="2938471648"/>
    <s v="BANK BCA"/>
    <n v="701938472500"/>
    <n v="81395847213"/>
    <s v="lusi.anita@gmail.com"/>
    <s v="Subang, Indonesia"/>
  </r>
  <r>
    <n v="202154580"/>
    <s v="Putri Pangestu Ayu"/>
    <s v="3275046101960002"/>
    <s v="3275040912170059"/>
    <s v="Bogor"/>
    <d v="1997-03-22T00:00:00"/>
    <s v="Female"/>
    <s v="Married"/>
    <n v="0"/>
    <s v="Islam"/>
    <s v="AB"/>
    <d v="2021-06-30T00:00:00"/>
    <d v="2023-06-30T00:00:00"/>
    <m/>
    <x v="3"/>
    <x v="1"/>
    <x v="1"/>
    <s v="Bachelor's Degree (S1)"/>
    <m/>
    <x v="5"/>
    <s v="Marketing"/>
    <x v="0"/>
    <s v="Marketing Officer"/>
    <s v="G10"/>
    <s v="TK/0"/>
    <n v="362915480520000"/>
    <n v="19036291541"/>
    <n v="3629154873"/>
    <s v="BANK BCA"/>
    <n v="1020018472935"/>
    <n v="87719283746"/>
    <s v="rudi.hartono@yahoo.com"/>
    <s v="Depok, Indonesia"/>
  </r>
  <r>
    <n v="201845381"/>
    <s v="Kadek Boediono"/>
    <s v="3175021909920006"/>
    <s v="3175020506130021"/>
    <s v="Sukabumi"/>
    <d v="1993-09-05T00:00:00"/>
    <s v="Male"/>
    <s v="Married"/>
    <n v="0"/>
    <s v="Islam"/>
    <s v="AB"/>
    <d v="2018-10-12T00:00:00"/>
    <d v="2020-10-12T00:00:00"/>
    <m/>
    <x v="3"/>
    <x v="1"/>
    <x v="1"/>
    <s v="Bachelor's Degree (S1)"/>
    <m/>
    <x v="5"/>
    <s v="Marketing"/>
    <x v="0"/>
    <s v="Marketing Officer"/>
    <s v="G10"/>
    <s v="K/0"/>
    <n v="115482930630000"/>
    <n v="16041154823"/>
    <n v="1154829362"/>
    <s v="BANK BCA"/>
    <n v="4530192835"/>
    <n v="81293847104"/>
    <s v="maya.safira@gmail.com"/>
    <s v="Bandung, Indonesia"/>
  </r>
  <r>
    <n v="201247302"/>
    <s v="Raffi Prasetya Nugraha"/>
    <s v="3515014810950011"/>
    <s v="3515011707160048"/>
    <s v="Sukabumi"/>
    <d v="1986-12-11T00:00:00"/>
    <s v="Male"/>
    <s v="Married"/>
    <n v="0"/>
    <s v="Islam"/>
    <s v="AB"/>
    <d v="2012-03-05T00:00:00"/>
    <d v="2016-03-05T00:00:00"/>
    <m/>
    <x v="3"/>
    <x v="1"/>
    <x v="1"/>
    <s v="Bachelor's Degree (S1)"/>
    <m/>
    <x v="5"/>
    <s v="Marketing"/>
    <x v="1"/>
    <s v="Marketing Staff"/>
    <s v="G11"/>
    <s v="K/0"/>
    <n v="238491750140000"/>
    <n v="18052384912"/>
    <n v="2384917563"/>
    <s v="BANK BCA"/>
    <n v="729384716"/>
    <n v="85629384715"/>
    <s v="fajar.ramadhan@gmail.com"/>
    <s v="Tangerang, Indonesia"/>
  </r>
  <r>
    <n v="202390074"/>
    <s v="Aulia Saputra Adi"/>
    <s v="3204122304930009"/>
    <s v="3204122903140073"/>
    <s v="Sukabumi"/>
    <d v="1999-06-18T00:00:00"/>
    <s v="Male"/>
    <s v="Single"/>
    <n v="0"/>
    <s v="Islam"/>
    <s v="AB"/>
    <d v="2023-07-18T00:00:00"/>
    <d v="2025-07-18T00:00:00"/>
    <m/>
    <x v="3"/>
    <x v="1"/>
    <x v="1"/>
    <s v="Bachelor's Degree (S1)"/>
    <m/>
    <x v="5"/>
    <s v="Marketing"/>
    <x v="1"/>
    <s v="Marketing Staff"/>
    <s v="G11"/>
    <s v="TK/0"/>
    <n v="349182530250000"/>
    <n v="19064918251"/>
    <n v="3491825374"/>
    <s v="BANK BCA"/>
    <n v="53101029384508"/>
    <n v="81382938471"/>
    <s v="sinta.bella@outlook.com"/>
    <s v="Jakarta, Indonesia"/>
  </r>
  <r>
    <n v="201661242"/>
    <s v="Yoga Saputra Pratama"/>
    <s v="3171025111900003"/>
    <s v="3171021208110012"/>
    <s v="Jakarta"/>
    <d v="1990-08-24T00:00:00"/>
    <s v="Male"/>
    <s v="Married"/>
    <n v="0"/>
    <s v="Islam"/>
    <s v="AB"/>
    <d v="2019-01-25T00:00:00"/>
    <d v="2020-01-25T00:00:00"/>
    <m/>
    <x v="3"/>
    <x v="1"/>
    <x v="1"/>
    <s v="Bachelor's Degree (S1)"/>
    <m/>
    <x v="5"/>
    <s v="Marketing"/>
    <x v="1"/>
    <s v="Marketing Staff"/>
    <s v="G11"/>
    <s v="K/0"/>
    <n v="139485720360000"/>
    <n v="16073948572"/>
    <n v="1394857291"/>
    <s v="BANK BCA"/>
    <n v="704938172600"/>
    <n v="81929384710"/>
    <s v="andi.perkasa@gmail.com"/>
    <s v="Bekasi, Indonesia"/>
  </r>
  <r>
    <n v="202264433"/>
    <s v="Firman Prasetya Utama"/>
    <s v="3573031402960007"/>
    <s v="3573030805170055"/>
    <s v="Depok"/>
    <d v="1998-01-09T00:00:00"/>
    <s v="Male"/>
    <s v="Single"/>
    <n v="0"/>
    <s v="Islam"/>
    <s v="AB"/>
    <d v="2022-11-09T00:00:00"/>
    <d v="2025-11-09T00:00:00"/>
    <d v="2024-06-15T00:00:00"/>
    <x v="6"/>
    <x v="1"/>
    <x v="1"/>
    <s v="Bachelor's Degree (S1)"/>
    <m/>
    <x v="6"/>
    <s v="PPIC"/>
    <x v="9"/>
    <s v="Production Planning Analyst"/>
    <s v="G09"/>
    <s v="TK/0"/>
    <n v="251948370410000"/>
    <n v="18085194831"/>
    <n v="2519483762"/>
    <s v="BANK BCA"/>
    <n v="1120019384726"/>
    <n v="87839482715"/>
    <s v="putri.ayu@yahoo.com"/>
    <s v="Depok, Indonesia"/>
  </r>
  <r>
    <n v="202445300"/>
    <s v="Dadan Ramadhan"/>
    <s v="9437108521823721"/>
    <s v="6527375053207841"/>
    <s v="Bogor"/>
    <d v="2009-11-13T00:00:00"/>
    <s v="Male"/>
    <s v="Single"/>
    <n v="0"/>
    <s v="Islam"/>
    <s v="A"/>
    <d v="2024-01-09T00:00:00"/>
    <d v="2025-01-09T00:00:00"/>
    <m/>
    <x v="3"/>
    <x v="1"/>
    <x v="1"/>
    <s v="Vocational High School"/>
    <s v="Automotive Engineering"/>
    <x v="7"/>
    <s v="Production"/>
    <x v="8"/>
    <s v="Procution Intern"/>
    <s v="G14"/>
    <s v="TK/0"/>
    <n v="381947260520000"/>
    <n v="19018194723"/>
    <n v="3819472651"/>
    <s v="BANK BCA"/>
    <n v="8420193847"/>
    <n v="81294857215"/>
    <s v="gilang.dirga@gmail.com"/>
    <s v="Depok, Indonesia"/>
  </r>
  <r>
    <n v="202244699"/>
    <s v="Renaldi Maulana"/>
    <s v="7582848418151749"/>
    <s v="6338875466243290"/>
    <s v="Bekasi"/>
    <d v="2010-03-23T00:00:00"/>
    <s v="Male"/>
    <s v="Single"/>
    <n v="0"/>
    <s v="Islam"/>
    <s v="A"/>
    <d v="2022-05-18T00:00:00"/>
    <d v="2023-05-18T00:00:00"/>
    <m/>
    <x v="3"/>
    <x v="1"/>
    <x v="1"/>
    <s v="Vocational High School"/>
    <s v="Automotive Engineering"/>
    <x v="7"/>
    <s v="Production"/>
    <x v="8"/>
    <s v="Procution Intern"/>
    <s v="G14"/>
    <s v="TK/0"/>
    <n v="172938450630000"/>
    <n v="17027293841"/>
    <n v="1729384592"/>
    <s v="BANK BNI"/>
    <n v="384729156"/>
    <n v="81319283746"/>
    <s v="nanda.putra@gmail.com"/>
    <s v="Depok, Indonesia"/>
  </r>
  <r>
    <n v="202545795"/>
    <s v="Dewi Nugroho"/>
    <s v="9626289820706461"/>
    <s v="4792039667293099"/>
    <s v="Jakarta"/>
    <d v="2010-10-21T00:00:00"/>
    <s v="Female"/>
    <s v="Single"/>
    <n v="0"/>
    <s v="Islam"/>
    <s v="A"/>
    <d v="2025-05-18T00:00:00"/>
    <d v="2026-05-18T00:00:00"/>
    <m/>
    <x v="3"/>
    <x v="1"/>
    <x v="1"/>
    <s v="Vocational High School"/>
    <s v="Automotive Engineering"/>
    <x v="7"/>
    <s v="Production"/>
    <x v="8"/>
    <s v="Procution Intern"/>
    <s v="G14"/>
    <s v="TK/0"/>
    <n v="294815370140000"/>
    <n v="18039481532"/>
    <n v="2948153761"/>
    <s v="Bank BRI"/>
    <n v="14501039482507"/>
    <n v="85219384726"/>
    <s v="tina.amalia@outlook.com"/>
    <s v="Bekasi, Indonesia"/>
  </r>
  <r>
    <n v="202545810"/>
    <s v="Dwi Fajar Maulana"/>
    <s v="2635757445617873"/>
    <s v="5380337354510766"/>
    <s v="Bekasi"/>
    <d v="2010-08-10T00:00:00"/>
    <s v="Male"/>
    <s v="Single"/>
    <n v="0"/>
    <s v="Islam"/>
    <s v="O"/>
    <d v="2025-06-02T00:00:00"/>
    <d v="2026-06-02T00:00:00"/>
    <m/>
    <x v="3"/>
    <x v="1"/>
    <x v="1"/>
    <s v="Vocational High School"/>
    <s v="Automotive Engineering"/>
    <x v="7"/>
    <s v="Production"/>
    <x v="8"/>
    <s v="Procution Intern"/>
    <s v="G14"/>
    <s v="TK/0"/>
    <n v="129384750250000"/>
    <n v="16042938471"/>
    <n v="1293847563"/>
    <s v="Bank CIMB Niaga"/>
    <n v="706192837400"/>
    <n v="81394827361"/>
    <s v="heru.kusuma@gmail.com"/>
    <s v="Depok, Indonesia"/>
  </r>
  <r>
    <n v="201742781"/>
    <s v="Aulia Kurniawan"/>
    <s v="9639430530592652"/>
    <s v="5346047982405043"/>
    <s v="Tangerang"/>
    <d v="2009-05-17T00:00:00"/>
    <s v="Male"/>
    <s v="Single"/>
    <n v="0"/>
    <s v="Islam"/>
    <s v="B"/>
    <d v="2025-02-15T00:00:00"/>
    <d v="2026-02-15T00:00:00"/>
    <m/>
    <x v="3"/>
    <x v="1"/>
    <x v="1"/>
    <s v="Vocational High School"/>
    <s v="Automotive Engineering"/>
    <x v="7"/>
    <s v="Production"/>
    <x v="8"/>
    <s v="Procution Intern"/>
    <s v="G14"/>
    <s v="TK/0"/>
    <n v="248193750360000"/>
    <n v="18054819372"/>
    <n v="2481937514"/>
    <s v="Bank Mandiri"/>
    <n v="1560019384725"/>
    <n v="87729384710"/>
    <s v="rita.subarjo@yahoo.com"/>
    <s v="Subang, Indonesia"/>
  </r>
  <r>
    <n v="202211581"/>
    <s v="Lili Wijaya Kusuma"/>
    <s v="5103026507940001"/>
    <s v="5103021911150039"/>
    <s v="Bandung"/>
    <d v="1998-07-14T00:00:00"/>
    <s v="Female"/>
    <s v="Single"/>
    <n v="0"/>
    <s v="Islam"/>
    <s v="B"/>
    <d v="2022-02-14T00:00:00"/>
    <d v="2024-02-14T00:00:00"/>
    <d v="2023-01-10T00:00:00"/>
    <x v="6"/>
    <x v="1"/>
    <x v="1"/>
    <s v="High School"/>
    <s v="Natural Sciences (IPA)"/>
    <x v="0"/>
    <s v="Finance"/>
    <x v="2"/>
    <s v="Finance Administration Staff"/>
    <s v="G12"/>
    <s v="TK/0"/>
    <n v="351948260410000"/>
    <n v="19065194821"/>
    <n v="3519482672"/>
    <s v="BANK BCA"/>
    <n v="2750391847"/>
    <n v="81293847216"/>
    <s v="deni.cagur@gmail.com"/>
    <s v="Bekasi, Indonesia"/>
  </r>
  <r>
    <n v="202389929"/>
    <s v="Muhammad Nugroho Hadi"/>
    <s v="1275010909910004"/>
    <s v="1275012202130081"/>
    <s v="Kota Metro"/>
    <d v="1999-03-01T00:00:00"/>
    <s v="Male"/>
    <s v="Single"/>
    <n v="0"/>
    <s v="Islam"/>
    <s v="A"/>
    <d v="2023-05-01T00:00:00"/>
    <d v="2026-05-01T00:00:00"/>
    <m/>
    <x v="3"/>
    <x v="1"/>
    <x v="1"/>
    <s v="High School"/>
    <s v="Social Sciences (IPS)"/>
    <x v="2"/>
    <s v="Human Resources &amp; General Affairs"/>
    <x v="1"/>
    <s v="HR Operations &amp; General Affairs Staff"/>
    <s v="G11"/>
    <s v="TK/0"/>
    <n v="162948370520000"/>
    <n v="17076294831"/>
    <n v="1629483715"/>
    <s v="BANK BCA"/>
    <n v="529384176"/>
    <n v="81382938475"/>
    <s v="dewi.sartika@gmail.com"/>
    <s v="Depok, Indonesia"/>
  </r>
  <r>
    <n v="202162175"/>
    <s v="Indra Pratama Wijaya"/>
    <s v="6471012212950008"/>
    <s v="6471011506160027"/>
    <s v="Bandung"/>
    <d v="1995-05-12T00:00:00"/>
    <s v="Male"/>
    <s v="Married"/>
    <n v="0"/>
    <s v="Islam"/>
    <s v="AB"/>
    <d v="2021-08-12T00:00:00"/>
    <d v="2022-08-12T00:00:00"/>
    <m/>
    <x v="3"/>
    <x v="1"/>
    <x v="1"/>
    <s v="Bachelor's Degree (S1)"/>
    <s v="Communication"/>
    <x v="5"/>
    <s v="Sales"/>
    <x v="3"/>
    <s v="Sales Supervisor"/>
    <s v="G07"/>
    <s v="K/0"/>
    <n v="273948150630000"/>
    <n v="18087394812"/>
    <n v="2739481562"/>
    <s v="BANK BCA"/>
    <n v="23101094837501"/>
    <n v="85719384725"/>
    <s v="roni.firmansyah@outlook.com"/>
    <s v="Tangerang, Indonesia"/>
  </r>
  <r>
    <n v="202237363"/>
    <s v="Jajang Hidayatullah"/>
    <s v="7306044705970002"/>
    <s v="7306040304180064"/>
    <s v="Bekasi"/>
    <d v="1996-11-29T00:00:00"/>
    <s v="Male"/>
    <s v="Single"/>
    <n v="0"/>
    <s v="Islam"/>
    <s v="B"/>
    <d v="2022-04-29T00:00:00"/>
    <d v="2023-04-29T00:00:00"/>
    <d v="2022-11-20T00:00:00"/>
    <x v="6"/>
    <x v="1"/>
    <x v="1"/>
    <s v="Bachelor's Degree (S1)"/>
    <s v="Mechanical Engineering"/>
    <x v="7"/>
    <s v="Quality Engineering"/>
    <x v="9"/>
    <s v="Process Quality Engineer (PQE)"/>
    <s v="G09"/>
    <s v="TK/0"/>
    <n v="194827360140000"/>
    <n v="17019482735"/>
    <n v="1948273651"/>
    <s v="BANK BCA"/>
    <n v="708392817400"/>
    <n v="81939482716"/>
    <s v="mega.wati@gmail.com"/>
    <s v="Bandung, Indonesia"/>
  </r>
  <r>
    <n v="202280335"/>
    <s v="Asep Permana Putra"/>
    <s v="3276021108920006"/>
    <s v="3276022710130093"/>
    <s v="Bekasi"/>
    <d v="1995-02-17T00:00:00"/>
    <s v="Male"/>
    <s v="Single"/>
    <n v="0"/>
    <s v="Islam"/>
    <s v="B"/>
    <d v="2022-06-17T00:00:00"/>
    <d v="2024-06-17T00:00:00"/>
    <d v="2024-02-14T00:00:00"/>
    <x v="6"/>
    <x v="1"/>
    <x v="1"/>
    <s v="Bachelor's Degree (S1)"/>
    <s v="Electrical Engineering"/>
    <x v="7"/>
    <s v="Quality Assurance"/>
    <x v="11"/>
    <s v="Quality Control Inspector"/>
    <s v="G13"/>
    <s v="TK/0"/>
    <n v="325194830250000"/>
    <n v="19022519481"/>
    <n v="3251948364"/>
    <s v="BANK BCA"/>
    <n v="1320018473925"/>
    <n v="81283947215"/>
    <s v="agung.g@yahoo.com"/>
    <s v="Jakarta, Indonesia"/>
  </r>
  <r>
    <n v="202493153"/>
    <s v="Dewi Pangestu Rahayu"/>
    <s v="3173055801940010"/>
    <s v="3173051409150042"/>
    <s v="Tanjung Pinang"/>
    <d v="2000-08-08T00:00:00"/>
    <s v="Female"/>
    <s v="Single"/>
    <n v="0"/>
    <s v="Islam"/>
    <s v="B"/>
    <d v="2024-01-08T00:00:00"/>
    <d v="2026-01-08T00:00:00"/>
    <m/>
    <x v="3"/>
    <x v="1"/>
    <x v="1"/>
    <s v="High School"/>
    <s v="Social Sciences (IPS)"/>
    <x v="6"/>
    <s v="Warehouse"/>
    <x v="2"/>
    <s v="Warehouse Administrator Staff"/>
    <s v="G12"/>
    <s v="TK/0"/>
    <n v="149382710360000"/>
    <n v="16034938271"/>
    <n v="1493827156"/>
    <s v="BANK BCA"/>
    <n v="6040291835"/>
    <n v="81394857102"/>
    <s v="nina.k@gmail.com"/>
    <s v="Tangerang, Indonesia"/>
  </r>
  <r>
    <n v="202572966"/>
    <s v="Kadek Bagus Gede"/>
    <s v="3507112910930005"/>
    <s v="3507110512140019"/>
    <s v="Depok"/>
    <d v="2001-04-19T00:00:00"/>
    <s v="Male"/>
    <s v="Single"/>
    <n v="0"/>
    <s v="Islam"/>
    <s v="B"/>
    <d v="2025-03-19T00:00:00"/>
    <d v="2026-03-19T00:00:00"/>
    <m/>
    <x v="3"/>
    <x v="1"/>
    <x v="1"/>
    <s v="High School"/>
    <s v="Social Sciences (IPS)"/>
    <x v="0"/>
    <s v="Finance"/>
    <x v="1"/>
    <s v="Finance Staff"/>
    <s v="G11"/>
    <s v="TK/0"/>
    <n v="251938460410000"/>
    <n v="18045193842"/>
    <n v="2519384673"/>
    <s v="BANK BCA"/>
    <n v="619283745"/>
    <n v="85619384726"/>
    <s v="joko.w@gmail.com"/>
    <s v="Bogor, Indonesia"/>
  </r>
  <r>
    <n v="202331160"/>
    <s v="Mega Agraeni Putri"/>
    <s v="3273020703960004"/>
    <s v="3273021906170088"/>
    <s v="Depok"/>
    <d v="1999-11-11T00:00:00"/>
    <s v="Female"/>
    <s v="Single"/>
    <n v="0"/>
    <s v="Islam"/>
    <s v="B"/>
    <d v="2023-10-11T00:00:00"/>
    <d v="2024-10-11T00:00:00"/>
    <m/>
    <x v="3"/>
    <x v="1"/>
    <x v="1"/>
    <s v="Bachelor's Degree (S1)"/>
    <s v="Management"/>
    <x v="5"/>
    <s v="Marketing"/>
    <x v="1"/>
    <s v="Marketing Staff"/>
    <s v="G11"/>
    <s v="TK/0"/>
    <n v="362948150520000"/>
    <n v="19056294813"/>
    <n v="3629481571"/>
    <s v="BANK BCA"/>
    <n v="41501048293503"/>
    <n v="81210293845"/>
    <s v="yuni.s@outlook.com"/>
    <s v="Tangerang, Indonesia"/>
  </r>
  <r>
    <n v="202330821"/>
    <s v="Bambang Gunawan"/>
    <s v="3174026107960002"/>
    <s v="3174020809170083"/>
    <s v="Depok"/>
    <d v="1998-12-07T00:00:00"/>
    <s v="Male"/>
    <s v="Single"/>
    <n v="0"/>
    <s v="Catholicism"/>
    <s v="A"/>
    <d v="2023-06-07T00:00:00"/>
    <d v="2025-06-07T00:00:00"/>
    <m/>
    <x v="3"/>
    <x v="1"/>
    <x v="1"/>
    <s v="Bachelor's Degree (S1)"/>
    <s v="Psychology"/>
    <x v="2"/>
    <s v="Human Resources &amp; General Affairs"/>
    <x v="2"/>
    <s v="HR Administration"/>
    <s v="G12"/>
    <s v="TK/0"/>
    <n v="118394270630000"/>
    <n v="16061839425"/>
    <n v="1183942761"/>
    <s v="BANK BCA"/>
    <n v="702938417500"/>
    <n v="81382938410"/>
    <s v="fajar.b@gmail.com"/>
    <s v="Bandung, Indonesia"/>
  </r>
  <r>
    <n v="202456371"/>
    <s v="Siti Rizalia Rahma"/>
    <s v="3574021203970008"/>
    <s v="3574022811180069"/>
    <s v="Bogor"/>
    <d v="2000-10-11T00:00:00"/>
    <s v="Female"/>
    <s v="Single"/>
    <n v="0"/>
    <s v="Islam"/>
    <s v="A"/>
    <d v="2024-04-11T00:00:00"/>
    <d v="2025-04-11T00:00:00"/>
    <m/>
    <x v="3"/>
    <x v="1"/>
    <x v="1"/>
    <s v="High School"/>
    <s v="Social Sciences (IPS)"/>
    <x v="7"/>
    <s v="Production"/>
    <x v="2"/>
    <s v="Production Administrator"/>
    <s v="G12"/>
    <s v="TK/0"/>
    <n v="239481520140000"/>
    <n v="18073948151"/>
    <n v="2394815263"/>
    <s v="BANK BCA"/>
    <n v="1410018472936"/>
    <n v="87819384725"/>
    <s v="rita.w@yahoo.com"/>
    <s v="Jakarta, Indonesia"/>
  </r>
  <r>
    <n v="202278617"/>
    <s v="Lina Agraeni Kusuma"/>
    <s v="5102015508920004"/>
    <s v="5102011404130041"/>
    <s v="Bandung"/>
    <d v="1998-08-30T00:00:00"/>
    <s v="Female"/>
    <s v="Single"/>
    <n v="0"/>
    <s v="Islam"/>
    <s v="A"/>
    <d v="2022-12-30T00:00:00"/>
    <d v="2024-12-30T00:00:00"/>
    <m/>
    <x v="3"/>
    <x v="1"/>
    <x v="1"/>
    <s v="Associate Degree (D3)"/>
    <s v="Business Administration"/>
    <x v="5"/>
    <s v="Sales"/>
    <x v="2"/>
    <s v="Sales Administration"/>
    <s v="G12"/>
    <s v="TK/0"/>
    <n v="341938470250000"/>
    <n v="19084193842"/>
    <n v="3419384761"/>
    <s v="BANK BCA"/>
    <n v="4530291846"/>
    <n v="81293847152"/>
    <s v="iwan.f@gmail.com"/>
    <s v="Depok, Indonesia"/>
  </r>
  <r>
    <n v="202335074"/>
    <s v="Dwi Arum Amalia"/>
    <s v="6474010805940010"/>
    <s v="6474010210150078"/>
    <s v="Bandung"/>
    <d v="1998-04-02T00:00:00"/>
    <s v="Female"/>
    <s v="Single"/>
    <n v="0"/>
    <s v="Islam"/>
    <s v="B"/>
    <d v="2023-11-02T00:00:00"/>
    <d v="2024-11-02T00:00:00"/>
    <m/>
    <x v="3"/>
    <x v="1"/>
    <x v="1"/>
    <s v="Bachelor's Degree (S1)"/>
    <s v="Communication"/>
    <x v="8"/>
    <s v="Research &amp; Development"/>
    <x v="1"/>
    <s v="Product Development Staff"/>
    <s v="G11"/>
    <s v="TK/0"/>
    <n v="153948270360000"/>
    <n v="16015394823"/>
    <n v="1539482716"/>
    <s v="BANK BCA"/>
    <n v="739281746"/>
    <n v="81310394827"/>
    <s v="sinta.d@gmail.com"/>
    <s v="Bogor, Indonesia"/>
  </r>
  <r>
    <n v="202252678"/>
    <s v="Nadia Sari Puspita"/>
    <s v="7302056309930003"/>
    <s v="7302052502140034"/>
    <s v="Bekasi"/>
    <d v="1998-11-14T00:00:00"/>
    <s v="Female"/>
    <s v="Single"/>
    <n v="0"/>
    <s v="Islam"/>
    <s v="A"/>
    <d v="2022-05-14T00:00:00"/>
    <d v="2025-05-14T00:00:00"/>
    <m/>
    <x v="3"/>
    <x v="1"/>
    <x v="1"/>
    <s v="High School"/>
    <s v="Social Sciences (IPS)"/>
    <x v="7"/>
    <s v="Production"/>
    <x v="2"/>
    <s v="Production Administrator"/>
    <s v="G12"/>
    <s v="TK/0"/>
    <n v="264918250410000"/>
    <n v="18026491821"/>
    <n v="2649182573"/>
    <s v="BANK BCA"/>
    <n v="53201083947501"/>
    <n v="85293847156"/>
    <s v="andi.w@yahoo.com"/>
    <s v="Bandung, Indonesia"/>
  </r>
  <r>
    <n v="202364609"/>
    <s v="Aulia Pratama Putra"/>
    <s v="3171034207950002"/>
    <s v="3171031603160022"/>
    <s v="Bandung"/>
    <d v="1999-02-09T00:00:00"/>
    <s v="Male"/>
    <s v="Single"/>
    <n v="0"/>
    <s v="Islam"/>
    <s v="AB"/>
    <d v="2023-08-09T00:00:00"/>
    <d v="2024-08-09T00:00:00"/>
    <d v="2024-08-09T00:00:00"/>
    <x v="6"/>
    <x v="1"/>
    <x v="1"/>
    <s v="Bachelor's Degree (S1)"/>
    <s v="Business Administration"/>
    <x v="6"/>
    <s v="Warehouse"/>
    <x v="11"/>
    <s v="Forklift Operator"/>
    <s v="G13"/>
    <s v="TK/0"/>
    <n v="371938460520000"/>
    <n v="19037193842"/>
    <n v="3719384615"/>
    <s v="BANK BCA"/>
    <n v="705192837600"/>
    <n v="81294837105"/>
    <s v="dian.s@gmail.com"/>
    <s v="Bandung, Indonesia"/>
  </r>
  <r>
    <n v="202319584"/>
    <s v="Dadan Dewantara"/>
    <s v="3509152211970011"/>
    <s v="3509150808180059"/>
    <s v="Tanjung Pinang"/>
    <d v="1998-07-15T00:00:00"/>
    <s v="Male"/>
    <s v="Single"/>
    <n v="0"/>
    <s v="Catholicism"/>
    <s v="A"/>
    <d v="2023-03-15T00:00:00"/>
    <d v="2025-03-15T00:00:00"/>
    <m/>
    <x v="3"/>
    <x v="1"/>
    <x v="1"/>
    <s v="Associate Degree (D3)"/>
    <s v="Management"/>
    <x v="2"/>
    <s v="Human Resources &amp; General Affairs"/>
    <x v="0"/>
    <s v="HR Communications Officer"/>
    <s v="G10"/>
    <s v="TK/0"/>
    <n v="182947350630000"/>
    <n v="17048294731"/>
    <n v="1829473562"/>
    <s v="BANK BCA"/>
    <n v="1130019384726"/>
    <n v="81394810293"/>
    <s v="bayu.a@outlook.com"/>
    <s v="Bandung, Indonesia"/>
  </r>
  <r>
    <n v="202267731"/>
    <s v="Raffi Agraeni Putra"/>
    <s v="5171031106910008"/>
    <s v="5171030401120072"/>
    <s v="Subang"/>
    <d v="1998-01-28T00:00:00"/>
    <s v="Male"/>
    <s v="Single"/>
    <n v="0"/>
    <s v="Islam"/>
    <s v="A"/>
    <d v="2022-08-28T00:00:00"/>
    <d v="2023-08-28T00:00:00"/>
    <d v="2023-08-28T00:00:00"/>
    <x v="6"/>
    <x v="1"/>
    <x v="1"/>
    <s v="Bachelor's Degree (S1)"/>
    <s v="Psychology"/>
    <x v="0"/>
    <s v="Accounting"/>
    <x v="2"/>
    <s v="Accounting Administration Staff"/>
    <s v="G12"/>
    <s v="TK/0"/>
    <n v="293846150140000"/>
    <n v="18059384612"/>
    <n v="2938461571"/>
    <s v="BANK BCA"/>
    <n v="7120193845"/>
    <n v="85619384715"/>
    <s v="ari.w@gmail.com"/>
    <s v="Tangerang, Indonesia"/>
  </r>
  <r>
    <n v="202433796"/>
    <s v="Dwi Halim Perdana"/>
    <s v="6472012912970005"/>
    <s v="6472010804180081"/>
    <s v="Jakarta"/>
    <d v="1999-11-06T00:00:00"/>
    <s v="Male"/>
    <s v="Single"/>
    <n v="0"/>
    <s v="Islam"/>
    <s v="A"/>
    <d v="2024-06-06T00:00:00"/>
    <d v="2026-06-06T00:00:00"/>
    <m/>
    <x v="3"/>
    <x v="1"/>
    <x v="1"/>
    <s v="Bachelor's Degree (S1)"/>
    <s v="Communication"/>
    <x v="2"/>
    <s v="Human Resources &amp; General Affairs"/>
    <x v="0"/>
    <s v="Learning &amp; Development Officer"/>
    <s v="G10"/>
    <s v="TK/0"/>
    <n v="128394150250000"/>
    <n v="16062839413"/>
    <n v="1283941562"/>
    <s v="BANK BCA"/>
    <n v="293817456"/>
    <n v="87819283746"/>
    <s v="dewi.p@gmail.com"/>
    <s v="Bandung, Indonesia"/>
  </r>
  <r>
    <n v="202544327"/>
    <s v="Andi Karuniawan"/>
    <s v="3204111205930008"/>
    <s v="3204112502140017"/>
    <s v="Subang"/>
    <d v="2001-08-14T00:00:00"/>
    <s v="Male"/>
    <s v="Single"/>
    <n v="0"/>
    <s v="Islam"/>
    <s v="A"/>
    <d v="2025-01-14T00:00:00"/>
    <d v="2026-01-14T00:00:00"/>
    <m/>
    <x v="3"/>
    <x v="1"/>
    <x v="1"/>
    <s v="Associate Degree (D3)"/>
    <s v="Business Administration"/>
    <x v="6"/>
    <s v="Purchasing"/>
    <x v="2"/>
    <s v="Purchasing Administrator"/>
    <s v="G12"/>
    <s v="TK/0"/>
    <n v="249182730360000"/>
    <n v="18074918271"/>
    <n v="2491827351"/>
    <s v="BANK BCA"/>
    <n v="14201048293506"/>
    <n v="81283746102"/>
    <s v="heru.p@yahoo.com"/>
    <s v="Tangerang, Indonesia"/>
  </r>
  <r>
    <n v="202496287"/>
    <s v="Rizky Restu Pratama"/>
    <s v="5104030502970004"/>
    <s v="5104032110180023"/>
    <s v="Depok"/>
    <d v="2000-02-08T00:00:00"/>
    <s v="Male"/>
    <s v="Single"/>
    <n v="0"/>
    <s v="Islam"/>
    <s v="B"/>
    <d v="2024-07-08T00:00:00"/>
    <d v="2025-07-08T00:00:00"/>
    <m/>
    <x v="3"/>
    <x v="1"/>
    <x v="1"/>
    <s v="Bachelor's Degree (S1)"/>
    <s v="Management"/>
    <x v="5"/>
    <s v="Marketing"/>
    <x v="1"/>
    <s v="Marketing Staff"/>
    <s v="G11"/>
    <s v="TK/0"/>
    <n v="351928360410000"/>
    <n v="19085192832"/>
    <n v="3519283671"/>
    <s v="BANK BCA"/>
    <n v="709182374600"/>
    <n v="81392837465"/>
    <s v="tina.t@gmail.com"/>
    <s v="Bogor, Indonesia"/>
  </r>
  <r>
    <n v="202327015"/>
    <s v="Adi Boediono Santoso"/>
    <s v="6471021812940002"/>
    <s v="6471021107150032"/>
    <s v="Tangerang"/>
    <d v="1997-03-26T00:00:00"/>
    <s v="Male"/>
    <s v="Single"/>
    <n v="0"/>
    <s v="Islam"/>
    <s v="A"/>
    <d v="2023-10-26T00:00:00"/>
    <d v="2025-10-26T00:00:00"/>
    <m/>
    <x v="3"/>
    <x v="1"/>
    <x v="1"/>
    <s v="Bachelor's Degree (S1)"/>
    <s v="Accounting"/>
    <x v="2"/>
    <s v="Human Resources &amp; General Affairs"/>
    <x v="0"/>
    <s v="HR Communications Officer"/>
    <s v="G10"/>
    <s v="TK/0"/>
    <n v="163948150520000"/>
    <n v="17016394815"/>
    <n v="1639481562"/>
    <s v="BANK BCA"/>
    <n v="1370018472931"/>
    <n v="85219283741"/>
    <s v="bagas.k@gmail.com"/>
    <s v="Tangerang, Indonesia"/>
  </r>
  <r>
    <n v="202388483"/>
    <s v="Dedi Mulyadi Saputra"/>
    <s v="7308016209960006"/>
    <s v="7308012903170098"/>
    <s v="Jakarta"/>
    <d v="1999-10-04T00:00:00"/>
    <s v="Male"/>
    <s v="Single"/>
    <n v="0"/>
    <s v="Islam"/>
    <s v="B"/>
    <d v="2023-04-04T00:00:00"/>
    <d v="2026-04-04T00:00:00"/>
    <m/>
    <x v="3"/>
    <x v="1"/>
    <x v="1"/>
    <s v="Associate Degree (D3)"/>
    <s v="Law"/>
    <x v="8"/>
    <s v="Research &amp; Development"/>
    <x v="1"/>
    <s v="Product Development Staff"/>
    <s v="G11"/>
    <s v="TK/0"/>
    <n v="274938210630000"/>
    <n v="18027493821"/>
    <n v="2749382156"/>
    <s v="BANK BCA"/>
    <n v="3091823746"/>
    <n v="81928374105"/>
    <s v="citra.k@outlook.com"/>
    <s v="Jakarta, Indonesia"/>
  </r>
  <r>
    <n v="202210474"/>
    <s v="Dewi Permata Sari"/>
    <s v="3276010704900011"/>
    <s v="3276011611110054"/>
    <s v="Tangerang"/>
    <d v="1996-07-19T00:00:00"/>
    <s v="Female"/>
    <s v="Married"/>
    <n v="0"/>
    <s v="Islam"/>
    <s v="A"/>
    <d v="2020-01-19T00:00:00"/>
    <m/>
    <m/>
    <x v="0"/>
    <x v="0"/>
    <x v="0"/>
    <s v="Bachelor's Degree (S1)"/>
    <s v="Law"/>
    <x v="4"/>
    <s v="Legal"/>
    <x v="3"/>
    <s v="Legal Supervisor"/>
    <s v="G07"/>
    <s v="TK/0"/>
    <n v="385192470140000"/>
    <n v="19038519241"/>
    <n v="3851924716"/>
    <s v="BANK BCA"/>
    <n v="819238476"/>
    <n v="81238471956"/>
    <s v="roni.d@gmail.com"/>
    <s v="Subang, Indonesia"/>
  </r>
  <r>
    <n v="202395985"/>
    <s v="Budi Lesmana Monoarfa"/>
    <s v="3505122110970008"/>
    <s v="3505121408180067"/>
    <s v="Bogor"/>
    <d v="2000-02-27T00:00:00"/>
    <s v="Male"/>
    <s v="Single"/>
    <n v="0"/>
    <s v="Islam"/>
    <s v="B"/>
    <d v="2023-09-27T00:00:00"/>
    <d v="2024-09-27T00:00:00"/>
    <d v="2024-09-27T00:00:00"/>
    <x v="6"/>
    <x v="1"/>
    <x v="1"/>
    <s v="Vocational High School"/>
    <s v="Software Engineering (RPL)"/>
    <x v="3"/>
    <s v="Information Technology"/>
    <x v="1"/>
    <s v="IT Operations"/>
    <s v="G11"/>
    <s v="TK/0"/>
    <n v="194826350250000"/>
    <n v="17049482631"/>
    <n v="1948263571"/>
    <s v="BANK BCA"/>
    <n v="62101093842504"/>
    <n v="81384719215"/>
    <s v="anisa.p@yahoo.com"/>
    <s v="Bekasi, Indonesia"/>
  </r>
  <r>
    <n v="202279361"/>
    <s v="Samsul Hidayat Putra"/>
    <s v="3171011408920007"/>
    <s v="3171010204130015"/>
    <s v="Bogor"/>
    <d v="1998-01-05T00:00:00"/>
    <s v="Male"/>
    <s v="Single"/>
    <n v="0"/>
    <s v="Islam"/>
    <s v="B"/>
    <d v="2022-07-05T00:00:00"/>
    <d v="2023-07-05T00:00:00"/>
    <d v="2023-07-05T00:00:00"/>
    <x v="6"/>
    <x v="1"/>
    <x v="1"/>
    <s v="Bachelor's Degree (S1)"/>
    <s v="Communication"/>
    <x v="0"/>
    <s v="TAX"/>
    <x v="2"/>
    <s v="Tax Administration Staff"/>
    <s v="G12"/>
    <s v="TK/0"/>
    <n v="215483920360000"/>
    <n v="18051548392"/>
    <n v="2154839261"/>
    <s v="BANK BCA"/>
    <n v="701923847600"/>
    <n v="85693847210"/>
    <s v="ryan.h@gmail.com"/>
    <s v="Subang, Indonesia"/>
  </r>
  <r>
    <n v="202315486"/>
    <s v="Ayu Permata Sari"/>
    <s v="1218026111910009"/>
    <s v="1218021508120029"/>
    <s v="Jakarta"/>
    <d v="1998-09-11T00:00:00"/>
    <s v="Female"/>
    <s v="Single"/>
    <n v="0"/>
    <s v="Islam"/>
    <s v="B"/>
    <d v="2023-03-11T00:00:00"/>
    <d v="2025-03-11T00:00:00"/>
    <m/>
    <x v="3"/>
    <x v="1"/>
    <x v="1"/>
    <s v="Bachelor's Degree (S1)"/>
    <s v="Economics"/>
    <x v="7"/>
    <s v="Production"/>
    <x v="2"/>
    <s v="Production Administrator"/>
    <s v="G12"/>
    <s v="TK/0"/>
    <n v="329514830410000"/>
    <n v="19062951483"/>
    <n v="3295148372"/>
    <s v="BANK BCA"/>
    <n v="1420018374925"/>
    <n v="81239485102"/>
    <s v="dika.p@gmail.com"/>
    <s v="Bekasi, Indonesia"/>
  </r>
  <r>
    <n v="202475925"/>
    <s v="Siti Satria Lestari"/>
    <s v="7371041104930008"/>
    <s v="7371042710140038"/>
    <s v="Bogor"/>
    <d v="2000-02-23T00:00:00"/>
    <s v="Female"/>
    <s v="Single"/>
    <n v="0"/>
    <s v="Islam"/>
    <s v="B"/>
    <d v="2024-06-23T00:00:00"/>
    <d v="2025-06-23T00:00:00"/>
    <m/>
    <x v="3"/>
    <x v="1"/>
    <x v="1"/>
    <s v="Associate Degree (D3)"/>
    <s v="Industrial Engineering"/>
    <x v="7"/>
    <s v="Production"/>
    <x v="2"/>
    <s v="Production Administrator"/>
    <s v="G12"/>
    <s v="TK/0"/>
    <n v="329514830410000"/>
    <n v="19062951483"/>
    <n v="3295148372"/>
    <s v="BANK BCA"/>
    <n v="1420018374925"/>
    <n v="81239485102"/>
    <s v="dika.p@gmail.com"/>
    <s v="Jakarta, Indonesia"/>
  </r>
  <r>
    <n v="202292941"/>
    <s v="Nisa Kurniawan Putri"/>
    <s v="3518032707950010"/>
    <s v="3518031404160027"/>
    <s v="Subang"/>
    <d v="1997-08-15T00:00:00"/>
    <s v="Female"/>
    <s v="Single"/>
    <n v="0"/>
    <s v="Islam"/>
    <s v="B"/>
    <d v="2022-02-15T00:00:00"/>
    <d v="2023-02-15T00:00:00"/>
    <m/>
    <x v="3"/>
    <x v="1"/>
    <x v="1"/>
    <s v="Bachelor's Degree (S1)"/>
    <s v="Law"/>
    <x v="8"/>
    <s v="Research &amp; Development"/>
    <x v="0"/>
    <s v="R&amp;D Officer"/>
    <s v="G10"/>
    <s v="TK/0"/>
    <n v="329514830410000"/>
    <n v="19062951483"/>
    <n v="3295148372"/>
    <s v="BANK BCA"/>
    <n v="1420018374925"/>
    <n v="81239485102"/>
    <s v="dika.p@gmail.com"/>
    <s v="Depok, Indonesia"/>
  </r>
  <r>
    <n v="202474174"/>
    <s v="Egi Sartika Putri"/>
    <s v="3173014903970001"/>
    <s v="3173012312180049"/>
    <s v="Tangerang"/>
    <d v="2000-03-01T00:00:00"/>
    <s v="Female"/>
    <s v="Single"/>
    <n v="0"/>
    <s v="Islam"/>
    <s v="B"/>
    <d v="2024-09-01T00:00:00"/>
    <d v="2025-09-01T00:00:00"/>
    <m/>
    <x v="3"/>
    <x v="1"/>
    <x v="1"/>
    <s v="Bachelor's Degree (S1)"/>
    <s v="Industrial Engineering"/>
    <x v="7"/>
    <s v="Production"/>
    <x v="2"/>
    <s v="Production Administrator"/>
    <s v="G12"/>
    <s v="TK/0"/>
    <n v="329514830410000"/>
    <n v="19062951483"/>
    <n v="3295148372"/>
    <s v="BANK BCA"/>
    <n v="1420018374925"/>
    <n v="81239485102"/>
    <s v="dika.p@gmail.com"/>
    <s v="Bekasi, Indonesia"/>
  </r>
  <r>
    <n v="202581968"/>
    <s v="Budi Dewantara Putra"/>
    <s v="3577020408940007"/>
    <s v="3577021701150013"/>
    <s v="Depok"/>
    <d v="2000-08-18T00:00:00"/>
    <s v="Male"/>
    <s v="Single"/>
    <n v="0"/>
    <s v="Islam"/>
    <s v="B"/>
    <d v="2025-02-18T00:00:00"/>
    <d v="2026-02-18T00:00:00"/>
    <m/>
    <x v="3"/>
    <x v="1"/>
    <x v="1"/>
    <s v="Associate Degree (D3)"/>
    <s v="Informatics Engineering"/>
    <x v="6"/>
    <s v="Warehouse"/>
    <x v="11"/>
    <s v="Forklift Operator"/>
    <s v="G13"/>
    <s v="TK/0"/>
    <n v="329514830410000"/>
    <n v="19062951483"/>
    <n v="3295148372"/>
    <s v="BANK BCA"/>
    <n v="1420018374925"/>
    <n v="81239485102"/>
    <s v="dika.p@gmail.com"/>
    <s v="Bekasi, Indonesia"/>
  </r>
  <r>
    <n v="202251428"/>
    <s v="Aulia Putri Lestari"/>
    <s v="3275020311970006"/>
    <s v="3275022107180024"/>
    <s v="Subang"/>
    <d v="1995-02-19T00:00:00"/>
    <s v="Female"/>
    <s v="Single"/>
    <n v="0"/>
    <s v="Islam"/>
    <s v="AB"/>
    <d v="2022-08-19T00:00:00"/>
    <d v="2024-08-19T00:00:00"/>
    <m/>
    <x v="3"/>
    <x v="1"/>
    <x v="1"/>
    <s v="Bachelor's Degree (S1)"/>
    <s v="Management"/>
    <x v="8"/>
    <s v="Research &amp; Development"/>
    <x v="1"/>
    <s v="R&amp;D Laboratory Technician"/>
    <s v="G11"/>
    <s v="TK/0"/>
    <n v="329514830410000"/>
    <n v="19062951483"/>
    <n v="3295148372"/>
    <s v="BANK BCA"/>
    <n v="1420018374925"/>
    <n v="81239485102"/>
    <s v="dika.p@gmail.com"/>
    <s v="Bekasi, Indonesia"/>
  </r>
  <r>
    <n v="202487224"/>
    <s v="Angel Permata Sari"/>
    <s v="3510142209930003"/>
    <s v="3510140806140042"/>
    <s v="Tangerang"/>
    <d v="2000-03-30T00:00:00"/>
    <s v="Female"/>
    <s v="Single"/>
    <n v="0"/>
    <s v="Islam"/>
    <s v="B"/>
    <d v="2024-10-30T00:00:00"/>
    <d v="2025-10-30T00:00:00"/>
    <m/>
    <x v="3"/>
    <x v="1"/>
    <x v="1"/>
    <s v="Associate Degree (D3)"/>
    <s v="Economics"/>
    <x v="7"/>
    <s v="Production"/>
    <x v="2"/>
    <s v="Production Administrator"/>
    <s v="G12"/>
    <s v="TK/0"/>
    <n v="329514830410000"/>
    <n v="19062951483"/>
    <n v="3295148372"/>
    <s v="BANK BCA"/>
    <n v="1420018374925"/>
    <n v="81239485102"/>
    <s v="dika.p@gmail.com"/>
    <s v="Bogor, Indonesia"/>
  </r>
  <r>
    <n v="202258935"/>
    <s v="Rijal Restu Pambudi"/>
    <s v="3175016107940002"/>
    <s v="3175012503150085"/>
    <s v="Bogor"/>
    <d v="1997-11-12T00:00:00"/>
    <s v="Male"/>
    <s v="Single"/>
    <n v="0"/>
    <s v="Islam"/>
    <s v="A"/>
    <d v="2022-03-12T00:00:00"/>
    <d v="2025-03-12T00:00:00"/>
    <m/>
    <x v="3"/>
    <x v="1"/>
    <x v="1"/>
    <s v="Associate Degree (D3)"/>
    <s v="Management"/>
    <x v="6"/>
    <s v="Purchasing"/>
    <x v="1"/>
    <s v="Purchasing Staff"/>
    <s v="G11"/>
    <s v="TK/0"/>
    <n v="329514830410000"/>
    <n v="19062951483"/>
    <n v="3295148372"/>
    <s v="BANK BCA"/>
    <n v="1420018374925"/>
    <n v="81239485102"/>
    <s v="dika.p@gmail.com"/>
    <s v="Tangerang, Indonesia"/>
  </r>
  <r>
    <n v="202449029"/>
    <s v="Dewi Lestari Rahayu"/>
    <s v="1271032402970009"/>
    <s v="1271031111180092"/>
    <s v="Bandung"/>
    <d v="2000-02-14T00:00:00"/>
    <s v="Female"/>
    <s v="Single"/>
    <n v="0"/>
    <s v="Islam"/>
    <s v="B"/>
    <d v="2024-07-14T00:00:00"/>
    <d v="2026-07-14T00:00:00"/>
    <m/>
    <x v="3"/>
    <x v="1"/>
    <x v="1"/>
    <s v="Associate Degree (D3)"/>
    <s v="Informatics Engineering"/>
    <x v="7"/>
    <s v="Production"/>
    <x v="2"/>
    <s v="Production Administrator"/>
    <s v="G12"/>
    <s v="TK/0"/>
    <n v="329514830410000"/>
    <n v="19062951483"/>
    <n v="3295148372"/>
    <s v="BANK BCA"/>
    <n v="1420018374925"/>
    <n v="81239485102"/>
    <s v="dika.p@gmail.com"/>
    <s v="Jakarta, Indonesia"/>
  </r>
  <r>
    <n v="202297670"/>
    <s v="Indra Firmansyah Wijaya"/>
    <s v="6471034606920004"/>
    <s v="6471031901130064"/>
    <s v="Bogor"/>
    <d v="1997-10-24T00:00:00"/>
    <s v="Male"/>
    <s v="Single"/>
    <n v="0"/>
    <s v="Islam"/>
    <s v="B"/>
    <d v="2022-04-24T00:00:00"/>
    <d v="2023-04-24T00:00:00"/>
    <d v="2023-04-24T00:00:00"/>
    <x v="6"/>
    <x v="1"/>
    <x v="1"/>
    <s v="Bachelor's Degree (S1)"/>
    <s v="Communication"/>
    <x v="6"/>
    <s v="PPIC"/>
    <x v="2"/>
    <s v="Inventory Planning &amp; Control Administrator"/>
    <s v="G12"/>
    <s v="TK/0"/>
    <n v="329514830410000"/>
    <n v="19062951483"/>
    <n v="3295148372"/>
    <s v="BANK BCA"/>
    <n v="1420018374925"/>
    <n v="81239485102"/>
    <s v="dika.p@gmail.com"/>
    <s v="Bekasi, Indonesia"/>
  </r>
  <r>
    <n v="202575152"/>
    <s v="Monica Kusuma Wardani"/>
    <s v="7371011210940008"/>
    <s v="7371012807150028"/>
    <s v="Bandung"/>
    <d v="2001-01-08T00:00:00"/>
    <s v="Female"/>
    <s v="Single"/>
    <n v="0"/>
    <s v="Islam"/>
    <s v="B"/>
    <d v="2025-05-08T00:00:00"/>
    <d v="2026-05-08T00:00:00"/>
    <m/>
    <x v="3"/>
    <x v="1"/>
    <x v="1"/>
    <s v="Bachelor's Degree (S1)"/>
    <s v="Mechanical Engineering"/>
    <x v="7"/>
    <s v="Production"/>
    <x v="2"/>
    <s v="Production Administrator"/>
    <s v="G12"/>
    <s v="TK/0"/>
    <n v="329514830410000"/>
    <n v="19062951483"/>
    <n v="3295148372"/>
    <s v="BANK BCA"/>
    <n v="1420018374925"/>
    <n v="81239485102"/>
    <s v="dika.p@gmail.com"/>
    <s v="Bandung, Indones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E9019D-C9EA-40A7-9CB6-DC1D38D4FEDD}" name="PivotTable5" cacheId="4"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9" rowHeaderCaption="Status">
  <location ref="A9:B12" firstHeaderRow="1" firstDataRow="1" firstDataCol="1"/>
  <pivotFields count="13">
    <pivotField showAll="0"/>
    <pivotField showAll="0"/>
    <pivotField axis="axisRow" dataField="1" showAll="0">
      <items count="3">
        <item x="0"/>
        <item x="1"/>
        <item t="default"/>
      </items>
    </pivotField>
    <pivotField showAll="0"/>
    <pivotField showAll="0"/>
    <pivotField showAll="0"/>
    <pivotField showAll="0"/>
    <pivotField showAll="0"/>
    <pivotField showAll="0"/>
    <pivotField numFmtId="165" showAll="0"/>
    <pivotField showAll="0"/>
    <pivotField showAll="0"/>
    <pivotField showAll="0"/>
  </pivotFields>
  <rowFields count="1">
    <field x="2"/>
  </rowFields>
  <rowItems count="3">
    <i>
      <x/>
    </i>
    <i>
      <x v="1"/>
    </i>
    <i t="grand">
      <x/>
    </i>
  </rowItems>
  <colItems count="1">
    <i/>
  </colItems>
  <dataFields count="1">
    <dataField name="Hitung dari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881AE9-6034-4C21-9B74-80EDD0671D91}" name="PivotTable8" cacheId="5"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58">
  <location ref="D14:E20"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dataField="1" showAll="0">
      <items count="8">
        <item h="1" x="0"/>
        <item x="3"/>
        <item x="2"/>
        <item x="1"/>
        <item x="6"/>
        <item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v="1"/>
    </i>
    <i>
      <x v="2"/>
    </i>
    <i>
      <x v="3"/>
    </i>
    <i>
      <x v="4"/>
    </i>
    <i>
      <x v="5"/>
    </i>
    <i t="grand">
      <x/>
    </i>
  </rowItems>
  <colItems count="1">
    <i/>
  </colItems>
  <dataFields count="1">
    <dataField name="Hitung dari Reason Saparation" fld="14" subtotal="count" baseField="0" baseItem="0"/>
  </dataFields>
  <chartFormats count="1">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B80CA8-E4F4-49EF-A579-72C124BC7E9F}" name="PivotTable2" cacheId="4"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42" rowHeaderCaption="Status">
  <location ref="D1:E5" firstHeaderRow="1" firstDataRow="1" firstDataCol="1"/>
  <pivotFields count="13">
    <pivotField showAll="0"/>
    <pivotField showAll="0"/>
    <pivotField showAll="0"/>
    <pivotField showAll="0"/>
    <pivotField showAll="0"/>
    <pivotField showAll="0"/>
    <pivotField showAll="0"/>
    <pivotField showAll="0"/>
    <pivotField showAll="0"/>
    <pivotField numFmtId="165" showAll="0"/>
    <pivotField showAll="0"/>
    <pivotField showAll="0"/>
    <pivotField axis="axisRow" dataField="1" showAll="0">
      <items count="8">
        <item n="Evaluation Period ( 2 - 3 Month)" m="1" x="5"/>
        <item m="1" x="3"/>
        <item n="Safe (&gt; 3 Month)" m="1" x="4"/>
        <item n="Urgent Processing (&lt; 1 Month)" m="1" x="6"/>
        <item x="0"/>
        <item x="1"/>
        <item x="2"/>
        <item t="default"/>
      </items>
    </pivotField>
  </pivotFields>
  <rowFields count="1">
    <field x="12"/>
  </rowFields>
  <rowItems count="4">
    <i>
      <x v="4"/>
    </i>
    <i>
      <x v="5"/>
    </i>
    <i>
      <x v="6"/>
    </i>
    <i t="grand">
      <x/>
    </i>
  </rowItems>
  <colItems count="1">
    <i/>
  </colItems>
  <dataFields count="1">
    <dataField name="Hitung dari Status Reminder" fld="12" subtotal="count" baseField="0" baseItem="0"/>
  </dataFields>
  <chartFormats count="4">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12" count="1" selected="0">
            <x v="4"/>
          </reference>
        </references>
      </pivotArea>
    </chartFormat>
    <chartFormat chart="40" format="7">
      <pivotArea type="data" outline="0" fieldPosition="0">
        <references count="2">
          <reference field="4294967294" count="1" selected="0">
            <x v="0"/>
          </reference>
          <reference field="12" count="1" selected="0">
            <x v="5"/>
          </reference>
        </references>
      </pivotArea>
    </chartFormat>
    <chartFormat chart="40" format="8">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069B9-1B9C-4A38-83D3-F9C4DA5C19AF}" name="PivotTable4" cacheId="4"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2" rowHeaderCaption="Status">
  <location ref="J1:K15" firstHeaderRow="1" firstDataRow="1" firstDataCol="1"/>
  <pivotFields count="13">
    <pivotField showAll="0"/>
    <pivotField showAll="0"/>
    <pivotField showAll="0"/>
    <pivotField showAll="0"/>
    <pivotField showAll="0"/>
    <pivotField showAll="0"/>
    <pivotField showAll="0"/>
    <pivotField showAll="0"/>
    <pivotField axis="axisRow" dataField="1" showAll="0">
      <items count="18">
        <item x="2"/>
        <item x="10"/>
        <item m="1" x="16"/>
        <item x="7"/>
        <item m="1" x="14"/>
        <item x="8"/>
        <item m="1" x="13"/>
        <item x="11"/>
        <item x="4"/>
        <item x="0"/>
        <item x="12"/>
        <item x="9"/>
        <item x="1"/>
        <item m="1" x="15"/>
        <item x="3"/>
        <item x="5"/>
        <item x="6"/>
        <item t="default"/>
      </items>
    </pivotField>
    <pivotField numFmtId="165" showAll="0"/>
    <pivotField showAll="0"/>
    <pivotField showAll="0"/>
    <pivotField showAll="0"/>
  </pivotFields>
  <rowFields count="1">
    <field x="8"/>
  </rowFields>
  <rowItems count="14">
    <i>
      <x/>
    </i>
    <i>
      <x v="1"/>
    </i>
    <i>
      <x v="3"/>
    </i>
    <i>
      <x v="5"/>
    </i>
    <i>
      <x v="7"/>
    </i>
    <i>
      <x v="8"/>
    </i>
    <i>
      <x v="9"/>
    </i>
    <i>
      <x v="10"/>
    </i>
    <i>
      <x v="11"/>
    </i>
    <i>
      <x v="12"/>
    </i>
    <i>
      <x v="14"/>
    </i>
    <i>
      <x v="15"/>
    </i>
    <i>
      <x v="16"/>
    </i>
    <i t="grand">
      <x/>
    </i>
  </rowItems>
  <colItems count="1">
    <i/>
  </colItems>
  <dataFields count="1">
    <dataField name="Hitung dari Job Level" fld="8" subtotal="count"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770AE9-A4E8-4200-A467-FC7AB3FCF7DA}" name="PivotTable3" cacheId="4"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3" rowHeaderCaption="Status">
  <location ref="G1:H10" firstHeaderRow="1" firstDataRow="1" firstDataCol="1"/>
  <pivotFields count="13">
    <pivotField showAll="0"/>
    <pivotField showAll="0"/>
    <pivotField showAll="0"/>
    <pivotField showAll="0"/>
    <pivotField showAll="0"/>
    <pivotField showAll="0"/>
    <pivotField axis="axisRow" dataField="1" showAll="0">
      <items count="9">
        <item x="4"/>
        <item x="1"/>
        <item x="2"/>
        <item x="3"/>
        <item x="0"/>
        <item x="7"/>
        <item x="5"/>
        <item x="6"/>
        <item t="default"/>
      </items>
    </pivotField>
    <pivotField showAll="0"/>
    <pivotField showAll="0"/>
    <pivotField numFmtId="165"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Departemen" fld="6"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23C735-8672-47FF-AD29-B9B3D5080296}"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B4"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axis="axisRow" showAll="0">
      <items count="8">
        <item m="1" x="6"/>
        <item m="1" x="5"/>
        <item m="1" x="3"/>
        <item m="1" x="2"/>
        <item m="1" x="4"/>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3">
    <i>
      <x v="5"/>
    </i>
    <i>
      <x v="6"/>
    </i>
    <i t="grand">
      <x/>
    </i>
  </rowItems>
  <colItems count="1">
    <i/>
  </colItems>
  <dataFields count="1">
    <dataField name="Count of Divison" fld="19"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46450D-7F75-472A-8F1A-35E6D09F764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4:H18" firstHeaderRow="1" firstDataRow="1" firstDataCol="1"/>
  <pivotFields count="12">
    <pivotField numFmtId="49" showAll="0"/>
    <pivotField dataField="1" showAll="0"/>
    <pivotField showAll="0"/>
    <pivotField showAll="0"/>
    <pivotField showAll="0"/>
    <pivotField axis="axisRow" showAll="0">
      <items count="4">
        <item sd="0" x="1"/>
        <item sd="0" x="2"/>
        <item sd="0" x="0"/>
        <item t="default"/>
      </items>
    </pivotField>
    <pivotField showAll="0"/>
    <pivotField showAll="0"/>
    <pivotField numFmtId="49" showAll="0"/>
    <pivotField showAll="0"/>
    <pivotField showAll="0"/>
    <pivotField showAll="0"/>
  </pivotFields>
  <rowFields count="1">
    <field x="5"/>
  </rowFields>
  <rowItems count="4">
    <i>
      <x/>
    </i>
    <i>
      <x v="1"/>
    </i>
    <i>
      <x v="2"/>
    </i>
    <i t="grand">
      <x/>
    </i>
  </rowItems>
  <colItems count="1">
    <i/>
  </colItems>
  <dataFields count="1">
    <dataField name="Count of Family Card Number (KK)" fld="1"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3FECC5-52C7-4D41-A0AE-49DC4FFFD1E0}" name="PivotTable7" cacheId="5"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65">
  <location ref="A14:B1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3">
        <item sd="0" x="0"/>
        <item sd="0" x="1"/>
        <item t="default"/>
      </items>
    </pivotField>
    <pivotField dataField="1" showAll="0"/>
    <pivotField showAll="0"/>
    <pivotField showAll="0"/>
    <pivotField showAll="0">
      <items count="11">
        <item x="5"/>
        <item x="1"/>
        <item x="2"/>
        <item x="3"/>
        <item x="4"/>
        <item x="0"/>
        <item x="7"/>
        <item x="8"/>
        <item x="6"/>
        <item m="1" x="9"/>
        <item t="default"/>
      </items>
    </pivotField>
    <pivotField showAll="0"/>
    <pivotField showAll="0">
      <items count="18">
        <item x="2"/>
        <item x="5"/>
        <item x="6"/>
        <item m="1" x="12"/>
        <item m="1" x="16"/>
        <item x="7"/>
        <item m="1" x="14"/>
        <item x="8"/>
        <item m="1" x="13"/>
        <item x="10"/>
        <item x="4"/>
        <item x="0"/>
        <item x="11"/>
        <item x="9"/>
        <item x="1"/>
        <item m="1" x="15"/>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dataFields count="1">
    <dataField name="Count of Employment Status" fld="16" subtotal="count" baseField="0" baseItem="0"/>
  </dataFields>
  <chartFormats count="3">
    <chartFormat chart="57" format="10" series="1">
      <pivotArea type="data" outline="0" fieldPosition="0">
        <references count="1">
          <reference field="4294967294" count="1" selected="0">
            <x v="0"/>
          </reference>
        </references>
      </pivotArea>
    </chartFormat>
    <chartFormat chart="57" format="11">
      <pivotArea type="data" outline="0" fieldPosition="0">
        <references count="2">
          <reference field="4294967294" count="1" selected="0">
            <x v="0"/>
          </reference>
          <reference field="15" count="1" selected="0">
            <x v="0"/>
          </reference>
        </references>
      </pivotArea>
    </chartFormat>
    <chartFormat chart="57" format="12">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Divison" xr10:uid="{99C0BCE5-0EF2-459C-B505-DD5E4C87CB5C}" sourceName="Divison">
  <pivotTables>
    <pivotTable tabId="33" name="PivotTable7"/>
  </pivotTables>
  <data>
    <tabular pivotCacheId="2005033877">
      <items count="10">
        <i x="5" s="1"/>
        <i x="1" s="1"/>
        <i x="2" s="1"/>
        <i x="3" s="1"/>
        <i x="4" s="1"/>
        <i x="0" s="1"/>
        <i x="7" s="1"/>
        <i x="8" s="1"/>
        <i x="6" s="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Job_Level" xr10:uid="{973DB6A8-259C-46B2-9446-5AA297900DA6}" sourceName="Job Level">
  <pivotTables>
    <pivotTable tabId="33" name="PivotTable7"/>
  </pivotTables>
  <data>
    <tabular pivotCacheId="2005033877">
      <items count="17">
        <i x="2" s="1"/>
        <i x="5" s="1"/>
        <i x="6" s="1"/>
        <i x="7" s="1"/>
        <i x="8" s="1"/>
        <i x="10" s="1"/>
        <i x="4" s="1"/>
        <i x="0" s="1"/>
        <i x="11" s="1"/>
        <i x="9" s="1"/>
        <i x="1" s="1"/>
        <i x="3" s="1"/>
        <i x="12" s="1" nd="1"/>
        <i x="16" s="1" nd="1"/>
        <i x="14" s="1" nd="1"/>
        <i x="13" s="1" nd="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on" xr10:uid="{C902E9B5-7491-4E46-ABC9-7D92C6DBEF39}" cache="Pemotong_Divison" caption="Divison" rowHeight="251883"/>
  <slicer name="Job Level" xr10:uid="{D1411F62-078F-4C3C-8626-778B672125EE}" cache="Pemotong_Job_Level" caption="Job Leve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764B15B-7197-469F-9FCA-59DA6BE127C3}" name="Tabel29" displayName="Tabel29" ref="A1:M307" totalsRowShown="0">
  <autoFilter ref="A1:M307" xr:uid="{2764B15B-7197-469F-9FCA-59DA6BE127C3}"/>
  <tableColumns count="13">
    <tableColumn id="1" xr3:uid="{5220AFEC-0DBE-4D0C-9EA3-41E8B1AC2A7F}" name="Employee Number"/>
    <tableColumn id="2" xr3:uid="{D80A877F-5884-4FE3-840E-3366D9F10E66}" name="Full Name" dataDxfId="11">
      <calculatedColumnFormula>INDEX('Data Employee'!$B$2:$B$1000, MATCH(A2, 'Data Employee'!$A$2:$A$1000, 0))</calculatedColumnFormula>
    </tableColumn>
    <tableColumn id="18" xr3:uid="{B8E4DAA8-8EE2-4DE8-8A2E-5AA064A95CD2}" name="Gender" dataDxfId="10">
      <calculatedColumnFormula>INDEX('Data Employee'!$G$2:$G$1000,MATCH(A2,'Data Employee'!$A$2:$A$1000,0))</calculatedColumnFormula>
    </tableColumn>
    <tableColumn id="3" xr3:uid="{3C23F781-7186-4B0C-B40E-F77E39F8D7D8}" name="No. Contract" dataDxfId="9">
      <calculatedColumnFormula array="1">IF(J2="","",_xlfn.IFS(DATEDIF(J2,TODAY(),"M")&lt;12,"Contract 1",DATEDIF(J2,TODAY(),"M")&lt;36,"Contract 2",DATEDIF(J2,TODAY(),"M")&lt;60,"Contract 3",DATEDIF(J2,TODAY(),"M")&lt;63,"Probation",TRUE,"Permanent"))</calculatedColumnFormula>
    </tableColumn>
    <tableColumn id="13" xr3:uid="{B5CD25FE-2531-4507-81DB-721DFE3B9656}" name="Duration (Month)" dataDxfId="8">
      <calculatedColumnFormula>IF(D2="Permanent","Permanent",IF(D2="Contract 1","12 Month",IF(D2="Contract 2","24 Month",IF(D2="Contract 3","60 Month",IF(D2="Probation","63 Month","")))))</calculatedColumnFormula>
    </tableColumn>
    <tableColumn id="4" xr3:uid="{3BF98053-2D3C-4267-9212-8F3C8111FD72}" name="Divison" dataDxfId="7">
      <calculatedColumnFormula>VLOOKUP(A2, 'Data Employee'!$A$2:$U$1000, 19, FALSE)</calculatedColumnFormula>
    </tableColumn>
    <tableColumn id="17" xr3:uid="{AC2F5A21-04B8-47B0-83B9-68C82C792B78}" name="Departemen" dataDxfId="6">
      <calculatedColumnFormula>VLOOKUP(A2, 'Data Employee'!$A$2:$U$1000, 20, FALSE)</calculatedColumnFormula>
    </tableColumn>
    <tableColumn id="14" xr3:uid="{0F6BF90E-C270-475C-B54C-6D26CE02FB8E}" name="Job Title" dataDxfId="5">
      <calculatedColumnFormula>INDEX('Data Employee'!$W$2:$W$1000, MATCH(A2, 'Data Employee'!$A$2:$A$1000, 0))</calculatedColumnFormula>
    </tableColumn>
    <tableColumn id="15" xr3:uid="{246DD5BA-B37B-4553-9C80-82B018EA213D}" name="Job Level" dataDxfId="4">
      <calculatedColumnFormula>INDEX('Data Employee'!$V$2:$V$1000,MATCH(A2,'Data Employee'!$A$2:$A$1000,0))</calculatedColumnFormula>
    </tableColumn>
    <tableColumn id="5" xr3:uid="{60C3E33B-2EF6-4614-ADA9-B12A31557D7C}" name="Join Date" dataDxfId="3">
      <calculatedColumnFormula>INDEX('Data Employee'!$L$2:$L$1000, MATCH(A2, 'Data Employee'!$A$2:$A$1000, 0))</calculatedColumnFormula>
    </tableColumn>
    <tableColumn id="16" xr3:uid="{1A631692-D567-4418-AB1C-BF07D0EFD9EC}" name="End Date" dataDxfId="2">
      <calculatedColumnFormula>IFERROR(IF(INDEX('Data Employee'!M:M,MATCH(A2,'Data Employee'!A:A,0))="","",INDEX('Data Employee'!M:M,MATCH(A2,'Data Employee'!A:A,0))),"")</calculatedColumnFormula>
    </tableColumn>
    <tableColumn id="6" xr3:uid="{E9D838A8-6A86-458B-A59F-4869B5E1324A}" name="Contract Balance" dataDxfId="1">
      <calculatedColumnFormula>IF(OR(K2="",K2&lt;TODAY()),IF(K2="","","Expired"),DATEDIF(TODAY(),K2,"D")&amp;" Days")</calculatedColumnFormula>
    </tableColumn>
    <tableColumn id="7" xr3:uid="{00C7D1FC-E1A2-4E9E-B789-6A114AFB9CBE}" name="Status Reminder" dataDxfId="0">
      <calculatedColumnFormula>IF(OR(K2="", D2="Permanent", NOT(ISNUMBER(K2))), "Active", IF(K2&lt;TODAY(), "Expired", IF(K2-TODAY()&lt;=30, "Urgent Renewal", IF(K2-TODAY()&lt;=60, "Review Needed", "Active"))))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E63B0-E0FD-4DE5-90D5-6B69B2B0DB42}" name="Tabel1" displayName="Tabel1" ref="A1:AG402" totalsRowShown="0" headerRowDxfId="93" dataDxfId="92">
  <autoFilter ref="A1:AG402" xr:uid="{B84E63B0-E0FD-4DE5-90D5-6B69B2B0DB42}"/>
  <tableColumns count="33">
    <tableColumn id="2" xr3:uid="{DFBC89DB-934D-4E8E-BB48-CC86437286A0}" name="Employee Number" dataDxfId="91"/>
    <tableColumn id="1" xr3:uid="{3B3CB899-436C-4DC0-A3DE-2FFB9E32DF34}" name="Full Name" dataDxfId="90"/>
    <tableColumn id="3" xr3:uid="{CF6B16B1-2193-4F01-82B4-50D404EA4253}" name="National ID Number (NIK)" dataDxfId="89"/>
    <tableColumn id="4" xr3:uid="{7436EDAB-9AB8-4DE5-9296-81A70BD1D91E}" name="Family Card Number (KK)" dataDxfId="88"/>
    <tableColumn id="7" xr3:uid="{9972830C-74E6-420B-A928-3D5EB85B58AA}" name="Place of Birth" dataDxfId="87"/>
    <tableColumn id="5" xr3:uid="{E1B80AAF-2B29-4DBC-9EC6-000709DCBA22}" name="Date of Birth" dataDxfId="86"/>
    <tableColumn id="13" xr3:uid="{5454717D-22E4-4F8C-8786-445AEE77E7DA}" name="Gender" dataDxfId="85"/>
    <tableColumn id="11" xr3:uid="{7CDC9D2F-06FE-4C83-8D24-A11BF3AFB09A}" name="Marital Status" dataDxfId="84"/>
    <tableColumn id="23" xr3:uid="{554BA0BF-E452-423D-8A9F-DE7F2364F8D2}" name="Dependent count" dataDxfId="83">
      <calculatedColumnFormula>MIN(COUNTIFS('Data Family'!A:A,A2,'Data Family'!F:F,"Child")+COUNTIFS('Data Family'!A:A,A2,'Data Family'!F:F,"&lt;&gt;Child",'Data Family'!J:J,"Housewife")+COUNTIFS('Data Family'!A:A,A2,'Data Family'!F:F,"&lt;&gt;Child",'Data Family'!J:J,"Unemployment"),3)</calculatedColumnFormula>
    </tableColumn>
    <tableColumn id="12" xr3:uid="{8B6A7815-5236-4A6F-A61C-F07218374D86}" name="Religion" dataDxfId="82"/>
    <tableColumn id="14" xr3:uid="{EE11E3B1-B5AA-4C5D-8967-15A0B27A184F}" name="Blood Type" dataDxfId="81"/>
    <tableColumn id="20" xr3:uid="{E360DD97-453E-4266-8D08-0B9FB7623934}" name="Join Date" dataDxfId="80"/>
    <tableColumn id="30" xr3:uid="{0E37A356-6478-4E46-8F64-578EEFA4A7B6}" name="End Date" dataDxfId="79"/>
    <tableColumn id="38" xr3:uid="{0924A039-0F7E-48E4-B0BB-C9025DAEC87B}" name="Exit Date" dataDxfId="78"/>
    <tableColumn id="21" xr3:uid="{F1FDADAD-39D0-4C88-8537-9B9323243D43}" name="Reason Saparation" dataDxfId="77">
      <calculatedColumnFormula>IF(AND(M2&lt;&gt;"", M2&lt;=TODAY(), N2=""), "End of Contract", "")</calculatedColumnFormula>
    </tableColumn>
    <tableColumn id="6" xr3:uid="{9EAED013-8689-4981-ADC7-869AEF42D6BC}" name="Employee Status" dataDxfId="76">
      <calculatedColumnFormula>IF(OR(N2&lt;&gt;"", AND(M2&lt;&gt;"",M2&lt;=TODAY())),"Non-Active","Active")</calculatedColumnFormula>
    </tableColumn>
    <tableColumn id="8" xr3:uid="{B315AD67-AC85-4627-8564-FA837F2D4A51}" name="Employment Status" dataDxfId="75">
      <calculatedColumnFormula>IF(M2="","PKWTT",IF(DATEDIF(L2,M2,"M")&gt;63,"PKWTT",IF(DATEDIF(L2,M2,"M")&gt;60,"PKWT",IF(DATEDIF(L2,M2,"M")&gt;36,"PKWT",IF(DATEDIF(L2,M2,"M")&gt;12, "PKWT","PKWT")))))</calculatedColumnFormula>
    </tableColumn>
    <tableColumn id="15" xr3:uid="{D9D14ABD-B3F8-4C7A-A2F3-5D00EFFD9741}" name="Education" dataDxfId="74"/>
    <tableColumn id="19" xr3:uid="{EA5D8667-317E-44BA-8964-BCCC80A8F405}" name="Major" dataDxfId="73"/>
    <tableColumn id="25" xr3:uid="{03E74051-1047-4C86-B99F-AD20F3AF1CDA}" name="Divison" dataDxfId="72"/>
    <tableColumn id="26" xr3:uid="{0C7C084E-5BD0-4738-94CD-6DD9B2EBF1E6}" name="Departemen" dataDxfId="71"/>
    <tableColumn id="9" xr3:uid="{4C369111-E7FF-46FA-9A1E-B42BEACD24A8}" name="Job Level" dataDxfId="70"/>
    <tableColumn id="27" xr3:uid="{8F6179B3-CD24-4AC0-A9F0-690A451E8F76}" name="Job Title" dataDxfId="69"/>
    <tableColumn id="10" xr3:uid="{3EE58FB1-A6C3-467B-AB89-7CB6D3153896}" name="Grade" dataDxfId="68">
      <calculatedColumnFormula>_xlfn.XLOOKUP(V2,Reference!$O:$O,Reference!$N:$N,"Tidak Ketemu")</calculatedColumnFormula>
    </tableColumn>
    <tableColumn id="22" xr3:uid="{909B310D-0D66-4E6E-A819-7B9399A38657}" name="PTKP" dataDxfId="67">
      <calculatedColumnFormula>IF(AND(G2="Female",H2="Married"),"TK/0",IF(H2="Married","K/"&amp;I2,"TK/"&amp;I2))</calculatedColumnFormula>
    </tableColumn>
    <tableColumn id="40" xr3:uid="{25FD7D1D-D841-42BD-A805-394D9C39024B}" name="Tax IDE (NPWP)" dataDxfId="66"/>
    <tableColumn id="42" xr3:uid="{F03887DD-B515-4278-A0C8-93CDF5042146}" name="BPJS KPJ" dataDxfId="65"/>
    <tableColumn id="41" xr3:uid="{5A750F49-7ECC-4467-B96F-1B898623F6E7}" name="BPJS JKN" dataDxfId="64"/>
    <tableColumn id="43" xr3:uid="{7CB67E27-DED6-40EB-93C0-CF54503DC8D0}" name="Bank Name" dataDxfId="63"/>
    <tableColumn id="44" xr3:uid="{AC271FA4-E4DC-4C0B-975A-81480D5A855E}" name="Bank Acount" dataDxfId="62"/>
    <tableColumn id="16" xr3:uid="{47B179C4-6E0E-49B4-8795-8ECBD7FE1316}" name="Mobile Phone" dataDxfId="61"/>
    <tableColumn id="17" xr3:uid="{BCB94055-1786-4E27-9A34-AE1699730558}" name="Email" dataDxfId="60"/>
    <tableColumn id="18" xr3:uid="{90C59E5F-866E-4F35-8A59-E4C9F6ED74DC}" name="Current Address" dataDxfId="5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7E6E818-A9FF-4484-9B07-58FA347E2A67}" name="Tabel117" displayName="Tabel117" ref="A1:AF312" totalsRowShown="0" headerRowDxfId="58" dataDxfId="57">
  <autoFilter ref="A1:AF312" xr:uid="{B84E63B0-E0FD-4DE5-90D5-6B69B2B0DB42}"/>
  <tableColumns count="32">
    <tableColumn id="2" xr3:uid="{D18D4910-9360-4A29-AAE3-EB0F8826DAD3}" name="Employee Number" dataDxfId="56">
      <calculatedColumnFormula>VALUE(YEAR(R2)&amp;TEXT(R2,"0000"))</calculatedColumnFormula>
    </tableColumn>
    <tableColumn id="3" xr3:uid="{084677CA-853F-42EE-9422-A5AC26AC3850}" name="National ID Number (NIK)" dataDxfId="55"/>
    <tableColumn id="4" xr3:uid="{5A893B09-5EC4-420A-9986-CE17B434C196}" name="Family Card Number (KK)" dataDxfId="54"/>
    <tableColumn id="5" xr3:uid="{761EE884-C5F6-46DA-8351-D2910F637E97}" name="Full Name" dataDxfId="53"/>
    <tableColumn id="6" xr3:uid="{272802E0-40CE-48B7-AEB6-F884102E44B4}" name="Gender" dataDxfId="52"/>
    <tableColumn id="7" xr3:uid="{8387565A-D078-44E1-8939-CEEE354731A8}" name="Place of Birth" dataDxfId="51"/>
    <tableColumn id="8" xr3:uid="{DE49F57B-7E99-4B6C-B346-90D69B34B10B}" name="Education" dataDxfId="50"/>
    <tableColumn id="9" xr3:uid="{D47E2540-0B1B-4760-A544-DA98691603D2}" name="Major" dataDxfId="49"/>
    <tableColumn id="10" xr3:uid="{94F22482-1631-4DE0-837C-4A0B0D7D08F5}" name="Date of Birth" dataDxfId="48"/>
    <tableColumn id="11" xr3:uid="{69F2C286-CBE3-4A3B-90BC-01E554DF4E32}" name="Age" dataDxfId="47">
      <calculatedColumnFormula>IF(I2="","",DATEDIF(I2,TODAY(),"Y"))</calculatedColumnFormula>
    </tableColumn>
    <tableColumn id="12" xr3:uid="{247B9073-6E6B-4F36-A5F8-46FB11AF6D82}" name="Religion" dataDxfId="46"/>
    <tableColumn id="13" xr3:uid="{94EDB2E1-DC6A-40B2-B2FC-3C08E4C5A359}" name="Marital Status" dataDxfId="45"/>
    <tableColumn id="14" xr3:uid="{8F4398C9-62A3-4264-8223-B2EC053C849B}" name="Blood Type" dataDxfId="44"/>
    <tableColumn id="15" xr3:uid="{992803C8-0D0F-46EA-8B79-866C3DD131DA}" name="Nationality" dataDxfId="43"/>
    <tableColumn id="16" xr3:uid="{0D3657C0-63B4-40AC-B470-E68E876EFF53}" name="Mobile Phone" dataDxfId="42"/>
    <tableColumn id="17" xr3:uid="{9B5B0854-E4D3-4EFE-97C9-3A4F66BC635A}" name="Email" dataDxfId="41"/>
    <tableColumn id="18" xr3:uid="{F3C38641-C105-4AB9-A20A-2C5A2C71BA8E}" name="Current Address" dataDxfId="40"/>
    <tableColumn id="19" xr3:uid="{714338C4-7FB1-46B9-AFAE-F789E47024EF}" name="Join Date" dataDxfId="39"/>
    <tableColumn id="33" xr3:uid="{A33E5ACB-ADBE-4844-8421-9248CBD6C21F}" name="Employment Status" dataDxfId="38">
      <calculatedColumnFormula>IF(AND(T2&lt;&gt;"",U2&lt;&gt;""),"PKWT","PKWTT")</calculatedColumnFormula>
    </tableColumn>
    <tableColumn id="34" xr3:uid="{7E76C56B-5E38-4786-BBE9-B23A42973656}" name="No. Contract" dataDxfId="37">
      <calculatedColumnFormula>IF(R2&gt;TODAY(),"",IF(DATEDIF(R2,TODAY(),"Y")&gt;=5,"",IF(DATEDIF(R2,TODAY(),"Y")&lt;1,1,IF(DATEDIF(R2,TODAY(),"Y")&lt;3,2,3))))</calculatedColumnFormula>
    </tableColumn>
    <tableColumn id="29" xr3:uid="{5433BCE3-742B-48AB-B633-03797BBB3A06}" name="End Date" dataDxfId="36">
      <calculatedColumnFormula>IF(T2="","",IF(T2=1,EDATE(R2,12)-1,IF(T2=2,EDATE(R2,36)-1,IF(T2=3,EDATE(R2,60)-1,""))))</calculatedColumnFormula>
    </tableColumn>
    <tableColumn id="32" xr3:uid="{6A34CDAE-6D0D-45E2-992C-27A1EBC9C255}" name="Exit Date" dataDxfId="35">
      <calculatedColumnFormula>IF(U2="","",IF(U2=1,EDATE(S2,12)-1,IF(U2=2,EDATE(S2,36)-1,IF(U2=3,EDATE(S2,60)-1,""))))</calculatedColumnFormula>
    </tableColumn>
    <tableColumn id="35" xr3:uid="{7989C00C-DF2C-4FEC-B671-2620E820FA16}" name="Reason Sapartion" dataDxfId="34"/>
    <tableColumn id="30" xr3:uid="{7A972C8E-02E2-44B7-9BE7-7C07B1F97447}" name="Employee Status" dataDxfId="33">
      <calculatedColumnFormula>IF(V2&lt;&gt;"","Non-Active",IF(S2="PKWTT","Active",IF(U2&gt;=TODAY(),"Active","Non-Active")))</calculatedColumnFormula>
    </tableColumn>
    <tableColumn id="21" xr3:uid="{579FEE62-B245-4571-8F31-5F65F82D38E9}" name="Division" dataDxfId="32"/>
    <tableColumn id="22" xr3:uid="{099F2FD7-B329-48D6-9FEF-0B741595305E}" name="Job Title" dataDxfId="31"/>
    <tableColumn id="23" xr3:uid="{4BBCF59A-9D5C-47FF-9A6D-AE76994FA3ED}" name="Job Level" dataDxfId="30"/>
    <tableColumn id="24" xr3:uid="{81C02B50-1CD7-4913-AE10-FA904C767EA1}" name="Tax ID Number (NPWP)" dataDxfId="29"/>
    <tableColumn id="25" xr3:uid="{F7B81386-CAF0-4620-B448-33EAA0D08A2A}" name="BPJS-KPJ" dataDxfId="28"/>
    <tableColumn id="26" xr3:uid="{B483BDDD-A27B-49E0-A812-FCF45275E7CF}" name="BPJS-JKN" dataDxfId="27"/>
    <tableColumn id="27" xr3:uid="{36C5A5C5-DC00-455F-B57E-4FA7DE6B4F0D}" name="Bank" dataDxfId="26"/>
    <tableColumn id="28" xr3:uid="{E3BB2716-CF6C-4DEE-8ADB-52E9364E1442}" name="Bank Account Number"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20B10A-0ECC-4F9A-AE16-280E03FA6F6C}" name="Tabel6" displayName="Tabel6" ref="A1:L133" totalsRowShown="0" dataDxfId="24">
  <autoFilter ref="A1:L133" xr:uid="{8C20B10A-0ECC-4F9A-AE16-280E03FA6F6C}">
    <filterColumn colId="6">
      <filters>
        <filter val="Female"/>
      </filters>
    </filterColumn>
  </autoFilter>
  <tableColumns count="12">
    <tableColumn id="1" xr3:uid="{CEF4F377-5D6C-4396-8AFC-719CF471A234}" name="Employee Number" dataDxfId="23">
      <calculatedColumnFormula>INDEX(Tabel1[Employee Number],MATCH(Tabel6[[#This Row],[Family Card Number (KK)]],Tabel1[Family Card Number (KK)],0))</calculatedColumnFormula>
    </tableColumn>
    <tableColumn id="2" xr3:uid="{8B707476-65BE-4B70-A334-9E4A3FD81DFD}" name="Family Card Number (KK)" dataDxfId="22"/>
    <tableColumn id="3" xr3:uid="{7A8BBD3C-406C-4875-89EF-F489BF71422C}" name="Full Name" dataDxfId="21">
      <calculatedColumnFormula>INDEX(Tabel1[Full Name],MATCH(Tabel6[[#This Row],[Employee Number]],Tabel1[Employee Number],0))</calculatedColumnFormula>
    </tableColumn>
    <tableColumn id="4" xr3:uid="{0A52C0B2-6894-4BE8-8111-799FCFF86206}" name="National ID Family" dataDxfId="20"/>
    <tableColumn id="5" xr3:uid="{0B240A5F-B83E-419C-B099-9F9EB567B6DF}" name="Family Member Name" dataDxfId="19"/>
    <tableColumn id="6" xr3:uid="{132FFA1B-BDFA-4FB4-A063-61809EFD6E84}" name="Relation" dataDxfId="18"/>
    <tableColumn id="7" xr3:uid="{32F38ADB-0161-4BB3-B703-7C4ECD7C52E2}" name="Gender" dataDxfId="17"/>
    <tableColumn id="8" xr3:uid="{A8D75D3D-6849-4D0B-A5B7-BE3ADE790267}" name="Date of Birth" dataDxfId="16"/>
    <tableColumn id="9" xr3:uid="{79D76D8F-E9F6-4984-865D-4A8EB7E46ACC}" name="Age" dataDxfId="15">
      <calculatedColumnFormula>DATEDIF(Tabel6[[#This Row],[Date of Birth]],TODAY(),"Y")</calculatedColumnFormula>
    </tableColumn>
    <tableColumn id="10" xr3:uid="{BA2CA511-536E-4F6E-AE94-3712FE61D35D}" name="Occupation" dataDxfId="14"/>
    <tableColumn id="12" xr3:uid="{B2DF2EB4-9804-43B9-AF26-921E03B04AE0}" name="BPJS Status" dataDxfId="13"/>
    <tableColumn id="11" xr3:uid="{215E8ACD-28E4-4622-AB31-F53C8B5EA532}" name="No. JKN"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D6C9476-0E2A-45C3-992D-CC563F2A37D7}" name="Tabel25" displayName="Tabel25" ref="A1:A3" totalsRowShown="0">
  <autoFilter ref="A1:A3" xr:uid="{0D6C9476-0E2A-45C3-992D-CC563F2A37D7}"/>
  <tableColumns count="1">
    <tableColumn id="1" xr3:uid="{6EA08EC0-C72A-4E91-942F-3CC64811DB6F}" name="Gend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383B9AD-A64A-433A-A5F7-652B3963C460}" name="Tabel26" displayName="Tabel26" ref="A5:A11" totalsRowShown="0">
  <autoFilter ref="A5:A11" xr:uid="{E383B9AD-A64A-433A-A5F7-652B3963C460}"/>
  <tableColumns count="1">
    <tableColumn id="1" xr3:uid="{54BB54A4-786C-4C7E-A4B9-ACD6DB8C8F9E}" name="Relig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3E9BE6D-86C5-4F7C-BFB8-4E09D5B38D86}" name="Tabel27" displayName="Tabel27" ref="A13:A17" totalsRowShown="0">
  <autoFilter ref="A13:A17" xr:uid="{E3E9BE6D-86C5-4F7C-BFB8-4E09D5B38D86}"/>
  <tableColumns count="1">
    <tableColumn id="1" xr3:uid="{2E97A5BC-3145-4B5F-B1D8-9B26AB81707D}" name="Blood 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910FB20-11C8-4980-9AE9-9F814DC68AA6}" name="Tabel28" displayName="Tabel28" ref="N20:O34" totalsRowShown="0">
  <autoFilter ref="N20:O34" xr:uid="{B910FB20-11C8-4980-9AE9-9F814DC68AA6}"/>
  <tableColumns count="2">
    <tableColumn id="1" xr3:uid="{E967438E-FB43-406B-86A5-387891E7E82E}" name="Grade"/>
    <tableColumn id="2" xr3:uid="{9C11C748-2CCA-417E-8DA8-6602A5953CC4}" name="Job Leve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DCA5197-09EE-405C-9061-9CD85D12B588}" name="Tabel32" displayName="Tabel32" ref="J1:L69" totalsRowShown="0">
  <autoFilter ref="J1:L69" xr:uid="{ADCA5197-09EE-405C-9061-9CD85D12B588}"/>
  <tableColumns count="3">
    <tableColumn id="1" xr3:uid="{FB79C491-C89D-476A-88AC-3D7BB6FBA7F6}" name="Education"/>
    <tableColumn id="2" xr3:uid="{4539D712-0F3E-4772-9E56-844FAEC9AFDD}" name="Major Name"/>
    <tableColumn id="3" xr3:uid="{DBCB92D9-CBCA-4F6E-8F46-D2054984E801}" name="Cod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B781F23-F3DD-41E7-A810-3778FB73A423}" name="Tabel33" displayName="Tabel33" ref="N1:O18" totalsRowShown="0">
  <autoFilter ref="N1:O18" xr:uid="{1B781F23-F3DD-41E7-A810-3778FB73A423}"/>
  <tableColumns count="2">
    <tableColumn id="1" xr3:uid="{6F8A989A-7F72-46D1-B2DC-C10086463B3B}" name="Relation"/>
    <tableColumn id="2" xr3:uid="{B45CDE36-64A6-4763-8995-F4A9BA5D7015}" name="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136D83-0CAA-415A-8EFB-BAD78CCF30C5}" name="Tabel3" displayName="Tabel3" ref="Q1:S13" totalsRowShown="0">
  <autoFilter ref="Q1:S13" xr:uid="{B6136D83-0CAA-415A-8EFB-BAD78CCF30C5}"/>
  <tableColumns count="3">
    <tableColumn id="1" xr3:uid="{4AB3D60B-1D71-47A4-A9A7-3DB40C6DF1CE}" name="Status Utama"/>
    <tableColumn id="2" xr3:uid="{33F0498F-5DFD-464A-A8E3-AAD601886270}" name="Sub-Status / Detail"/>
    <tableColumn id="3" xr3:uid="{530490B0-6A6C-49BE-9D6D-F99C6400ABC8}" name="Kode Kelompok"/>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B7D9E4-8130-4FB6-9893-C26B96CFC0F8}" name="Tabel4" displayName="Tabel4" ref="A20:A22" totalsRowShown="0">
  <autoFilter ref="A20:A22" xr:uid="{86B7D9E4-8130-4FB6-9893-C26B96CFC0F8}"/>
  <tableColumns count="1">
    <tableColumn id="1" xr3:uid="{81BF1B5F-5DA3-4797-9861-5BA72C3654F3}" name="Employment Statu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BADA1C-D0DB-46BB-BBEA-0D15F0B7DF6B}" name="Tabel46" displayName="Tabel46" ref="A24:A26" totalsRowShown="0">
  <autoFilter ref="A24:A26" xr:uid="{6BBADA1C-D0DB-46BB-BBEA-0D15F0B7DF6B}"/>
  <tableColumns count="1">
    <tableColumn id="1" xr3:uid="{BA304923-7263-42C0-8403-E2B914117E8D}" name="Employee Stat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C9E334-EC4A-49A4-B07C-7003358BE477}" name="Tabel31" displayName="Tabel31" ref="D1:H103" totalsRowShown="0">
  <autoFilter ref="D1:H103" xr:uid="{7CC9E334-EC4A-49A4-B07C-7003358BE477}"/>
  <sortState xmlns:xlrd2="http://schemas.microsoft.com/office/spreadsheetml/2017/richdata2" ref="D2:H103">
    <sortCondition ref="D1:D103"/>
  </sortState>
  <tableColumns count="5">
    <tableColumn id="3" xr3:uid="{FB4000B1-9035-4ACF-A71C-B2E454A8170B}" name="Divisi"/>
    <tableColumn id="4" xr3:uid="{5DADBAD7-AB65-478E-9F36-25233F966010}" name="Departemen"/>
    <tableColumn id="5" xr3:uid="{59F0C1C9-D19A-41E0-B8AA-28390298C8C8}" name="Job Level"/>
    <tableColumn id="6" xr3:uid="{F63145BC-0F83-4817-A9AC-CCBACBB16B61}" name="Kode Unik"/>
    <tableColumn id="7" xr3:uid="{9AD18604-8721-4943-9668-97F2A8A76A3A}" name="Job Title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D60548-1EE0-4E0D-8FB1-D222920BE4D5}" name="Table7" displayName="Table7" ref="A44:B48" totalsRowShown="0">
  <autoFilter ref="A44:B48" xr:uid="{61D60548-1EE0-4E0D-8FB1-D222920BE4D5}"/>
  <tableColumns count="2">
    <tableColumn id="1" xr3:uid="{370D4C26-79D3-4A10-A457-7A1C3576A1DE}" name="Marital Status"/>
    <tableColumn id="2" xr3:uid="{A19EA705-CF6F-4F1E-98C1-EACC8AF15D07}" name="Statu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394EBC9-B400-40B8-B71C-1F83B71310DB}" name="Tabel30" displayName="Tabel30" ref="Q15:S35" totalsRowShown="0">
  <autoFilter ref="Q15:S35" xr:uid="{7394EBC9-B400-40B8-B71C-1F83B71310DB}"/>
  <tableColumns count="3">
    <tableColumn id="1" xr3:uid="{3823A088-C8F0-4C74-A2A4-16937D7A111E}" name="Divisi"/>
    <tableColumn id="2" xr3:uid="{FE5BEA91-949A-4A3A-B338-98ECE3B9E5D2}" name="Name Range"/>
    <tableColumn id="3" xr3:uid="{7FBA05F0-8D65-48D6-9021-FAA787B3E8BC}" name="Departeme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Biru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wati.wijaya@dumibumi.co.id"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959C-2AE8-4A6E-86B1-8E93AC4C15C0}">
  <dimension ref="A1:U19"/>
  <sheetViews>
    <sheetView showGridLines="0" zoomScale="87" zoomScaleNormal="87" workbookViewId="0">
      <selection activeCell="V8" sqref="V8"/>
    </sheetView>
  </sheetViews>
  <sheetFormatPr defaultRowHeight="14.5" x14ac:dyDescent="0.35"/>
  <sheetData>
    <row r="1" spans="1:21" ht="14.5" customHeight="1" x14ac:dyDescent="0.35">
      <c r="A1" s="26" t="s">
        <v>3827</v>
      </c>
      <c r="B1" s="26"/>
      <c r="C1" s="26"/>
      <c r="D1" s="26"/>
      <c r="E1" s="26"/>
      <c r="F1" s="26"/>
      <c r="G1" s="26"/>
      <c r="H1" s="26"/>
      <c r="I1" s="26"/>
      <c r="J1" s="26"/>
      <c r="K1" s="26"/>
      <c r="L1" s="26"/>
      <c r="M1" s="26"/>
      <c r="N1" s="26"/>
      <c r="O1" s="26"/>
      <c r="P1" s="26"/>
      <c r="Q1" s="26"/>
      <c r="R1" s="26"/>
      <c r="S1" s="26"/>
      <c r="T1" s="26"/>
    </row>
    <row r="2" spans="1:21" ht="14.5" customHeight="1" x14ac:dyDescent="0.35">
      <c r="A2" s="26"/>
      <c r="B2" s="26"/>
      <c r="C2" s="26"/>
      <c r="D2" s="26"/>
      <c r="E2" s="26"/>
      <c r="F2" s="26"/>
      <c r="G2" s="26"/>
      <c r="H2" s="26"/>
      <c r="I2" s="26"/>
      <c r="J2" s="26"/>
      <c r="K2" s="26"/>
      <c r="L2" s="26"/>
      <c r="M2" s="26"/>
      <c r="N2" s="26"/>
      <c r="O2" s="26"/>
      <c r="P2" s="26"/>
      <c r="Q2" s="26"/>
      <c r="R2" s="26"/>
      <c r="S2" s="26"/>
      <c r="T2" s="26"/>
    </row>
    <row r="3" spans="1:21" ht="14.5" customHeight="1" x14ac:dyDescent="0.35">
      <c r="A3" s="27" t="s">
        <v>3826</v>
      </c>
      <c r="B3" s="27"/>
      <c r="C3" s="27"/>
      <c r="D3" s="27"/>
      <c r="E3" s="27"/>
      <c r="F3" s="27"/>
      <c r="G3" s="27"/>
      <c r="H3" s="27"/>
      <c r="I3" s="27"/>
      <c r="J3" s="27"/>
      <c r="K3" s="27"/>
      <c r="L3" s="27"/>
      <c r="M3" s="27"/>
      <c r="N3" s="27"/>
      <c r="O3" s="27"/>
      <c r="P3" s="27"/>
      <c r="Q3" s="27"/>
      <c r="R3" s="27"/>
      <c r="S3" s="27"/>
      <c r="T3" s="27"/>
    </row>
    <row r="4" spans="1:21" x14ac:dyDescent="0.35">
      <c r="A4" s="24"/>
      <c r="B4" s="24"/>
      <c r="C4" s="24"/>
      <c r="D4" s="24"/>
      <c r="E4" s="24"/>
      <c r="F4" s="24"/>
      <c r="G4" s="24"/>
      <c r="H4" s="24"/>
      <c r="I4" s="24"/>
      <c r="J4" s="24"/>
    </row>
    <row r="5" spans="1:21" x14ac:dyDescent="0.35">
      <c r="A5" s="24"/>
      <c r="B5" s="24"/>
      <c r="C5" s="24"/>
      <c r="D5" s="24"/>
      <c r="E5" s="24"/>
      <c r="F5" s="24"/>
      <c r="G5" s="24"/>
      <c r="H5" s="24"/>
      <c r="I5" s="24"/>
      <c r="J5" s="24"/>
    </row>
    <row r="6" spans="1:21" x14ac:dyDescent="0.35">
      <c r="A6" s="24"/>
      <c r="B6" s="24"/>
      <c r="C6" s="24"/>
      <c r="D6" s="24"/>
      <c r="E6" s="24"/>
      <c r="F6" s="24"/>
      <c r="G6" s="24"/>
      <c r="H6" s="24"/>
      <c r="I6" s="24"/>
      <c r="J6" s="24"/>
    </row>
    <row r="7" spans="1:21" x14ac:dyDescent="0.35">
      <c r="A7" s="24"/>
      <c r="B7" s="24"/>
      <c r="C7" s="24"/>
      <c r="D7" s="24"/>
      <c r="E7" s="24"/>
      <c r="F7" s="24"/>
      <c r="G7" s="24"/>
      <c r="H7" s="24"/>
      <c r="I7" s="24"/>
      <c r="J7" s="24"/>
    </row>
    <row r="8" spans="1:21" x14ac:dyDescent="0.35">
      <c r="A8" s="24"/>
      <c r="B8" s="24"/>
      <c r="C8" s="24"/>
      <c r="D8" s="24"/>
      <c r="E8" s="24"/>
      <c r="F8" s="24"/>
      <c r="G8" s="24"/>
      <c r="H8" s="24"/>
      <c r="I8" s="24"/>
      <c r="J8" s="24"/>
    </row>
    <row r="9" spans="1:21" x14ac:dyDescent="0.35">
      <c r="A9" s="24"/>
      <c r="B9" s="24"/>
      <c r="C9" s="24"/>
      <c r="D9" s="24"/>
      <c r="E9" s="24"/>
      <c r="F9" s="24"/>
      <c r="G9" s="24"/>
      <c r="H9" s="24"/>
      <c r="I9" s="24"/>
      <c r="J9" s="24"/>
    </row>
    <row r="10" spans="1:21" x14ac:dyDescent="0.35">
      <c r="A10" s="24"/>
      <c r="B10" s="24"/>
      <c r="C10" s="24"/>
      <c r="D10" s="24"/>
      <c r="E10" s="24"/>
      <c r="F10" s="24"/>
      <c r="G10" s="24"/>
      <c r="H10" s="24"/>
      <c r="I10" s="24"/>
      <c r="J10" s="24"/>
    </row>
    <row r="11" spans="1:21" x14ac:dyDescent="0.35">
      <c r="A11" s="24"/>
      <c r="B11" s="24"/>
      <c r="C11" s="24"/>
      <c r="D11" s="24"/>
      <c r="E11" s="24"/>
      <c r="F11" s="24"/>
      <c r="G11" s="24"/>
      <c r="H11" s="24"/>
      <c r="I11" s="24"/>
      <c r="J11" s="24"/>
    </row>
    <row r="12" spans="1:21" x14ac:dyDescent="0.35">
      <c r="A12" s="24"/>
      <c r="B12" s="24"/>
      <c r="C12" s="24"/>
      <c r="D12" s="24"/>
      <c r="E12" s="24"/>
      <c r="F12" s="24"/>
      <c r="G12" s="24"/>
      <c r="H12" s="24"/>
      <c r="I12" s="24"/>
      <c r="J12" s="24"/>
    </row>
    <row r="13" spans="1:21" x14ac:dyDescent="0.35">
      <c r="A13" s="23"/>
      <c r="B13" s="23"/>
      <c r="C13" s="23"/>
      <c r="D13" s="23"/>
      <c r="E13" s="23"/>
      <c r="F13" s="23"/>
      <c r="U13" t="s">
        <v>3862</v>
      </c>
    </row>
    <row r="14" spans="1:21" x14ac:dyDescent="0.35">
      <c r="A14" s="23"/>
      <c r="B14" s="23"/>
      <c r="C14" s="23"/>
      <c r="D14" s="23"/>
      <c r="E14" s="23"/>
      <c r="F14" s="23"/>
    </row>
    <row r="15" spans="1:21" x14ac:dyDescent="0.35">
      <c r="A15" s="23"/>
      <c r="B15" s="23"/>
      <c r="C15" s="23"/>
      <c r="D15" s="23"/>
      <c r="E15" s="23"/>
      <c r="F15" s="23"/>
    </row>
    <row r="16" spans="1:21" x14ac:dyDescent="0.35">
      <c r="A16" s="23"/>
      <c r="B16" s="23"/>
      <c r="C16" s="23"/>
      <c r="D16" s="23"/>
      <c r="E16" s="23"/>
      <c r="F16" s="23"/>
    </row>
    <row r="17" spans="1:6" x14ac:dyDescent="0.35">
      <c r="A17" s="23"/>
      <c r="B17" s="23"/>
      <c r="C17" s="23"/>
      <c r="D17" s="23"/>
      <c r="E17" s="23"/>
      <c r="F17" s="23"/>
    </row>
    <row r="18" spans="1:6" x14ac:dyDescent="0.35">
      <c r="A18" s="23"/>
      <c r="B18" s="23"/>
      <c r="C18" s="23"/>
      <c r="D18" s="23"/>
      <c r="E18" s="23"/>
      <c r="F18" s="23"/>
    </row>
    <row r="19" spans="1:6" x14ac:dyDescent="0.35">
      <c r="A19" s="23"/>
      <c r="B19" s="23"/>
      <c r="C19" s="23"/>
      <c r="D19" s="23"/>
      <c r="E19" s="23"/>
      <c r="F19" s="23"/>
    </row>
  </sheetData>
  <mergeCells count="2">
    <mergeCell ref="A1:T2"/>
    <mergeCell ref="A3: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01EC-86BA-4EF0-86DB-CCC798F6249D}">
  <dimension ref="A1:M307"/>
  <sheetViews>
    <sheetView zoomScale="80" zoomScaleNormal="80" workbookViewId="0">
      <selection activeCell="A2" sqref="A2:X281"/>
    </sheetView>
  </sheetViews>
  <sheetFormatPr defaultRowHeight="14.5" x14ac:dyDescent="0.35"/>
  <cols>
    <col min="1" max="1" width="19.6328125" bestFit="1" customWidth="1"/>
    <col min="2" max="2" width="24.26953125" bestFit="1" customWidth="1"/>
    <col min="3" max="3" width="10.08984375" bestFit="1" customWidth="1"/>
    <col min="4" max="4" width="14.6328125" bestFit="1" customWidth="1"/>
    <col min="5" max="5" width="18.1796875" bestFit="1" customWidth="1"/>
    <col min="6" max="6" width="22.81640625" bestFit="1" customWidth="1"/>
    <col min="7" max="7" width="34.08984375" bestFit="1" customWidth="1"/>
    <col min="8" max="8" width="41.81640625" bestFit="1" customWidth="1"/>
    <col min="9" max="9" width="33.1796875" bestFit="1" customWidth="1"/>
    <col min="10" max="10" width="11.453125" bestFit="1" customWidth="1"/>
    <col min="11" max="11" width="11.36328125" bestFit="1" customWidth="1"/>
    <col min="12" max="12" width="18.54296875" bestFit="1" customWidth="1"/>
    <col min="13" max="13" width="26.36328125" bestFit="1" customWidth="1"/>
  </cols>
  <sheetData>
    <row r="1" spans="1:13" x14ac:dyDescent="0.35">
      <c r="A1" t="s">
        <v>0</v>
      </c>
      <c r="B1" t="s">
        <v>3</v>
      </c>
      <c r="C1" t="s">
        <v>4</v>
      </c>
      <c r="D1" t="s">
        <v>2669</v>
      </c>
      <c r="E1" t="s">
        <v>3818</v>
      </c>
      <c r="F1" t="s">
        <v>3011</v>
      </c>
      <c r="G1" t="s">
        <v>2993</v>
      </c>
      <c r="H1" t="s">
        <v>17</v>
      </c>
      <c r="I1" t="s">
        <v>24</v>
      </c>
      <c r="J1" t="s">
        <v>14</v>
      </c>
      <c r="K1" t="s">
        <v>2667</v>
      </c>
      <c r="L1" t="s">
        <v>3819</v>
      </c>
      <c r="M1" t="s">
        <v>3820</v>
      </c>
    </row>
    <row r="2" spans="1:13" x14ac:dyDescent="0.35">
      <c r="A2">
        <v>201743091</v>
      </c>
      <c r="B2" t="str">
        <f>INDEX('Data Employee'!$B$2:$B$1000, MATCH(A2, 'Data Employee'!$A$2:$A$1000, 0))</f>
        <v>Dewi Pratama</v>
      </c>
      <c r="C2" t="str">
        <f>INDEX('Data Employee'!$G$2:$G$1000,MATCH(A2,'Data Employee'!$A$2:$A$1000,0))</f>
        <v>Female</v>
      </c>
      <c r="D2" s="9" t="str" cm="1">
        <f t="array" aca="1" ref="D2" ca="1">IF(J2="","",_xlfn.IFS(DATEDIF(J2,TODAY(),"M")&lt;12,"Contract 1",DATEDIF(J2,TODAY(),"M")&lt;36,"Contract 2",DATEDIF(J2,TODAY(),"M")&lt;60,"Contract 3",DATEDIF(J2,TODAY(),"M")&lt;63,"Probation",TRUE,"Permanent"))</f>
        <v>Permanent</v>
      </c>
      <c r="E2" s="9" t="str">
        <f t="shared" ref="E2:E65" ca="1" si="0">IF(D2="Permanent","Permanent",IF(D2="Contract 1","12 Month",IF(D2="Contract 2","24 Month",IF(D2="Contract 3","60 Month",IF(D2="Probation","63 Month","")))))</f>
        <v>Permanent</v>
      </c>
      <c r="F2" s="9" t="str">
        <f>VLOOKUP(A2, 'Data Employee'!$A$2:$U$1000, 19, FALSE)</f>
        <v>Accounting</v>
      </c>
      <c r="G2" s="9" t="str">
        <f>VLOOKUP(A2, 'Data Employee'!$A$2:$U$1000, 20, FALSE)</f>
        <v>Management</v>
      </c>
      <c r="H2" s="9" t="str">
        <f>INDEX('Data Employee'!$W$2:$W$1000, MATCH(A2, 'Data Employee'!$A$2:$A$1000, 0))</f>
        <v>Accounting Officer</v>
      </c>
      <c r="I2" t="str">
        <f>INDEX('Data Employee'!$V$2:$V$1000,MATCH(A2,'Data Employee'!$A$2:$A$1000,0))</f>
        <v>Officer / Executive</v>
      </c>
      <c r="J2" s="18">
        <f>INDEX('Data Employee'!$L$2:$L$1000, MATCH(A2, 'Data Employee'!$A$2:$A$1000, 0))</f>
        <v>43091</v>
      </c>
      <c r="K2" s="19" t="str">
        <f>IFERROR(IF(INDEX('Data Employee'!M:M,MATCH(A2,'Data Employee'!A:A,0))="","",INDEX('Data Employee'!M:M,MATCH(A2,'Data Employee'!A:A,0))),"")</f>
        <v/>
      </c>
      <c r="L2" s="11" t="str">
        <f t="shared" ref="L2:L65" ca="1" si="1">IF(OR(K2="",K2&lt;TODAY()),IF(K2="","","Expired"),DATEDIF(TODAY(),K2,"D")&amp;" Days")</f>
        <v/>
      </c>
      <c r="M2" s="11" t="str">
        <f t="shared" ref="M2:M65" ca="1" si="2">IF(OR(K2="", D2="Permanent", NOT(ISNUMBER(K2))), "Active", IF(K2&lt;TODAY(), "Expired", IF(K2-TODAY()&lt;=30, "Urgent Renewal", IF(K2-TODAY()&lt;=60, "Review Needed", "Active"))))</f>
        <v>Active</v>
      </c>
    </row>
    <row r="3" spans="1:13" x14ac:dyDescent="0.35">
      <c r="A3">
        <v>201843228</v>
      </c>
      <c r="B3" t="str">
        <f>INDEX('Data Employee'!$B$2:$B$1000, MATCH(A3, 'Data Employee'!$A$2:$A$1000, 0))</f>
        <v>Aulia Kurniawan</v>
      </c>
      <c r="C3" t="str">
        <f>INDEX('Data Employee'!$G$2:$G$1000,MATCH(A3,'Data Employee'!$A$2:$A$1000,0))</f>
        <v>Female</v>
      </c>
      <c r="D3" s="9" t="str" cm="1">
        <f t="array" aca="1" ref="D3" ca="1">IF(J3="","",_xlfn.IFS(DATEDIF(J3,TODAY(),"M")&lt;12,"Contract 1",DATEDIF(J3,TODAY(),"M")&lt;36,"Contract 2",DATEDIF(J3,TODAY(),"M")&lt;60,"Contract 3",DATEDIF(J3,TODAY(),"M")&lt;63,"Probation",TRUE,"Permanent"))</f>
        <v>Permanent</v>
      </c>
      <c r="E3" s="9" t="str">
        <f t="shared" ca="1" si="0"/>
        <v>Permanent</v>
      </c>
      <c r="F3" s="9" t="str">
        <f>VLOOKUP(A3, 'Data Employee'!$A$2:$U$1000, 19, FALSE)</f>
        <v>Accounting</v>
      </c>
      <c r="G3" s="9" t="str">
        <f>VLOOKUP(A3, 'Data Employee'!$A$2:$U$1000, 20, FALSE)</f>
        <v>Management</v>
      </c>
      <c r="H3" s="9" t="str">
        <f>INDEX('Data Employee'!$W$2:$W$1000, MATCH(A3, 'Data Employee'!$A$2:$A$1000, 0))</f>
        <v>Accounting Officer</v>
      </c>
      <c r="I3" t="str">
        <f>INDEX('Data Employee'!$V$2:$V$1000,MATCH(A3,'Data Employee'!$A$2:$A$1000,0))</f>
        <v>Officer / Executive</v>
      </c>
      <c r="J3" s="18">
        <f>INDEX('Data Employee'!$L$2:$L$1000, MATCH(A3, 'Data Employee'!$A$2:$A$1000, 0))</f>
        <v>43228</v>
      </c>
      <c r="K3" s="19" t="str">
        <f>IFERROR(IF(INDEX('Data Employee'!M:M,MATCH(A3,'Data Employee'!A:A,0))="","",INDEX('Data Employee'!M:M,MATCH(A3,'Data Employee'!A:A,0))),"")</f>
        <v/>
      </c>
      <c r="L3" s="11" t="str">
        <f t="shared" ca="1" si="1"/>
        <v/>
      </c>
      <c r="M3" s="11" t="str">
        <f t="shared" ca="1" si="2"/>
        <v>Active</v>
      </c>
    </row>
    <row r="4" spans="1:13" x14ac:dyDescent="0.35">
      <c r="A4">
        <v>202043936</v>
      </c>
      <c r="B4" t="str">
        <f>INDEX('Data Employee'!$B$2:$B$1000, MATCH(A4, 'Data Employee'!$A$2:$A$1000, 0))</f>
        <v>Putri Ramadhan</v>
      </c>
      <c r="C4" t="str">
        <f>INDEX('Data Employee'!$G$2:$G$1000,MATCH(A4,'Data Employee'!$A$2:$A$1000,0))</f>
        <v>Female</v>
      </c>
      <c r="D4" s="9" t="str" cm="1">
        <f t="array" aca="1" ref="D4" ca="1">IF(J4="","",_xlfn.IFS(DATEDIF(J4,TODAY(),"M")&lt;12,"Contract 1",DATEDIF(J4,TODAY(),"M")&lt;36,"Contract 2",DATEDIF(J4,TODAY(),"M")&lt;60,"Contract 3",DATEDIF(J4,TODAY(),"M")&lt;63,"Probation",TRUE,"Permanent"))</f>
        <v>Contract 3</v>
      </c>
      <c r="E4" s="9" t="str">
        <f t="shared" ca="1" si="0"/>
        <v>60 Month</v>
      </c>
      <c r="F4" s="9" t="str">
        <f>VLOOKUP(A4, 'Data Employee'!$A$2:$U$1000, 19, FALSE)</f>
        <v>Accounting</v>
      </c>
      <c r="G4" s="9" t="str">
        <f>VLOOKUP(A4, 'Data Employee'!$A$2:$U$1000, 20, FALSE)</f>
        <v>Management</v>
      </c>
      <c r="H4" s="9" t="str">
        <f>INDEX('Data Employee'!$W$2:$W$1000, MATCH(A4, 'Data Employee'!$A$2:$A$1000, 0))</f>
        <v>Accounting Staff</v>
      </c>
      <c r="I4" t="str">
        <f>INDEX('Data Employee'!$V$2:$V$1000,MATCH(A4,'Data Employee'!$A$2:$A$1000,0))</f>
        <v>Staff</v>
      </c>
      <c r="J4" s="18">
        <f>INDEX('Data Employee'!$L$2:$L$1000, MATCH(A4, 'Data Employee'!$A$2:$A$1000, 0))</f>
        <v>45031</v>
      </c>
      <c r="K4" s="19">
        <f>IFERROR(IF(INDEX('Data Employee'!M:M,MATCH(A4,'Data Employee'!A:A,0))="","",INDEX('Data Employee'!M:M,MATCH(A4,'Data Employee'!A:A,0))),"")</f>
        <v>46858</v>
      </c>
      <c r="L4" s="11" t="str">
        <f t="shared" ca="1" si="1"/>
        <v>622 Days</v>
      </c>
      <c r="M4" s="11" t="str">
        <f t="shared" ca="1" si="2"/>
        <v>Active</v>
      </c>
    </row>
    <row r="5" spans="1:13" x14ac:dyDescent="0.35">
      <c r="A5">
        <v>201743026</v>
      </c>
      <c r="B5" t="str">
        <f>INDEX('Data Employee'!$B$2:$B$1000, MATCH(A5, 'Data Employee'!$A$2:$A$1000, 0))</f>
        <v>Indah Wijaya</v>
      </c>
      <c r="C5" t="str">
        <f>INDEX('Data Employee'!$G$2:$G$1000,MATCH(A5,'Data Employee'!$A$2:$A$1000,0))</f>
        <v>Female</v>
      </c>
      <c r="D5" s="9" t="str" cm="1">
        <f t="array" aca="1" ref="D5" ca="1">IF(J5="","",_xlfn.IFS(DATEDIF(J5,TODAY(),"M")&lt;12,"Contract 1",DATEDIF(J5,TODAY(),"M")&lt;36,"Contract 2",DATEDIF(J5,TODAY(),"M")&lt;60,"Contract 3",DATEDIF(J5,TODAY(),"M")&lt;63,"Probation",TRUE,"Permanent"))</f>
        <v>Contract 2</v>
      </c>
      <c r="E5" s="9" t="str">
        <f t="shared" ca="1" si="0"/>
        <v>24 Month</v>
      </c>
      <c r="F5" s="9" t="str">
        <f>VLOOKUP(A5, 'Data Employee'!$A$2:$U$1000, 19, FALSE)</f>
        <v>Economics</v>
      </c>
      <c r="G5" s="9" t="str">
        <f>VLOOKUP(A5, 'Data Employee'!$A$2:$U$1000, 20, FALSE)</f>
        <v>Management</v>
      </c>
      <c r="H5" s="9" t="str">
        <f>INDEX('Data Employee'!$W$2:$W$1000, MATCH(A5, 'Data Employee'!$A$2:$A$1000, 0))</f>
        <v>Accounting Staff</v>
      </c>
      <c r="I5" t="str">
        <f>INDEX('Data Employee'!$V$2:$V$1000,MATCH(A5,'Data Employee'!$A$2:$A$1000,0))</f>
        <v>Staff</v>
      </c>
      <c r="J5" s="18">
        <f>INDEX('Data Employee'!$L$2:$L$1000, MATCH(A5, 'Data Employee'!$A$2:$A$1000, 0))</f>
        <v>45583</v>
      </c>
      <c r="K5" s="19">
        <f>IFERROR(IF(INDEX('Data Employee'!M:M,MATCH(A5,'Data Employee'!A:A,0))="","",INDEX('Data Employee'!M:M,MATCH(A5,'Data Employee'!A:A,0))),"")</f>
        <v>47409</v>
      </c>
      <c r="L5" s="11" t="str">
        <f t="shared" ca="1" si="1"/>
        <v>1173 Days</v>
      </c>
      <c r="M5" s="11" t="str">
        <f t="shared" ca="1" si="2"/>
        <v>Active</v>
      </c>
    </row>
    <row r="6" spans="1:13" x14ac:dyDescent="0.35">
      <c r="A6">
        <v>201642668</v>
      </c>
      <c r="B6" t="str">
        <f>INDEX('Data Employee'!$B$2:$B$1000, MATCH(A6, 'Data Employee'!$A$2:$A$1000, 0))</f>
        <v>Yulia Kurniawan</v>
      </c>
      <c r="C6" t="str">
        <f>INDEX('Data Employee'!$G$2:$G$1000,MATCH(A6,'Data Employee'!$A$2:$A$1000,0))</f>
        <v>Female</v>
      </c>
      <c r="D6" s="9" t="str" cm="1">
        <f t="array" aca="1" ref="D6" ca="1">IF(J6="","",_xlfn.IFS(DATEDIF(J6,TODAY(),"M")&lt;12,"Contract 1",DATEDIF(J6,TODAY(),"M")&lt;36,"Contract 2",DATEDIF(J6,TODAY(),"M")&lt;60,"Contract 3",DATEDIF(J6,TODAY(),"M")&lt;63,"Probation",TRUE,"Permanent"))</f>
        <v>Contract 3</v>
      </c>
      <c r="E6" s="9" t="str">
        <f t="shared" ca="1" si="0"/>
        <v>60 Month</v>
      </c>
      <c r="F6" s="9" t="str">
        <f>VLOOKUP(A6, 'Data Employee'!$A$2:$U$1000, 19, FALSE)</f>
        <v>Business Administration</v>
      </c>
      <c r="G6" s="9" t="str">
        <f>VLOOKUP(A6, 'Data Employee'!$A$2:$U$1000, 20, FALSE)</f>
        <v>Management</v>
      </c>
      <c r="H6" s="9" t="str">
        <f>INDEX('Data Employee'!$W$2:$W$1000, MATCH(A6, 'Data Employee'!$A$2:$A$1000, 0))</f>
        <v>Accounting Administration Staff</v>
      </c>
      <c r="I6" t="str">
        <f>INDEX('Data Employee'!$V$2:$V$1000,MATCH(A6,'Data Employee'!$A$2:$A$1000,0))</f>
        <v>Administrator</v>
      </c>
      <c r="J6" s="18">
        <f>INDEX('Data Employee'!$L$2:$L$1000, MATCH(A6, 'Data Employee'!$A$2:$A$1000, 0))</f>
        <v>44494</v>
      </c>
      <c r="K6" s="19">
        <f>IFERROR(IF(INDEX('Data Employee'!M:M,MATCH(A6,'Data Employee'!A:A,0))="","",INDEX('Data Employee'!M:M,MATCH(A6,'Data Employee'!A:A,0))),"")</f>
        <v>46412</v>
      </c>
      <c r="L6" s="11" t="str">
        <f t="shared" ca="1" si="1"/>
        <v>176 Days</v>
      </c>
      <c r="M6" s="11" t="str">
        <f t="shared" ca="1" si="2"/>
        <v>Active</v>
      </c>
    </row>
    <row r="7" spans="1:13" x14ac:dyDescent="0.35">
      <c r="A7">
        <v>201843210</v>
      </c>
      <c r="B7" t="str">
        <f>INDEX('Data Employee'!$B$2:$B$1000, MATCH(A7, 'Data Employee'!$A$2:$A$1000, 0))</f>
        <v>Rudi Saputra</v>
      </c>
      <c r="C7" t="str">
        <f>INDEX('Data Employee'!$G$2:$G$1000,MATCH(A7,'Data Employee'!$A$2:$A$1000,0))</f>
        <v>Male</v>
      </c>
      <c r="D7" s="9" t="str" cm="1">
        <f t="array" aca="1" ref="D7" ca="1">IF(J7="","",_xlfn.IFS(DATEDIF(J7,TODAY(),"M")&lt;12,"Contract 1",DATEDIF(J7,TODAY(),"M")&lt;36,"Contract 2",DATEDIF(J7,TODAY(),"M")&lt;60,"Contract 3",DATEDIF(J7,TODAY(),"M")&lt;63,"Probation",TRUE,"Permanent"))</f>
        <v>Permanent</v>
      </c>
      <c r="E7" s="9" t="str">
        <f t="shared" ca="1" si="0"/>
        <v>Permanent</v>
      </c>
      <c r="F7" s="9" t="str">
        <f>VLOOKUP(A7, 'Data Employee'!$A$2:$U$1000, 19, FALSE)</f>
        <v>Accounting</v>
      </c>
      <c r="G7" s="9" t="str">
        <f>VLOOKUP(A7, 'Data Employee'!$A$2:$U$1000, 20, FALSE)</f>
        <v>Management</v>
      </c>
      <c r="H7" s="9" t="str">
        <f>INDEX('Data Employee'!$W$2:$W$1000, MATCH(A7, 'Data Employee'!$A$2:$A$1000, 0))</f>
        <v>Accounting Supervisor</v>
      </c>
      <c r="I7" t="str">
        <f>INDEX('Data Employee'!$V$2:$V$1000,MATCH(A7,'Data Employee'!$A$2:$A$1000,0))</f>
        <v>Supervisor</v>
      </c>
      <c r="J7" s="18">
        <f>INDEX('Data Employee'!$L$2:$L$1000, MATCH(A7, 'Data Employee'!$A$2:$A$1000, 0))</f>
        <v>43210</v>
      </c>
      <c r="K7" s="19" t="str">
        <f>IFERROR(IF(INDEX('Data Employee'!M:M,MATCH(A7,'Data Employee'!A:A,0))="","",INDEX('Data Employee'!M:M,MATCH(A7,'Data Employee'!A:A,0))),"")</f>
        <v/>
      </c>
      <c r="L7" s="11" t="str">
        <f t="shared" ca="1" si="1"/>
        <v/>
      </c>
      <c r="M7" s="11" t="str">
        <f t="shared" ca="1" si="2"/>
        <v>Active</v>
      </c>
    </row>
    <row r="8" spans="1:13" x14ac:dyDescent="0.35">
      <c r="A8">
        <v>202043917</v>
      </c>
      <c r="B8" t="str">
        <f>INDEX('Data Employee'!$B$2:$B$1000, MATCH(A8, 'Data Employee'!$A$2:$A$1000, 0))</f>
        <v>Nadia Wijaya</v>
      </c>
      <c r="C8" t="str">
        <f>INDEX('Data Employee'!$G$2:$G$1000,MATCH(A8,'Data Employee'!$A$2:$A$1000,0))</f>
        <v>Female</v>
      </c>
      <c r="D8" s="9" t="str" cm="1">
        <f t="array" aca="1" ref="D8" ca="1">IF(J8="","",_xlfn.IFS(DATEDIF(J8,TODAY(),"M")&lt;12,"Contract 1",DATEDIF(J8,TODAY(),"M")&lt;36,"Contract 2",DATEDIF(J8,TODAY(),"M")&lt;60,"Contract 3",DATEDIF(J8,TODAY(),"M")&lt;63,"Probation",TRUE,"Permanent"))</f>
        <v>Permanent</v>
      </c>
      <c r="E8" s="9" t="str">
        <f t="shared" ca="1" si="0"/>
        <v>Permanent</v>
      </c>
      <c r="F8" s="9" t="str">
        <f>VLOOKUP(A8, 'Data Employee'!$A$2:$U$1000, 19, FALSE)</f>
        <v>Accounting</v>
      </c>
      <c r="G8" s="9" t="str">
        <f>VLOOKUP(A8, 'Data Employee'!$A$2:$U$1000, 20, FALSE)</f>
        <v>Corporate Governance</v>
      </c>
      <c r="H8" s="9" t="str">
        <f>INDEX('Data Employee'!$W$2:$W$1000, MATCH(A8, 'Data Employee'!$A$2:$A$1000, 0))</f>
        <v>Audit Committee Staff</v>
      </c>
      <c r="I8" t="str">
        <f>INDEX('Data Employee'!$V$2:$V$1000,MATCH(A8,'Data Employee'!$A$2:$A$1000,0))</f>
        <v>Staff</v>
      </c>
      <c r="J8" s="18">
        <f>INDEX('Data Employee'!$L$2:$L$1000, MATCH(A8, 'Data Employee'!$A$2:$A$1000, 0))</f>
        <v>43186</v>
      </c>
      <c r="K8" s="19" t="str">
        <f>IFERROR(IF(INDEX('Data Employee'!M:M,MATCH(A8,'Data Employee'!A:A,0))="","",INDEX('Data Employee'!M:M,MATCH(A8,'Data Employee'!A:A,0))),"")</f>
        <v/>
      </c>
      <c r="L8" s="11" t="str">
        <f t="shared" ca="1" si="1"/>
        <v/>
      </c>
      <c r="M8" s="11" t="str">
        <f t="shared" ca="1" si="2"/>
        <v>Active</v>
      </c>
    </row>
    <row r="9" spans="1:13" x14ac:dyDescent="0.35">
      <c r="A9">
        <v>201642597</v>
      </c>
      <c r="B9" t="str">
        <f>INDEX('Data Employee'!$B$2:$B$1000, MATCH(A9, 'Data Employee'!$A$2:$A$1000, 0))</f>
        <v>Dedi Wijaya</v>
      </c>
      <c r="C9" t="str">
        <f>INDEX('Data Employee'!$G$2:$G$1000,MATCH(A9,'Data Employee'!$A$2:$A$1000,0))</f>
        <v>Male</v>
      </c>
      <c r="D9" s="9" t="str" cm="1">
        <f t="array" aca="1" ref="D9" ca="1">IF(J9="","",_xlfn.IFS(DATEDIF(J9,TODAY(),"M")&lt;12,"Contract 1",DATEDIF(J9,TODAY(),"M")&lt;36,"Contract 2",DATEDIF(J9,TODAY(),"M")&lt;60,"Contract 3",DATEDIF(J9,TODAY(),"M")&lt;63,"Probation",TRUE,"Permanent"))</f>
        <v>Permanent</v>
      </c>
      <c r="E9" s="9" t="str">
        <f t="shared" ca="1" si="0"/>
        <v>Permanent</v>
      </c>
      <c r="F9" s="9" t="str">
        <f>VLOOKUP(A9, 'Data Employee'!$A$2:$U$1000, 19, FALSE)</f>
        <v>Accounting</v>
      </c>
      <c r="G9" s="9" t="str">
        <f>VLOOKUP(A9, 'Data Employee'!$A$2:$U$1000, 20, FALSE)</f>
        <v>Corporate Governance</v>
      </c>
      <c r="H9" s="9" t="str">
        <f>INDEX('Data Employee'!$W$2:$W$1000, MATCH(A9, 'Data Employee'!$A$2:$A$1000, 0))</f>
        <v>Audit Committee Manager</v>
      </c>
      <c r="I9" t="str">
        <f>INDEX('Data Employee'!$V$2:$V$1000,MATCH(A9,'Data Employee'!$A$2:$A$1000,0))</f>
        <v>Manager</v>
      </c>
      <c r="J9" s="18">
        <f>INDEX('Data Employee'!$L$2:$L$1000, MATCH(A9, 'Data Employee'!$A$2:$A$1000, 0))</f>
        <v>42597</v>
      </c>
      <c r="K9" s="19" t="str">
        <f>IFERROR(IF(INDEX('Data Employee'!M:M,MATCH(A9,'Data Employee'!A:A,0))="","",INDEX('Data Employee'!M:M,MATCH(A9,'Data Employee'!A:A,0))),"")</f>
        <v/>
      </c>
      <c r="L9" s="11" t="str">
        <f t="shared" ca="1" si="1"/>
        <v/>
      </c>
      <c r="M9" s="11" t="str">
        <f t="shared" ca="1" si="2"/>
        <v>Active</v>
      </c>
    </row>
    <row r="10" spans="1:13" x14ac:dyDescent="0.35">
      <c r="A10">
        <v>202043908</v>
      </c>
      <c r="B10" t="str">
        <f>INDEX('Data Employee'!$B$2:$B$1000, MATCH(A10, 'Data Employee'!$A$2:$A$1000, 0))</f>
        <v>Andi Ramadhan</v>
      </c>
      <c r="C10" t="str">
        <f>INDEX('Data Employee'!$G$2:$G$1000,MATCH(A10,'Data Employee'!$A$2:$A$1000,0))</f>
        <v>Male</v>
      </c>
      <c r="D10" s="9" t="str" cm="1">
        <f t="array" aca="1" ref="D10" ca="1">IF(J10="","",_xlfn.IFS(DATEDIF(J10,TODAY(),"M")&lt;12,"Contract 1",DATEDIF(J10,TODAY(),"M")&lt;36,"Contract 2",DATEDIF(J10,TODAY(),"M")&lt;60,"Contract 3",DATEDIF(J10,TODAY(),"M")&lt;63,"Probation",TRUE,"Permanent"))</f>
        <v>Permanent</v>
      </c>
      <c r="E10" s="9" t="str">
        <f t="shared" ca="1" si="0"/>
        <v>Permanent</v>
      </c>
      <c r="F10" s="9" t="str">
        <f>VLOOKUP(A10, 'Data Employee'!$A$2:$U$1000, 19, FALSE)</f>
        <v>Management</v>
      </c>
      <c r="G10" s="9" t="str">
        <f>VLOOKUP(A10, 'Data Employee'!$A$2:$U$1000, 20, FALSE)</f>
        <v>Corporate Governance</v>
      </c>
      <c r="H10" s="9" t="str">
        <f>INDEX('Data Employee'!$W$2:$W$1000, MATCH(A10, 'Data Employee'!$A$2:$A$1000, 0))</f>
        <v>Audit Committee Staff</v>
      </c>
      <c r="I10" t="str">
        <f>INDEX('Data Employee'!$V$2:$V$1000,MATCH(A10,'Data Employee'!$A$2:$A$1000,0))</f>
        <v>Staff</v>
      </c>
      <c r="J10" s="18">
        <f>INDEX('Data Employee'!$L$2:$L$1000, MATCH(A10, 'Data Employee'!$A$2:$A$1000, 0))</f>
        <v>43542</v>
      </c>
      <c r="K10" s="19" t="str">
        <f>IFERROR(IF(INDEX('Data Employee'!M:M,MATCH(A10,'Data Employee'!A:A,0))="","",INDEX('Data Employee'!M:M,MATCH(A10,'Data Employee'!A:A,0))),"")</f>
        <v/>
      </c>
      <c r="L10" s="11" t="str">
        <f t="shared" ca="1" si="1"/>
        <v/>
      </c>
      <c r="M10" s="11" t="str">
        <f t="shared" ca="1" si="2"/>
        <v>Active</v>
      </c>
    </row>
    <row r="11" spans="1:13" x14ac:dyDescent="0.35">
      <c r="A11">
        <v>202043954</v>
      </c>
      <c r="B11" t="str">
        <f>INDEX('Data Employee'!$B$2:$B$1000, MATCH(A11, 'Data Employee'!$A$2:$A$1000, 0))</f>
        <v>Nadia Lestari</v>
      </c>
      <c r="C11" t="str">
        <f>INDEX('Data Employee'!$G$2:$G$1000,MATCH(A11,'Data Employee'!$A$2:$A$1000,0))</f>
        <v>Female</v>
      </c>
      <c r="D11" s="9" t="str" cm="1">
        <f t="array" aca="1" ref="D11" ca="1">IF(J11="","",_xlfn.IFS(DATEDIF(J11,TODAY(),"M")&lt;12,"Contract 1",DATEDIF(J11,TODAY(),"M")&lt;36,"Contract 2",DATEDIF(J11,TODAY(),"M")&lt;60,"Contract 3",DATEDIF(J11,TODAY(),"M")&lt;63,"Probation",TRUE,"Permanent"))</f>
        <v>Permanent</v>
      </c>
      <c r="E11" s="9" t="str">
        <f t="shared" ca="1" si="0"/>
        <v>Permanent</v>
      </c>
      <c r="F11" s="9" t="str">
        <f>VLOOKUP(A11, 'Data Employee'!$A$2:$U$1000, 19, FALSE)</f>
        <v>Psychology</v>
      </c>
      <c r="G11" s="9" t="str">
        <f>VLOOKUP(A11, 'Data Employee'!$A$2:$U$1000, 20, FALSE)</f>
        <v>Corporate Governance</v>
      </c>
      <c r="H11" s="9" t="str">
        <f>INDEX('Data Employee'!$W$2:$W$1000, MATCH(A11, 'Data Employee'!$A$2:$A$1000, 0))</f>
        <v>Chairman Commissioner</v>
      </c>
      <c r="I11" t="str">
        <f>INDEX('Data Employee'!$V$2:$V$1000,MATCH(A11,'Data Employee'!$A$2:$A$1000,0))</f>
        <v>Chairman Commissioner</v>
      </c>
      <c r="J11" s="18">
        <f>INDEX('Data Employee'!$L$2:$L$1000, MATCH(A11, 'Data Employee'!$A$2:$A$1000, 0))</f>
        <v>38110</v>
      </c>
      <c r="K11" s="19" t="str">
        <f>IFERROR(IF(INDEX('Data Employee'!M:M,MATCH(A11,'Data Employee'!A:A,0))="","",INDEX('Data Employee'!M:M,MATCH(A11,'Data Employee'!A:A,0))),"")</f>
        <v/>
      </c>
      <c r="L11" s="11" t="str">
        <f t="shared" ca="1" si="1"/>
        <v/>
      </c>
      <c r="M11" s="11" t="str">
        <f t="shared" ca="1" si="2"/>
        <v>Active</v>
      </c>
    </row>
    <row r="12" spans="1:13" x14ac:dyDescent="0.35">
      <c r="A12">
        <v>201943658</v>
      </c>
      <c r="B12" t="str">
        <f>INDEX('Data Employee'!$B$2:$B$1000, MATCH(A12, 'Data Employee'!$A$2:$A$1000, 0))</f>
        <v>Yusuf Pratama</v>
      </c>
      <c r="C12" t="str">
        <f>INDEX('Data Employee'!$G$2:$G$1000,MATCH(A12,'Data Employee'!$A$2:$A$1000,0))</f>
        <v>Male</v>
      </c>
      <c r="D12" s="9" t="str" cm="1">
        <f t="array" aca="1" ref="D12" ca="1">IF(J12="","",_xlfn.IFS(DATEDIF(J12,TODAY(),"M")&lt;12,"Contract 1",DATEDIF(J12,TODAY(),"M")&lt;36,"Contract 2",DATEDIF(J12,TODAY(),"M")&lt;60,"Contract 3",DATEDIF(J12,TODAY(),"M")&lt;63,"Probation",TRUE,"Permanent"))</f>
        <v>Permanent</v>
      </c>
      <c r="E12" s="9" t="str">
        <f t="shared" ca="1" si="0"/>
        <v>Permanent</v>
      </c>
      <c r="F12" s="9" t="str">
        <f>VLOOKUP(A12, 'Data Employee'!$A$2:$U$1000, 19, FALSE)</f>
        <v>Law</v>
      </c>
      <c r="G12" s="9" t="str">
        <f>VLOOKUP(A12, 'Data Employee'!$A$2:$U$1000, 20, FALSE)</f>
        <v>Corporate Governance</v>
      </c>
      <c r="H12" s="9" t="str">
        <f>INDEX('Data Employee'!$W$2:$W$1000, MATCH(A12, 'Data Employee'!$A$2:$A$1000, 0))</f>
        <v>Commissioner</v>
      </c>
      <c r="I12" t="str">
        <f>INDEX('Data Employee'!$V$2:$V$1000,MATCH(A12,'Data Employee'!$A$2:$A$1000,0))</f>
        <v>Commissioner</v>
      </c>
      <c r="J12" s="18">
        <f>INDEX('Data Employee'!$L$2:$L$1000, MATCH(A12, 'Data Employee'!$A$2:$A$1000, 0))</f>
        <v>37084</v>
      </c>
      <c r="K12" s="19" t="str">
        <f>IFERROR(IF(INDEX('Data Employee'!M:M,MATCH(A12,'Data Employee'!A:A,0))="","",INDEX('Data Employee'!M:M,MATCH(A12,'Data Employee'!A:A,0))),"")</f>
        <v/>
      </c>
      <c r="L12" s="11" t="str">
        <f t="shared" ca="1" si="1"/>
        <v/>
      </c>
      <c r="M12" s="11" t="str">
        <f t="shared" ca="1" si="2"/>
        <v>Active</v>
      </c>
    </row>
    <row r="13" spans="1:13" x14ac:dyDescent="0.35">
      <c r="A13">
        <v>201441797</v>
      </c>
      <c r="B13" t="str">
        <f>INDEX('Data Employee'!$B$2:$B$1000, MATCH(A13, 'Data Employee'!$A$2:$A$1000, 0))</f>
        <v>Dedi Permata</v>
      </c>
      <c r="C13" t="str">
        <f>INDEX('Data Employee'!$G$2:$G$1000,MATCH(A13,'Data Employee'!$A$2:$A$1000,0))</f>
        <v>Male</v>
      </c>
      <c r="D13" s="9" t="str" cm="1">
        <f t="array" aca="1" ref="D13" ca="1">IF(J13="","",_xlfn.IFS(DATEDIF(J13,TODAY(),"M")&lt;12,"Contract 1",DATEDIF(J13,TODAY(),"M")&lt;36,"Contract 2",DATEDIF(J13,TODAY(),"M")&lt;60,"Contract 3",DATEDIF(J13,TODAY(),"M")&lt;63,"Probation",TRUE,"Permanent"))</f>
        <v>Permanent</v>
      </c>
      <c r="E13" s="9" t="str">
        <f t="shared" ca="1" si="0"/>
        <v>Permanent</v>
      </c>
      <c r="F13" s="9" t="str">
        <f>VLOOKUP(A13, 'Data Employee'!$A$2:$U$1000, 19, FALSE)</f>
        <v>Accounting</v>
      </c>
      <c r="G13" s="9" t="str">
        <f>VLOOKUP(A13, 'Data Employee'!$A$2:$U$1000, 20, FALSE)</f>
        <v>Corporate Governance</v>
      </c>
      <c r="H13" s="9" t="str">
        <f>INDEX('Data Employee'!$W$2:$W$1000, MATCH(A13, 'Data Employee'!$A$2:$A$1000, 0))</f>
        <v>Commissioner</v>
      </c>
      <c r="I13" t="str">
        <f>INDEX('Data Employee'!$V$2:$V$1000,MATCH(A13,'Data Employee'!$A$2:$A$1000,0))</f>
        <v>Commissioner</v>
      </c>
      <c r="J13" s="18">
        <f>INDEX('Data Employee'!$L$2:$L$1000, MATCH(A13, 'Data Employee'!$A$2:$A$1000, 0))</f>
        <v>37414</v>
      </c>
      <c r="K13" s="19" t="str">
        <f>IFERROR(IF(INDEX('Data Employee'!M:M,MATCH(A13,'Data Employee'!A:A,0))="","",INDEX('Data Employee'!M:M,MATCH(A13,'Data Employee'!A:A,0))),"")</f>
        <v/>
      </c>
      <c r="L13" s="11" t="str">
        <f t="shared" ca="1" si="1"/>
        <v/>
      </c>
      <c r="M13" s="11" t="str">
        <f t="shared" ca="1" si="2"/>
        <v>Active</v>
      </c>
    </row>
    <row r="14" spans="1:13" x14ac:dyDescent="0.35">
      <c r="A14">
        <v>202244911</v>
      </c>
      <c r="B14" t="str">
        <f>INDEX('Data Employee'!$B$2:$B$1000, MATCH(A14, 'Data Employee'!$A$2:$A$1000, 0))</f>
        <v>Monica Putri Ayu</v>
      </c>
      <c r="C14" t="str">
        <f>INDEX('Data Employee'!$G$2:$G$1000,MATCH(A14,'Data Employee'!$A$2:$A$1000,0))</f>
        <v>Female</v>
      </c>
      <c r="D14" s="9" t="str" cm="1">
        <f t="array" aca="1" ref="D14" ca="1">IF(J14="","",_xlfn.IFS(DATEDIF(J14,TODAY(),"M")&lt;12,"Contract 1",DATEDIF(J14,TODAY(),"M")&lt;36,"Contract 2",DATEDIF(J14,TODAY(),"M")&lt;60,"Contract 3",DATEDIF(J14,TODAY(),"M")&lt;63,"Probation",TRUE,"Permanent"))</f>
        <v>Contract 3</v>
      </c>
      <c r="E14" s="9" t="str">
        <f t="shared" ca="1" si="0"/>
        <v>60 Month</v>
      </c>
      <c r="F14" s="9" t="str">
        <f>VLOOKUP(A14, 'Data Employee'!$A$2:$U$1000, 19, FALSE)</f>
        <v>Business Administration</v>
      </c>
      <c r="G14" s="9" t="str">
        <f>VLOOKUP(A14, 'Data Employee'!$A$2:$U$1000, 20, FALSE)</f>
        <v>Corporate Governance</v>
      </c>
      <c r="H14" s="9" t="str">
        <f>INDEX('Data Employee'!$W$2:$W$1000, MATCH(A14, 'Data Employee'!$A$2:$A$1000, 0))</f>
        <v>Corporate Secretary</v>
      </c>
      <c r="I14" t="str">
        <f>INDEX('Data Employee'!$V$2:$V$1000,MATCH(A14,'Data Employee'!$A$2:$A$1000,0))</f>
        <v>Officer / Executive</v>
      </c>
      <c r="J14" s="18">
        <f>INDEX('Data Employee'!$L$2:$L$1000, MATCH(A14, 'Data Employee'!$A$2:$A$1000, 0))</f>
        <v>44911</v>
      </c>
      <c r="K14" s="19">
        <f>IFERROR(IF(INDEX('Data Employee'!M:M,MATCH(A14,'Data Employee'!A:A,0))="","",INDEX('Data Employee'!M:M,MATCH(A14,'Data Employee'!A:A,0))),"")</f>
        <v>46737</v>
      </c>
      <c r="L14" s="11" t="str">
        <f t="shared" ca="1" si="1"/>
        <v>501 Days</v>
      </c>
      <c r="M14" s="11" t="str">
        <f t="shared" ca="1" si="2"/>
        <v>Active</v>
      </c>
    </row>
    <row r="15" spans="1:13" x14ac:dyDescent="0.35">
      <c r="A15">
        <v>201542050</v>
      </c>
      <c r="B15" t="str">
        <f>INDEX('Data Employee'!$B$2:$B$1000, MATCH(A15, 'Data Employee'!$A$2:$A$1000, 0))</f>
        <v>Fajar Hidayat</v>
      </c>
      <c r="C15" t="str">
        <f>INDEX('Data Employee'!$G$2:$G$1000,MATCH(A15,'Data Employee'!$A$2:$A$1000,0))</f>
        <v>Male</v>
      </c>
      <c r="D15" s="9" t="str" cm="1">
        <f t="array" aca="1" ref="D15" ca="1">IF(J15="","",_xlfn.IFS(DATEDIF(J15,TODAY(),"M")&lt;12,"Contract 1",DATEDIF(J15,TODAY(),"M")&lt;36,"Contract 2",DATEDIF(J15,TODAY(),"M")&lt;60,"Contract 3",DATEDIF(J15,TODAY(),"M")&lt;63,"Probation",TRUE,"Permanent"))</f>
        <v>Permanent</v>
      </c>
      <c r="E15" s="9" t="str">
        <f t="shared" ca="1" si="0"/>
        <v>Permanent</v>
      </c>
      <c r="F15" s="9" t="str">
        <f>VLOOKUP(A15, 'Data Employee'!$A$2:$U$1000, 19, FALSE)</f>
        <v>Economics</v>
      </c>
      <c r="G15" s="9" t="str">
        <f>VLOOKUP(A15, 'Data Employee'!$A$2:$U$1000, 20, FALSE)</f>
        <v>Management</v>
      </c>
      <c r="H15" s="9" t="str">
        <f>INDEX('Data Employee'!$W$2:$W$1000, MATCH(A15, 'Data Employee'!$A$2:$A$1000, 0))</f>
        <v>Finance Officer</v>
      </c>
      <c r="I15" t="str">
        <f>INDEX('Data Employee'!$V$2:$V$1000,MATCH(A15,'Data Employee'!$A$2:$A$1000,0))</f>
        <v>Officer / Executive</v>
      </c>
      <c r="J15" s="18">
        <f>INDEX('Data Employee'!$L$2:$L$1000, MATCH(A15, 'Data Employee'!$A$2:$A$1000, 0))</f>
        <v>42050</v>
      </c>
      <c r="K15" s="19" t="str">
        <f>IFERROR(IF(INDEX('Data Employee'!M:M,MATCH(A15,'Data Employee'!A:A,0))="","",INDEX('Data Employee'!M:M,MATCH(A15,'Data Employee'!A:A,0))),"")</f>
        <v/>
      </c>
      <c r="L15" s="11" t="str">
        <f t="shared" ca="1" si="1"/>
        <v/>
      </c>
      <c r="M15" s="11" t="str">
        <f t="shared" ca="1" si="2"/>
        <v>Active</v>
      </c>
    </row>
    <row r="16" spans="1:13" x14ac:dyDescent="0.35">
      <c r="A16">
        <v>202144304</v>
      </c>
      <c r="B16" t="str">
        <f>INDEX('Data Employee'!$B$2:$B$1000, MATCH(A16, 'Data Employee'!$A$2:$A$1000, 0))</f>
        <v>Aulia Wijaya</v>
      </c>
      <c r="C16" t="str">
        <f>INDEX('Data Employee'!$G$2:$G$1000,MATCH(A16,'Data Employee'!$A$2:$A$1000,0))</f>
        <v>Female</v>
      </c>
      <c r="D16" s="9" t="str" cm="1">
        <f t="array" aca="1" ref="D16" ca="1">IF(J16="","",_xlfn.IFS(DATEDIF(J16,TODAY(),"M")&lt;12,"Contract 1",DATEDIF(J16,TODAY(),"M")&lt;36,"Contract 2",DATEDIF(J16,TODAY(),"M")&lt;60,"Contract 3",DATEDIF(J16,TODAY(),"M")&lt;63,"Probation",TRUE,"Permanent"))</f>
        <v>Contract 2</v>
      </c>
      <c r="E16" s="9" t="str">
        <f t="shared" ca="1" si="0"/>
        <v>24 Month</v>
      </c>
      <c r="F16" s="9" t="str">
        <f>VLOOKUP(A16, 'Data Employee'!$A$2:$U$1000, 19, FALSE)</f>
        <v>Economics</v>
      </c>
      <c r="G16" s="9" t="str">
        <f>VLOOKUP(A16, 'Data Employee'!$A$2:$U$1000, 20, FALSE)</f>
        <v>Management</v>
      </c>
      <c r="H16" s="9" t="str">
        <f>INDEX('Data Employee'!$W$2:$W$1000, MATCH(A16, 'Data Employee'!$A$2:$A$1000, 0))</f>
        <v>Finance Officer</v>
      </c>
      <c r="I16" t="str">
        <f>INDEX('Data Employee'!$V$2:$V$1000,MATCH(A16,'Data Employee'!$A$2:$A$1000,0))</f>
        <v>Officer / Executive</v>
      </c>
      <c r="J16" s="18">
        <f>INDEX('Data Employee'!$L$2:$L$1000, MATCH(A16, 'Data Employee'!$A$2:$A$1000, 0))</f>
        <v>45765</v>
      </c>
      <c r="K16" s="19">
        <f>IFERROR(IF(INDEX('Data Employee'!M:M,MATCH(A16,'Data Employee'!A:A,0))="","",INDEX('Data Employee'!M:M,MATCH(A16,'Data Employee'!A:A,0))),"")</f>
        <v>46495</v>
      </c>
      <c r="L16" s="11" t="str">
        <f t="shared" ca="1" si="1"/>
        <v>259 Days</v>
      </c>
      <c r="M16" s="11" t="str">
        <f t="shared" ca="1" si="2"/>
        <v>Active</v>
      </c>
    </row>
    <row r="17" spans="1:13" x14ac:dyDescent="0.35">
      <c r="A17">
        <v>202043907</v>
      </c>
      <c r="B17" t="str">
        <f>INDEX('Data Employee'!$B$2:$B$1000, MATCH(A17, 'Data Employee'!$A$2:$A$1000, 0))</f>
        <v>Dewi Sari</v>
      </c>
      <c r="C17" t="str">
        <f>INDEX('Data Employee'!$G$2:$G$1000,MATCH(A17,'Data Employee'!$A$2:$A$1000,0))</f>
        <v>Female</v>
      </c>
      <c r="D17" s="9" t="str" cm="1">
        <f t="array" aca="1" ref="D17" ca="1">IF(J17="","",_xlfn.IFS(DATEDIF(J17,TODAY(),"M")&lt;12,"Contract 1",DATEDIF(J17,TODAY(),"M")&lt;36,"Contract 2",DATEDIF(J17,TODAY(),"M")&lt;60,"Contract 3",DATEDIF(J17,TODAY(),"M")&lt;63,"Probation",TRUE,"Permanent"))</f>
        <v>Permanent</v>
      </c>
      <c r="E17" s="9" t="str">
        <f t="shared" ca="1" si="0"/>
        <v>Permanent</v>
      </c>
      <c r="F17" s="9" t="str">
        <f>VLOOKUP(A17, 'Data Employee'!$A$2:$U$1000, 19, FALSE)</f>
        <v>Accounting</v>
      </c>
      <c r="G17" s="9" t="str">
        <f>VLOOKUP(A17, 'Data Employee'!$A$2:$U$1000, 20, FALSE)</f>
        <v>Management</v>
      </c>
      <c r="H17" s="9" t="str">
        <f>INDEX('Data Employee'!$W$2:$W$1000, MATCH(A17, 'Data Employee'!$A$2:$A$1000, 0))</f>
        <v>Finance Staff</v>
      </c>
      <c r="I17" t="str">
        <f>INDEX('Data Employee'!$V$2:$V$1000,MATCH(A17,'Data Employee'!$A$2:$A$1000,0))</f>
        <v>Staff</v>
      </c>
      <c r="J17" s="18">
        <f>INDEX('Data Employee'!$L$2:$L$1000, MATCH(A17, 'Data Employee'!$A$2:$A$1000, 0))</f>
        <v>43907</v>
      </c>
      <c r="K17" s="19" t="str">
        <f>IFERROR(IF(INDEX('Data Employee'!M:M,MATCH(A17,'Data Employee'!A:A,0))="","",INDEX('Data Employee'!M:M,MATCH(A17,'Data Employee'!A:A,0))),"")</f>
        <v/>
      </c>
      <c r="L17" s="11" t="str">
        <f t="shared" ca="1" si="1"/>
        <v/>
      </c>
      <c r="M17" s="11" t="str">
        <f t="shared" ca="1" si="2"/>
        <v>Active</v>
      </c>
    </row>
    <row r="18" spans="1:13" x14ac:dyDescent="0.35">
      <c r="A18">
        <v>201742744</v>
      </c>
      <c r="B18" t="str">
        <f>INDEX('Data Employee'!$B$2:$B$1000, MATCH(A18, 'Data Employee'!$A$2:$A$1000, 0))</f>
        <v>Nadia Santoso</v>
      </c>
      <c r="C18" t="str">
        <f>INDEX('Data Employee'!$G$2:$G$1000,MATCH(A18,'Data Employee'!$A$2:$A$1000,0))</f>
        <v>Female</v>
      </c>
      <c r="D18" s="9" t="str" cm="1">
        <f t="array" aca="1" ref="D18" ca="1">IF(J18="","",_xlfn.IFS(DATEDIF(J18,TODAY(),"M")&lt;12,"Contract 1",DATEDIF(J18,TODAY(),"M")&lt;36,"Contract 2",DATEDIF(J18,TODAY(),"M")&lt;60,"Contract 3",DATEDIF(J18,TODAY(),"M")&lt;63,"Probation",TRUE,"Permanent"))</f>
        <v>Contract 1</v>
      </c>
      <c r="E18" s="9" t="str">
        <f t="shared" ca="1" si="0"/>
        <v>12 Month</v>
      </c>
      <c r="F18" s="9" t="str">
        <f>VLOOKUP(A18, 'Data Employee'!$A$2:$U$1000, 19, FALSE)</f>
        <v>Communication</v>
      </c>
      <c r="G18" s="9" t="str">
        <f>VLOOKUP(A18, 'Data Employee'!$A$2:$U$1000, 20, FALSE)</f>
        <v>Management</v>
      </c>
      <c r="H18" s="9" t="str">
        <f>INDEX('Data Employee'!$W$2:$W$1000, MATCH(A18, 'Data Employee'!$A$2:$A$1000, 0))</f>
        <v>Finance Administration Staff</v>
      </c>
      <c r="I18" t="str">
        <f>INDEX('Data Employee'!$V$2:$V$1000,MATCH(A18,'Data Employee'!$A$2:$A$1000,0))</f>
        <v>Administrator</v>
      </c>
      <c r="J18" s="18">
        <f>INDEX('Data Employee'!$L$2:$L$1000, MATCH(A18, 'Data Employee'!$A$2:$A$1000, 0))</f>
        <v>46031</v>
      </c>
      <c r="K18" s="19">
        <f>IFERROR(IF(INDEX('Data Employee'!M:M,MATCH(A18,'Data Employee'!A:A,0))="","",INDEX('Data Employee'!M:M,MATCH(A18,'Data Employee'!A:A,0))),"")</f>
        <v>46396</v>
      </c>
      <c r="L18" s="11" t="str">
        <f t="shared" ca="1" si="1"/>
        <v>160 Days</v>
      </c>
      <c r="M18" s="11" t="str">
        <f t="shared" ca="1" si="2"/>
        <v>Active</v>
      </c>
    </row>
    <row r="19" spans="1:13" x14ac:dyDescent="0.35">
      <c r="A19">
        <v>202445629</v>
      </c>
      <c r="B19" t="str">
        <f>INDEX('Data Employee'!$B$2:$B$1000, MATCH(A19, 'Data Employee'!$A$2:$A$1000, 0))</f>
        <v>Jajang Kusuma</v>
      </c>
      <c r="C19" t="str">
        <f>INDEX('Data Employee'!$G$2:$G$1000,MATCH(A19,'Data Employee'!$A$2:$A$1000,0))</f>
        <v>Male</v>
      </c>
      <c r="D19" s="9" t="str" cm="1">
        <f t="array" aca="1" ref="D19" ca="1">IF(J19="","",_xlfn.IFS(DATEDIF(J19,TODAY(),"M")&lt;12,"Contract 1",DATEDIF(J19,TODAY(),"M")&lt;36,"Contract 2",DATEDIF(J19,TODAY(),"M")&lt;60,"Contract 3",DATEDIF(J19,TODAY(),"M")&lt;63,"Probation",TRUE,"Permanent"))</f>
        <v>Permanent</v>
      </c>
      <c r="E19" s="9" t="str">
        <f t="shared" ca="1" si="0"/>
        <v>Permanent</v>
      </c>
      <c r="F19" s="9" t="str">
        <f>VLOOKUP(A19, 'Data Employee'!$A$2:$U$1000, 19, FALSE)</f>
        <v>Accounting</v>
      </c>
      <c r="G19" s="9" t="str">
        <f>VLOOKUP(A19, 'Data Employee'!$A$2:$U$1000, 20, FALSE)</f>
        <v>Management</v>
      </c>
      <c r="H19" s="9" t="str">
        <f>INDEX('Data Employee'!$W$2:$W$1000, MATCH(A19, 'Data Employee'!$A$2:$A$1000, 0))</f>
        <v>Finance Manager</v>
      </c>
      <c r="I19" t="str">
        <f>INDEX('Data Employee'!$V$2:$V$1000,MATCH(A19,'Data Employee'!$A$2:$A$1000,0))</f>
        <v>Manager</v>
      </c>
      <c r="J19" s="18">
        <f>INDEX('Data Employee'!$L$2:$L$1000, MATCH(A19, 'Data Employee'!$A$2:$A$1000, 0))</f>
        <v>42707</v>
      </c>
      <c r="K19" s="19" t="str">
        <f>IFERROR(IF(INDEX('Data Employee'!M:M,MATCH(A19,'Data Employee'!A:A,0))="","",INDEX('Data Employee'!M:M,MATCH(A19,'Data Employee'!A:A,0))),"")</f>
        <v/>
      </c>
      <c r="L19" s="11" t="str">
        <f t="shared" ca="1" si="1"/>
        <v/>
      </c>
      <c r="M19" s="11" t="str">
        <f t="shared" ca="1" si="2"/>
        <v>Active</v>
      </c>
    </row>
    <row r="20" spans="1:13" x14ac:dyDescent="0.35">
      <c r="A20">
        <v>201743013</v>
      </c>
      <c r="B20" t="str">
        <f>INDEX('Data Employee'!$B$2:$B$1000, MATCH(A20, 'Data Employee'!$A$2:$A$1000, 0))</f>
        <v>Bayu Santoso</v>
      </c>
      <c r="C20" t="str">
        <f>INDEX('Data Employee'!$G$2:$G$1000,MATCH(A20,'Data Employee'!$A$2:$A$1000,0))</f>
        <v>Male</v>
      </c>
      <c r="D20" s="9" t="str" cm="1">
        <f t="array" aca="1" ref="D20" ca="1">IF(J20="","",_xlfn.IFS(DATEDIF(J20,TODAY(),"M")&lt;12,"Contract 1",DATEDIF(J20,TODAY(),"M")&lt;36,"Contract 2",DATEDIF(J20,TODAY(),"M")&lt;60,"Contract 3",DATEDIF(J20,TODAY(),"M")&lt;63,"Probation",TRUE,"Permanent"))</f>
        <v>Permanent</v>
      </c>
      <c r="E20" s="9" t="str">
        <f t="shared" ca="1" si="0"/>
        <v>Permanent</v>
      </c>
      <c r="F20" s="9" t="str">
        <f>VLOOKUP(A20, 'Data Employee'!$A$2:$U$1000, 19, FALSE)</f>
        <v>Accounting</v>
      </c>
      <c r="G20" s="9" t="str">
        <f>VLOOKUP(A20, 'Data Employee'!$A$2:$U$1000, 20, FALSE)</f>
        <v>Management</v>
      </c>
      <c r="H20" s="9" t="str">
        <f>INDEX('Data Employee'!$W$2:$W$1000, MATCH(A20, 'Data Employee'!$A$2:$A$1000, 0))</f>
        <v>General Manager</v>
      </c>
      <c r="I20" t="str">
        <f>INDEX('Data Employee'!$V$2:$V$1000,MATCH(A20,'Data Employee'!$A$2:$A$1000,0))</f>
        <v>General Manager</v>
      </c>
      <c r="J20" s="18">
        <f>INDEX('Data Employee'!$L$2:$L$1000, MATCH(A20, 'Data Employee'!$A$2:$A$1000, 0))</f>
        <v>43013</v>
      </c>
      <c r="K20" s="19" t="str">
        <f>IFERROR(IF(INDEX('Data Employee'!M:M,MATCH(A20,'Data Employee'!A:A,0))="","",INDEX('Data Employee'!M:M,MATCH(A20,'Data Employee'!A:A,0))),"")</f>
        <v/>
      </c>
      <c r="L20" s="11" t="str">
        <f t="shared" ca="1" si="1"/>
        <v/>
      </c>
      <c r="M20" s="11" t="str">
        <f t="shared" ca="1" si="2"/>
        <v>Active</v>
      </c>
    </row>
    <row r="21" spans="1:13" x14ac:dyDescent="0.35">
      <c r="A21">
        <v>202244751</v>
      </c>
      <c r="B21" t="str">
        <f>INDEX('Data Employee'!$B$2:$B$1000, MATCH(A21, 'Data Employee'!$A$2:$A$1000, 0))</f>
        <v>Fajar Saputra</v>
      </c>
      <c r="C21" t="str">
        <f>INDEX('Data Employee'!$G$2:$G$1000,MATCH(A21,'Data Employee'!$A$2:$A$1000,0))</f>
        <v>Male</v>
      </c>
      <c r="D21" s="9" t="str" cm="1">
        <f t="array" aca="1" ref="D21" ca="1">IF(J21="","",_xlfn.IFS(DATEDIF(J21,TODAY(),"M")&lt;12,"Contract 1",DATEDIF(J21,TODAY(),"M")&lt;36,"Contract 2",DATEDIF(J21,TODAY(),"M")&lt;60,"Contract 3",DATEDIF(J21,TODAY(),"M")&lt;63,"Probation",TRUE,"Permanent"))</f>
        <v>Permanent</v>
      </c>
      <c r="E21" s="9" t="str">
        <f t="shared" ca="1" si="0"/>
        <v>Permanent</v>
      </c>
      <c r="F21" s="9" t="str">
        <f>VLOOKUP(A21, 'Data Employee'!$A$2:$U$1000, 19, FALSE)</f>
        <v>Accounting</v>
      </c>
      <c r="G21" s="9" t="str">
        <f>VLOOKUP(A21, 'Data Employee'!$A$2:$U$1000, 20, FALSE)</f>
        <v>Management</v>
      </c>
      <c r="H21" s="9" t="str">
        <f>INDEX('Data Employee'!$W$2:$W$1000, MATCH(A21, 'Data Employee'!$A$2:$A$1000, 0))</f>
        <v>Finance Supervisor</v>
      </c>
      <c r="I21" t="str">
        <f>INDEX('Data Employee'!$V$2:$V$1000,MATCH(A21,'Data Employee'!$A$2:$A$1000,0))</f>
        <v>Supervisor</v>
      </c>
      <c r="J21" s="18">
        <f>INDEX('Data Employee'!$L$2:$L$1000, MATCH(A21, 'Data Employee'!$A$2:$A$1000, 0))</f>
        <v>42194</v>
      </c>
      <c r="K21" s="19" t="str">
        <f>IFERROR(IF(INDEX('Data Employee'!M:M,MATCH(A21,'Data Employee'!A:A,0))="","",INDEX('Data Employee'!M:M,MATCH(A21,'Data Employee'!A:A,0))),"")</f>
        <v/>
      </c>
      <c r="L21" s="11" t="str">
        <f t="shared" ca="1" si="1"/>
        <v/>
      </c>
      <c r="M21" s="11" t="str">
        <f t="shared" ca="1" si="2"/>
        <v>Active</v>
      </c>
    </row>
    <row r="22" spans="1:13" x14ac:dyDescent="0.35">
      <c r="A22">
        <v>201943709</v>
      </c>
      <c r="B22" t="str">
        <f>INDEX('Data Employee'!$B$2:$B$1000, MATCH(A22, 'Data Employee'!$A$2:$A$1000, 0))</f>
        <v>Farhan Arif Firmansyah</v>
      </c>
      <c r="C22" t="str">
        <f>INDEX('Data Employee'!$G$2:$G$1000,MATCH(A22,'Data Employee'!$A$2:$A$1000,0))</f>
        <v>Male</v>
      </c>
      <c r="D22" s="9" t="str" cm="1">
        <f t="array" aca="1" ref="D22" ca="1">IF(J22="","",_xlfn.IFS(DATEDIF(J22,TODAY(),"M")&lt;12,"Contract 1",DATEDIF(J22,TODAY(),"M")&lt;36,"Contract 2",DATEDIF(J22,TODAY(),"M")&lt;60,"Contract 3",DATEDIF(J22,TODAY(),"M")&lt;63,"Probation",TRUE,"Permanent"))</f>
        <v>Permanent</v>
      </c>
      <c r="E22" s="9" t="str">
        <f t="shared" ca="1" si="0"/>
        <v>Permanent</v>
      </c>
      <c r="F22" s="9" t="str">
        <f>VLOOKUP(A22, 'Data Employee'!$A$2:$U$1000, 19, FALSE)</f>
        <v>Law</v>
      </c>
      <c r="G22" s="9" t="str">
        <f>VLOOKUP(A22, 'Data Employee'!$A$2:$U$1000, 20, FALSE)</f>
        <v>Human Resources</v>
      </c>
      <c r="H22" s="9" t="str">
        <f>INDEX('Data Employee'!$W$2:$W$1000, MATCH(A22, 'Data Employee'!$A$2:$A$1000, 0))</f>
        <v>Human Resources Manager</v>
      </c>
      <c r="I22" t="str">
        <f>INDEX('Data Employee'!$V$2:$V$1000,MATCH(A22,'Data Employee'!$A$2:$A$1000,0))</f>
        <v>Manager</v>
      </c>
      <c r="J22" s="18">
        <f>INDEX('Data Employee'!$L$2:$L$1000, MATCH(A22, 'Data Employee'!$A$2:$A$1000, 0))</f>
        <v>42979</v>
      </c>
      <c r="K22" s="19" t="str">
        <f>IFERROR(IF(INDEX('Data Employee'!M:M,MATCH(A22,'Data Employee'!A:A,0))="","",INDEX('Data Employee'!M:M,MATCH(A22,'Data Employee'!A:A,0))),"")</f>
        <v/>
      </c>
      <c r="L22" s="11" t="str">
        <f t="shared" ca="1" si="1"/>
        <v/>
      </c>
      <c r="M22" s="11" t="str">
        <f t="shared" ca="1" si="2"/>
        <v>Active</v>
      </c>
    </row>
    <row r="23" spans="1:13" x14ac:dyDescent="0.35">
      <c r="A23">
        <v>201743013</v>
      </c>
      <c r="B23" t="str">
        <f>INDEX('Data Employee'!$B$2:$B$1000, MATCH(A23, 'Data Employee'!$A$2:$A$1000, 0))</f>
        <v>Bayu Santoso</v>
      </c>
      <c r="C23" t="str">
        <f>INDEX('Data Employee'!$G$2:$G$1000,MATCH(A23,'Data Employee'!$A$2:$A$1000,0))</f>
        <v>Male</v>
      </c>
      <c r="D23" s="9" t="str" cm="1">
        <f t="array" aca="1" ref="D23" ca="1">IF(J23="","",_xlfn.IFS(DATEDIF(J23,TODAY(),"M")&lt;12,"Contract 1",DATEDIF(J23,TODAY(),"M")&lt;36,"Contract 2",DATEDIF(J23,TODAY(),"M")&lt;60,"Contract 3",DATEDIF(J23,TODAY(),"M")&lt;63,"Probation",TRUE,"Permanent"))</f>
        <v>Permanent</v>
      </c>
      <c r="E23" s="9" t="str">
        <f t="shared" ca="1" si="0"/>
        <v>Permanent</v>
      </c>
      <c r="F23" s="9" t="str">
        <f>VLOOKUP(A23, 'Data Employee'!$A$2:$U$1000, 19, FALSE)</f>
        <v>Accounting</v>
      </c>
      <c r="G23" s="9" t="str">
        <f>VLOOKUP(A23, 'Data Employee'!$A$2:$U$1000, 20, FALSE)</f>
        <v>Management</v>
      </c>
      <c r="H23" s="9" t="str">
        <f>INDEX('Data Employee'!$W$2:$W$1000, MATCH(A23, 'Data Employee'!$A$2:$A$1000, 0))</f>
        <v>General Manager</v>
      </c>
      <c r="I23" t="str">
        <f>INDEX('Data Employee'!$V$2:$V$1000,MATCH(A23,'Data Employee'!$A$2:$A$1000,0))</f>
        <v>General Manager</v>
      </c>
      <c r="J23" s="18">
        <f>INDEX('Data Employee'!$L$2:$L$1000, MATCH(A23, 'Data Employee'!$A$2:$A$1000, 0))</f>
        <v>43013</v>
      </c>
      <c r="K23" s="19" t="str">
        <f>IFERROR(IF(INDEX('Data Employee'!M:M,MATCH(A23,'Data Employee'!A:A,0))="","",INDEX('Data Employee'!M:M,MATCH(A23,'Data Employee'!A:A,0))),"")</f>
        <v/>
      </c>
      <c r="L23" s="11" t="str">
        <f t="shared" ca="1" si="1"/>
        <v/>
      </c>
      <c r="M23" s="11" t="str">
        <f t="shared" ca="1" si="2"/>
        <v>Active</v>
      </c>
    </row>
    <row r="24" spans="1:13" x14ac:dyDescent="0.35">
      <c r="A24">
        <v>202044117</v>
      </c>
      <c r="B24" t="str">
        <f>INDEX('Data Employee'!$B$2:$B$1000, MATCH(A24, 'Data Employee'!$A$2:$A$1000, 0))</f>
        <v>Reza Nurfadilah Restu</v>
      </c>
      <c r="C24" t="str">
        <f>INDEX('Data Employee'!$G$2:$G$1000,MATCH(A24,'Data Employee'!$A$2:$A$1000,0))</f>
        <v>Male</v>
      </c>
      <c r="D24" s="9" t="str" cm="1">
        <f t="array" aca="1" ref="D24" ca="1">IF(J24="","",_xlfn.IFS(DATEDIF(J24,TODAY(),"M")&lt;12,"Contract 1",DATEDIF(J24,TODAY(),"M")&lt;36,"Contract 2",DATEDIF(J24,TODAY(),"M")&lt;60,"Contract 3",DATEDIF(J24,TODAY(),"M")&lt;63,"Probation",TRUE,"Permanent"))</f>
        <v>Permanent</v>
      </c>
      <c r="E24" s="9" t="str">
        <f t="shared" ca="1" si="0"/>
        <v>Permanent</v>
      </c>
      <c r="F24" s="9" t="str">
        <f>VLOOKUP(A24, 'Data Employee'!$A$2:$U$1000, 19, FALSE)</f>
        <v>Psychology</v>
      </c>
      <c r="G24" s="9" t="str">
        <f>VLOOKUP(A24, 'Data Employee'!$A$2:$U$1000, 20, FALSE)</f>
        <v>Human Resources</v>
      </c>
      <c r="H24" s="9" t="str">
        <f>INDEX('Data Employee'!$W$2:$W$1000, MATCH(A24, 'Data Employee'!$A$2:$A$1000, 0))</f>
        <v>Learning &amp; Development Officer</v>
      </c>
      <c r="I24" t="str">
        <f>INDEX('Data Employee'!$V$2:$V$1000,MATCH(A24,'Data Employee'!$A$2:$A$1000,0))</f>
        <v>Officer / Executive</v>
      </c>
      <c r="J24" s="18">
        <f>INDEX('Data Employee'!$L$2:$L$1000, MATCH(A24, 'Data Employee'!$A$2:$A$1000, 0))</f>
        <v>43386</v>
      </c>
      <c r="K24" s="19" t="str">
        <f>IFERROR(IF(INDEX('Data Employee'!M:M,MATCH(A24,'Data Employee'!A:A,0))="","",INDEX('Data Employee'!M:M,MATCH(A24,'Data Employee'!A:A,0))),"")</f>
        <v/>
      </c>
      <c r="L24" s="11" t="str">
        <f t="shared" ca="1" si="1"/>
        <v/>
      </c>
      <c r="M24" s="11" t="str">
        <f t="shared" ca="1" si="2"/>
        <v>Active</v>
      </c>
    </row>
    <row r="25" spans="1:13" x14ac:dyDescent="0.35">
      <c r="A25">
        <v>202043987</v>
      </c>
      <c r="B25" t="str">
        <f>INDEX('Data Employee'!$B$2:$B$1000, MATCH(A25, 'Data Employee'!$A$2:$A$1000, 0))</f>
        <v>Musdalifah</v>
      </c>
      <c r="C25" t="str">
        <f>INDEX('Data Employee'!$G$2:$G$1000,MATCH(A25,'Data Employee'!$A$2:$A$1000,0))</f>
        <v>Female</v>
      </c>
      <c r="D25" s="9" t="str" cm="1">
        <f t="array" aca="1" ref="D25" ca="1">IF(J25="","",_xlfn.IFS(DATEDIF(J25,TODAY(),"M")&lt;12,"Contract 1",DATEDIF(J25,TODAY(),"M")&lt;36,"Contract 2",DATEDIF(J25,TODAY(),"M")&lt;60,"Contract 3",DATEDIF(J25,TODAY(),"M")&lt;63,"Probation",TRUE,"Permanent"))</f>
        <v>Permanent</v>
      </c>
      <c r="E25" s="9" t="str">
        <f t="shared" ca="1" si="0"/>
        <v>Permanent</v>
      </c>
      <c r="F25" s="9" t="str">
        <f>VLOOKUP(A25, 'Data Employee'!$A$2:$U$1000, 19, FALSE)</f>
        <v>Psychology</v>
      </c>
      <c r="G25" s="9" t="str">
        <f>VLOOKUP(A25, 'Data Employee'!$A$2:$U$1000, 20, FALSE)</f>
        <v>Human Resources</v>
      </c>
      <c r="H25" s="9" t="str">
        <f>INDEX('Data Employee'!$W$2:$W$1000, MATCH(A25, 'Data Employee'!$A$2:$A$1000, 0))</f>
        <v>HR Communications Officer</v>
      </c>
      <c r="I25" t="str">
        <f>INDEX('Data Employee'!$V$2:$V$1000,MATCH(A25,'Data Employee'!$A$2:$A$1000,0))</f>
        <v>Officer / Executive</v>
      </c>
      <c r="J25" s="18">
        <f>INDEX('Data Employee'!$L$2:$L$1000, MATCH(A25, 'Data Employee'!$A$2:$A$1000, 0))</f>
        <v>43987</v>
      </c>
      <c r="K25" s="19" t="str">
        <f>IFERROR(IF(INDEX('Data Employee'!M:M,MATCH(A25,'Data Employee'!A:A,0))="","",INDEX('Data Employee'!M:M,MATCH(A25,'Data Employee'!A:A,0))),"")</f>
        <v/>
      </c>
      <c r="L25" s="11" t="str">
        <f t="shared" ca="1" si="1"/>
        <v/>
      </c>
      <c r="M25" s="11" t="str">
        <f t="shared" ca="1" si="2"/>
        <v>Active</v>
      </c>
    </row>
    <row r="26" spans="1:13" x14ac:dyDescent="0.35">
      <c r="A26">
        <v>201943752</v>
      </c>
      <c r="B26" t="str">
        <f>INDEX('Data Employee'!$B$2:$B$1000, MATCH(A26, 'Data Employee'!$A$2:$A$1000, 0))</f>
        <v>Rizky Permata</v>
      </c>
      <c r="C26" t="str">
        <f>INDEX('Data Employee'!$G$2:$G$1000,MATCH(A26,'Data Employee'!$A$2:$A$1000,0))</f>
        <v>Male</v>
      </c>
      <c r="D26" s="9" t="str" cm="1">
        <f t="array" aca="1" ref="D26" ca="1">IF(J26="","",_xlfn.IFS(DATEDIF(J26,TODAY(),"M")&lt;12,"Contract 1",DATEDIF(J26,TODAY(),"M")&lt;36,"Contract 2",DATEDIF(J26,TODAY(),"M")&lt;60,"Contract 3",DATEDIF(J26,TODAY(),"M")&lt;63,"Probation",TRUE,"Permanent"))</f>
        <v>Permanent</v>
      </c>
      <c r="E26" s="9" t="str">
        <f t="shared" ca="1" si="0"/>
        <v>Permanent</v>
      </c>
      <c r="F26" s="9" t="str">
        <f>VLOOKUP(A26, 'Data Employee'!$A$2:$U$1000, 19, FALSE)</f>
        <v>Management</v>
      </c>
      <c r="G26" s="9" t="str">
        <f>VLOOKUP(A26, 'Data Employee'!$A$2:$U$1000, 20, FALSE)</f>
        <v>Human Resources</v>
      </c>
      <c r="H26" s="9" t="str">
        <f>INDEX('Data Employee'!$W$2:$W$1000, MATCH(A26, 'Data Employee'!$A$2:$A$1000, 0))</f>
        <v>Payroll &amp; Benefits Officer</v>
      </c>
      <c r="I26" t="str">
        <f>INDEX('Data Employee'!$V$2:$V$1000,MATCH(A26,'Data Employee'!$A$2:$A$1000,0))</f>
        <v>Officer / Executive</v>
      </c>
      <c r="J26" s="18">
        <f>INDEX('Data Employee'!$L$2:$L$1000, MATCH(A26, 'Data Employee'!$A$2:$A$1000, 0))</f>
        <v>43752</v>
      </c>
      <c r="K26" s="19" t="str">
        <f>IFERROR(IF(INDEX('Data Employee'!M:M,MATCH(A26,'Data Employee'!A:A,0))="","",INDEX('Data Employee'!M:M,MATCH(A26,'Data Employee'!A:A,0))),"")</f>
        <v/>
      </c>
      <c r="L26" s="11" t="str">
        <f t="shared" ca="1" si="1"/>
        <v/>
      </c>
      <c r="M26" s="11" t="str">
        <f t="shared" ca="1" si="2"/>
        <v>Active</v>
      </c>
    </row>
    <row r="27" spans="1:13" x14ac:dyDescent="0.35">
      <c r="A27">
        <v>202144365</v>
      </c>
      <c r="B27" t="str">
        <f>INDEX('Data Employee'!$B$2:$B$1000, MATCH(A27, 'Data Employee'!$A$2:$A$1000, 0))</f>
        <v>Aulia Pratama</v>
      </c>
      <c r="C27" t="str">
        <f>INDEX('Data Employee'!$G$2:$G$1000,MATCH(A27,'Data Employee'!$A$2:$A$1000,0))</f>
        <v>Female</v>
      </c>
      <c r="D27" s="9" t="str" cm="1">
        <f t="array" aca="1" ref="D27" ca="1">IF(J27="","",_xlfn.IFS(DATEDIF(J27,TODAY(),"M")&lt;12,"Contract 1",DATEDIF(J27,TODAY(),"M")&lt;36,"Contract 2",DATEDIF(J27,TODAY(),"M")&lt;60,"Contract 3",DATEDIF(J27,TODAY(),"M")&lt;63,"Probation",TRUE,"Permanent"))</f>
        <v>Contract 1</v>
      </c>
      <c r="E27" s="9" t="str">
        <f t="shared" ca="1" si="0"/>
        <v>12 Month</v>
      </c>
      <c r="F27" s="9" t="str">
        <f>VLOOKUP(A27, 'Data Employee'!$A$2:$U$1000, 19, FALSE)</f>
        <v>Psychology</v>
      </c>
      <c r="G27" s="9" t="str">
        <f>VLOOKUP(A27, 'Data Employee'!$A$2:$U$1000, 20, FALSE)</f>
        <v>Human Resources</v>
      </c>
      <c r="H27" s="9" t="str">
        <f>INDEX('Data Employee'!$W$2:$W$1000, MATCH(A27, 'Data Employee'!$A$2:$A$1000, 0))</f>
        <v>Recruitment Staff</v>
      </c>
      <c r="I27" t="str">
        <f>INDEX('Data Employee'!$V$2:$V$1000,MATCH(A27,'Data Employee'!$A$2:$A$1000,0))</f>
        <v>Staff</v>
      </c>
      <c r="J27" s="18">
        <f>INDEX('Data Employee'!$L$2:$L$1000, MATCH(A27, 'Data Employee'!$A$2:$A$1000, 0))</f>
        <v>45887</v>
      </c>
      <c r="K27" s="19">
        <f>IFERROR(IF(INDEX('Data Employee'!M:M,MATCH(A27,'Data Employee'!A:A,0))="","",INDEX('Data Employee'!M:M,MATCH(A27,'Data Employee'!A:A,0))),"")</f>
        <v>46617</v>
      </c>
      <c r="L27" s="11" t="str">
        <f t="shared" ca="1" si="1"/>
        <v>381 Days</v>
      </c>
      <c r="M27" s="11" t="str">
        <f t="shared" ca="1" si="2"/>
        <v>Active</v>
      </c>
    </row>
    <row r="28" spans="1:13" x14ac:dyDescent="0.35">
      <c r="A28">
        <v>202044146</v>
      </c>
      <c r="B28" t="str">
        <f>INDEX('Data Employee'!$B$2:$B$1000, MATCH(A28, 'Data Employee'!$A$2:$A$1000, 0))</f>
        <v>Dedi Hidayat</v>
      </c>
      <c r="C28" t="str">
        <f>INDEX('Data Employee'!$G$2:$G$1000,MATCH(A28,'Data Employee'!$A$2:$A$1000,0))</f>
        <v>Male</v>
      </c>
      <c r="D28" s="9" t="str" cm="1">
        <f t="array" aca="1" ref="D28" ca="1">IF(J28="","",_xlfn.IFS(DATEDIF(J28,TODAY(),"M")&lt;12,"Contract 1",DATEDIF(J28,TODAY(),"M")&lt;36,"Contract 2",DATEDIF(J28,TODAY(),"M")&lt;60,"Contract 3",DATEDIF(J28,TODAY(),"M")&lt;63,"Probation",TRUE,"Permanent"))</f>
        <v>Permanent</v>
      </c>
      <c r="E28" s="9" t="str">
        <f t="shared" ca="1" si="0"/>
        <v>Permanent</v>
      </c>
      <c r="F28" s="9" t="str">
        <f>VLOOKUP(A28, 'Data Employee'!$A$2:$U$1000, 19, FALSE)</f>
        <v>Psychology</v>
      </c>
      <c r="G28" s="9" t="str">
        <f>VLOOKUP(A28, 'Data Employee'!$A$2:$U$1000, 20, FALSE)</f>
        <v>Human Resources</v>
      </c>
      <c r="H28" s="9" t="str">
        <f>INDEX('Data Employee'!$W$2:$W$1000, MATCH(A28, 'Data Employee'!$A$2:$A$1000, 0))</f>
        <v>Recruitment Staff</v>
      </c>
      <c r="I28" t="str">
        <f>INDEX('Data Employee'!$V$2:$V$1000,MATCH(A28,'Data Employee'!$A$2:$A$1000,0))</f>
        <v>Staff</v>
      </c>
      <c r="J28" s="18">
        <f>INDEX('Data Employee'!$L$2:$L$1000, MATCH(A28, 'Data Employee'!$A$2:$A$1000, 0))</f>
        <v>44146</v>
      </c>
      <c r="K28" s="19" t="str">
        <f>IFERROR(IF(INDEX('Data Employee'!M:M,MATCH(A28,'Data Employee'!A:A,0))="","",INDEX('Data Employee'!M:M,MATCH(A28,'Data Employee'!A:A,0))),"")</f>
        <v/>
      </c>
      <c r="L28" s="11" t="str">
        <f t="shared" ca="1" si="1"/>
        <v/>
      </c>
      <c r="M28" s="11" t="str">
        <f t="shared" ca="1" si="2"/>
        <v>Active</v>
      </c>
    </row>
    <row r="29" spans="1:13" x14ac:dyDescent="0.35">
      <c r="A29">
        <v>202044084</v>
      </c>
      <c r="B29" t="str">
        <f>INDEX('Data Employee'!$B$2:$B$1000, MATCH(A29, 'Data Employee'!$A$2:$A$1000, 0))</f>
        <v>Nisa Noor F. Halimah</v>
      </c>
      <c r="C29" t="str">
        <f>INDEX('Data Employee'!$G$2:$G$1000,MATCH(A29,'Data Employee'!$A$2:$A$1000,0))</f>
        <v>Female</v>
      </c>
      <c r="D29" s="9" t="str" cm="1">
        <f t="array" aca="1" ref="D29" ca="1">IF(J29="","",_xlfn.IFS(DATEDIF(J29,TODAY(),"M")&lt;12,"Contract 1",DATEDIF(J29,TODAY(),"M")&lt;36,"Contract 2",DATEDIF(J29,TODAY(),"M")&lt;60,"Contract 3",DATEDIF(J29,TODAY(),"M")&lt;63,"Probation",TRUE,"Permanent"))</f>
        <v>Permanent</v>
      </c>
      <c r="E29" s="9" t="str">
        <f t="shared" ca="1" si="0"/>
        <v>Permanent</v>
      </c>
      <c r="F29" s="9" t="str">
        <f>VLOOKUP(A29, 'Data Employee'!$A$2:$U$1000, 19, FALSE)</f>
        <v>Business Administration</v>
      </c>
      <c r="G29" s="9" t="str">
        <f>VLOOKUP(A29, 'Data Employee'!$A$2:$U$1000, 20, FALSE)</f>
        <v>Human Resources</v>
      </c>
      <c r="H29" s="9" t="str">
        <f>INDEX('Data Employee'!$W$2:$W$1000, MATCH(A29, 'Data Employee'!$A$2:$A$1000, 0))</f>
        <v>HR Operations &amp; General Affairs Staff</v>
      </c>
      <c r="I29" t="str">
        <f>INDEX('Data Employee'!$V$2:$V$1000,MATCH(A29,'Data Employee'!$A$2:$A$1000,0))</f>
        <v>Staff</v>
      </c>
      <c r="J29" s="18">
        <f>INDEX('Data Employee'!$L$2:$L$1000, MATCH(A29, 'Data Employee'!$A$2:$A$1000, 0))</f>
        <v>44084</v>
      </c>
      <c r="K29" s="19" t="str">
        <f>IFERROR(IF(INDEX('Data Employee'!M:M,MATCH(A29,'Data Employee'!A:A,0))="","",INDEX('Data Employee'!M:M,MATCH(A29,'Data Employee'!A:A,0))),"")</f>
        <v/>
      </c>
      <c r="L29" s="11" t="str">
        <f t="shared" ca="1" si="1"/>
        <v/>
      </c>
      <c r="M29" s="11" t="str">
        <f t="shared" ca="1" si="2"/>
        <v>Active</v>
      </c>
    </row>
    <row r="30" spans="1:13" x14ac:dyDescent="0.35">
      <c r="A30">
        <v>201642614</v>
      </c>
      <c r="B30" t="str">
        <f>INDEX('Data Employee'!$B$2:$B$1000, MATCH(A30, 'Data Employee'!$A$2:$A$1000, 0))</f>
        <v>Andi Maulana</v>
      </c>
      <c r="C30" t="str">
        <f>INDEX('Data Employee'!$G$2:$G$1000,MATCH(A30,'Data Employee'!$A$2:$A$1000,0))</f>
        <v>Male</v>
      </c>
      <c r="D30" s="9" t="str" cm="1">
        <f t="array" aca="1" ref="D30" ca="1">IF(J30="","",_xlfn.IFS(DATEDIF(J30,TODAY(),"M")&lt;12,"Contract 1",DATEDIF(J30,TODAY(),"M")&lt;36,"Contract 2",DATEDIF(J30,TODAY(),"M")&lt;60,"Contract 3",DATEDIF(J30,TODAY(),"M")&lt;63,"Probation",TRUE,"Permanent"))</f>
        <v>Contract 2</v>
      </c>
      <c r="E30" s="9" t="str">
        <f t="shared" ca="1" si="0"/>
        <v>24 Month</v>
      </c>
      <c r="F30" s="9" t="str">
        <f>VLOOKUP(A30, 'Data Employee'!$A$2:$U$1000, 19, FALSE)</f>
        <v>Communication</v>
      </c>
      <c r="G30" s="9" t="str">
        <f>VLOOKUP(A30, 'Data Employee'!$A$2:$U$1000, 20, FALSE)</f>
        <v>Human Resources</v>
      </c>
      <c r="H30" s="9" t="str">
        <f>INDEX('Data Employee'!$W$2:$W$1000, MATCH(A30, 'Data Employee'!$A$2:$A$1000, 0))</f>
        <v>Employer Branding Staff</v>
      </c>
      <c r="I30" t="str">
        <f>INDEX('Data Employee'!$V$2:$V$1000,MATCH(A30,'Data Employee'!$A$2:$A$1000,0))</f>
        <v>Staff</v>
      </c>
      <c r="J30" s="18">
        <f>INDEX('Data Employee'!$L$2:$L$1000, MATCH(A30, 'Data Employee'!$A$2:$A$1000, 0))</f>
        <v>45536</v>
      </c>
      <c r="K30" s="19">
        <f>IFERROR(IF(INDEX('Data Employee'!M:M,MATCH(A30,'Data Employee'!A:A,0))="","",INDEX('Data Employee'!M:M,MATCH(A30,'Data Employee'!A:A,0))),"")</f>
        <v>46266</v>
      </c>
      <c r="L30" s="11" t="str">
        <f t="shared" ca="1" si="1"/>
        <v>30 Days</v>
      </c>
      <c r="M30" s="11" t="str">
        <f t="shared" ca="1" si="2"/>
        <v>Urgent Renewal</v>
      </c>
    </row>
    <row r="31" spans="1:13" x14ac:dyDescent="0.35">
      <c r="A31">
        <v>202044094</v>
      </c>
      <c r="B31" t="str">
        <f>INDEX('Data Employee'!$B$2:$B$1000, MATCH(A31, 'Data Employee'!$A$2:$A$1000, 0))</f>
        <v>Fajar Pratama</v>
      </c>
      <c r="C31" t="str">
        <f>INDEX('Data Employee'!$G$2:$G$1000,MATCH(A31,'Data Employee'!$A$2:$A$1000,0))</f>
        <v>Male</v>
      </c>
      <c r="D31" s="9" t="str" cm="1">
        <f t="array" aca="1" ref="D31" ca="1">IF(J31="","",_xlfn.IFS(DATEDIF(J31,TODAY(),"M")&lt;12,"Contract 1",DATEDIF(J31,TODAY(),"M")&lt;36,"Contract 2",DATEDIF(J31,TODAY(),"M")&lt;60,"Contract 3",DATEDIF(J31,TODAY(),"M")&lt;63,"Probation",TRUE,"Permanent"))</f>
        <v>Permanent</v>
      </c>
      <c r="E31" s="9" t="str">
        <f t="shared" ca="1" si="0"/>
        <v>Permanent</v>
      </c>
      <c r="F31" s="9" t="str">
        <f>VLOOKUP(A31, 'Data Employee'!$A$2:$U$1000, 19, FALSE)</f>
        <v>Human Resource Management</v>
      </c>
      <c r="G31" s="9" t="str">
        <f>VLOOKUP(A31, 'Data Employee'!$A$2:$U$1000, 20, FALSE)</f>
        <v>Human Resources</v>
      </c>
      <c r="H31" s="9" t="str">
        <f>INDEX('Data Employee'!$W$2:$W$1000, MATCH(A31, 'Data Employee'!$A$2:$A$1000, 0))</f>
        <v>HR Operations &amp; General Affairs Staff</v>
      </c>
      <c r="I31" t="str">
        <f>INDEX('Data Employee'!$V$2:$V$1000,MATCH(A31,'Data Employee'!$A$2:$A$1000,0))</f>
        <v>Staff</v>
      </c>
      <c r="J31" s="18">
        <f>INDEX('Data Employee'!$L$2:$L$1000, MATCH(A31, 'Data Employee'!$A$2:$A$1000, 0))</f>
        <v>44094</v>
      </c>
      <c r="K31" s="19" t="str">
        <f>IFERROR(IF(INDEX('Data Employee'!M:M,MATCH(A31,'Data Employee'!A:A,0))="","",INDEX('Data Employee'!M:M,MATCH(A31,'Data Employee'!A:A,0))),"")</f>
        <v/>
      </c>
      <c r="L31" s="11" t="str">
        <f t="shared" ca="1" si="1"/>
        <v/>
      </c>
      <c r="M31" s="11" t="str">
        <f t="shared" ca="1" si="2"/>
        <v>Active</v>
      </c>
    </row>
    <row r="32" spans="1:13" x14ac:dyDescent="0.35">
      <c r="A32">
        <v>202044053</v>
      </c>
      <c r="B32" t="str">
        <f>INDEX('Data Employee'!$B$2:$B$1000, MATCH(A32, 'Data Employee'!$A$2:$A$1000, 0))</f>
        <v>Dewi Pangestu</v>
      </c>
      <c r="C32" t="str">
        <f>INDEX('Data Employee'!$G$2:$G$1000,MATCH(A32,'Data Employee'!$A$2:$A$1000,0))</f>
        <v>Female</v>
      </c>
      <c r="D32" s="9" t="str" cm="1">
        <f t="array" aca="1" ref="D32" ca="1">IF(J32="","",_xlfn.IFS(DATEDIF(J32,TODAY(),"M")&lt;12,"Contract 1",DATEDIF(J32,TODAY(),"M")&lt;36,"Contract 2",DATEDIF(J32,TODAY(),"M")&lt;60,"Contract 3",DATEDIF(J32,TODAY(),"M")&lt;63,"Probation",TRUE,"Permanent"))</f>
        <v>Permanent</v>
      </c>
      <c r="E32" s="9" t="str">
        <f t="shared" ca="1" si="0"/>
        <v>Permanent</v>
      </c>
      <c r="F32" s="9" t="str">
        <f>VLOOKUP(A32, 'Data Employee'!$A$2:$U$1000, 19, FALSE)</f>
        <v>Human Resource Management</v>
      </c>
      <c r="G32" s="9" t="str">
        <f>VLOOKUP(A32, 'Data Employee'!$A$2:$U$1000, 20, FALSE)</f>
        <v>Human Resources</v>
      </c>
      <c r="H32" s="9" t="str">
        <f>INDEX('Data Employee'!$W$2:$W$1000, MATCH(A32, 'Data Employee'!$A$2:$A$1000, 0))</f>
        <v>HR Operations &amp; General Affairs Staff</v>
      </c>
      <c r="I32" t="str">
        <f>INDEX('Data Employee'!$V$2:$V$1000,MATCH(A32,'Data Employee'!$A$2:$A$1000,0))</f>
        <v>Staff</v>
      </c>
      <c r="J32" s="18">
        <f>INDEX('Data Employee'!$L$2:$L$1000, MATCH(A32, 'Data Employee'!$A$2:$A$1000, 0))</f>
        <v>44053</v>
      </c>
      <c r="K32" s="19" t="str">
        <f>IFERROR(IF(INDEX('Data Employee'!M:M,MATCH(A32,'Data Employee'!A:A,0))="","",INDEX('Data Employee'!M:M,MATCH(A32,'Data Employee'!A:A,0))),"")</f>
        <v/>
      </c>
      <c r="L32" s="11" t="str">
        <f t="shared" ca="1" si="1"/>
        <v/>
      </c>
      <c r="M32" s="11" t="str">
        <f t="shared" ca="1" si="2"/>
        <v>Active</v>
      </c>
    </row>
    <row r="33" spans="1:13" x14ac:dyDescent="0.35">
      <c r="A33">
        <v>201642722</v>
      </c>
      <c r="B33" t="str">
        <f>INDEX('Data Employee'!$B$2:$B$1000, MATCH(A33, 'Data Employee'!$A$2:$A$1000, 0))</f>
        <v>Andi Santoso</v>
      </c>
      <c r="C33" t="str">
        <f>INDEX('Data Employee'!$G$2:$G$1000,MATCH(A33,'Data Employee'!$A$2:$A$1000,0))</f>
        <v>Male</v>
      </c>
      <c r="D33" s="9" t="str" cm="1">
        <f t="array" aca="1" ref="D33" ca="1">IF(J33="","",_xlfn.IFS(DATEDIF(J33,TODAY(),"M")&lt;12,"Contract 1",DATEDIF(J33,TODAY(),"M")&lt;36,"Contract 2",DATEDIF(J33,TODAY(),"M")&lt;60,"Contract 3",DATEDIF(J33,TODAY(),"M")&lt;63,"Probation",TRUE,"Permanent"))</f>
        <v>Contract 2</v>
      </c>
      <c r="E33" s="9" t="str">
        <f t="shared" ca="1" si="0"/>
        <v>24 Month</v>
      </c>
      <c r="F33" s="9" t="str">
        <f>VLOOKUP(A33, 'Data Employee'!$A$2:$U$1000, 19, FALSE)</f>
        <v>Law</v>
      </c>
      <c r="G33" s="9" t="str">
        <f>VLOOKUP(A33, 'Data Employee'!$A$2:$U$1000, 20, FALSE)</f>
        <v>Human Resources</v>
      </c>
      <c r="H33" s="9" t="str">
        <f>INDEX('Data Employee'!$W$2:$W$1000, MATCH(A33, 'Data Employee'!$A$2:$A$1000, 0))</f>
        <v>Recruitment Staff</v>
      </c>
      <c r="I33" t="str">
        <f>INDEX('Data Employee'!$V$2:$V$1000,MATCH(A33,'Data Employee'!$A$2:$A$1000,0))</f>
        <v>Staff</v>
      </c>
      <c r="J33" s="18">
        <f>INDEX('Data Employee'!$L$2:$L$1000, MATCH(A33, 'Data Employee'!$A$2:$A$1000, 0))</f>
        <v>45278</v>
      </c>
      <c r="K33" s="19">
        <f>IFERROR(IF(INDEX('Data Employee'!M:M,MATCH(A33,'Data Employee'!A:A,0))="","",INDEX('Data Employee'!M:M,MATCH(A33,'Data Employee'!A:A,0))),"")</f>
        <v>46374</v>
      </c>
      <c r="L33" s="11" t="str">
        <f t="shared" ca="1" si="1"/>
        <v>138 Days</v>
      </c>
      <c r="M33" s="11" t="str">
        <f t="shared" ca="1" si="2"/>
        <v>Active</v>
      </c>
    </row>
    <row r="34" spans="1:13" x14ac:dyDescent="0.35">
      <c r="A34">
        <v>202545684</v>
      </c>
      <c r="B34" t="str">
        <f>INDEX('Data Employee'!$B$2:$B$1000, MATCH(A34, 'Data Employee'!$A$2:$A$1000, 0))</f>
        <v>Siti Nugroho</v>
      </c>
      <c r="C34" t="str">
        <f>INDEX('Data Employee'!$G$2:$G$1000,MATCH(A34,'Data Employee'!$A$2:$A$1000,0))</f>
        <v>Female</v>
      </c>
      <c r="D34" s="9" t="str" cm="1">
        <f t="array" aca="1" ref="D34" ca="1">IF(J34="","",_xlfn.IFS(DATEDIF(J34,TODAY(),"M")&lt;12,"Contract 1",DATEDIF(J34,TODAY(),"M")&lt;36,"Contract 2",DATEDIF(J34,TODAY(),"M")&lt;60,"Contract 3",DATEDIF(J34,TODAY(),"M")&lt;63,"Probation",TRUE,"Permanent"))</f>
        <v>Contract 1</v>
      </c>
      <c r="E34" s="9" t="str">
        <f t="shared" ca="1" si="0"/>
        <v>12 Month</v>
      </c>
      <c r="F34" s="9" t="str">
        <f>VLOOKUP(A34, 'Data Employee'!$A$2:$U$1000, 19, FALSE)</f>
        <v>Marketing</v>
      </c>
      <c r="G34" s="9" t="str">
        <f>VLOOKUP(A34, 'Data Employee'!$A$2:$U$1000, 20, FALSE)</f>
        <v>Human Resources</v>
      </c>
      <c r="H34" s="9" t="str">
        <f>INDEX('Data Employee'!$W$2:$W$1000, MATCH(A34, 'Data Employee'!$A$2:$A$1000, 0))</f>
        <v>HR Intern</v>
      </c>
      <c r="I34" t="str">
        <f>INDEX('Data Employee'!$V$2:$V$1000,MATCH(A34,'Data Employee'!$A$2:$A$1000,0))</f>
        <v>Internship</v>
      </c>
      <c r="J34" s="18">
        <f>INDEX('Data Employee'!$L$2:$L$1000, MATCH(A34, 'Data Employee'!$A$2:$A$1000, 0))</f>
        <v>46049</v>
      </c>
      <c r="K34" s="19">
        <f>IFERROR(IF(INDEX('Data Employee'!M:M,MATCH(A34,'Data Employee'!A:A,0))="","",INDEX('Data Employee'!M:M,MATCH(A34,'Data Employee'!A:A,0))),"")</f>
        <v>46414</v>
      </c>
      <c r="L34" s="11" t="str">
        <f t="shared" ca="1" si="1"/>
        <v>178 Days</v>
      </c>
      <c r="M34" s="11" t="str">
        <f t="shared" ca="1" si="2"/>
        <v>Active</v>
      </c>
    </row>
    <row r="35" spans="1:13" x14ac:dyDescent="0.35">
      <c r="A35">
        <v>202044026</v>
      </c>
      <c r="B35" t="str">
        <f>INDEX('Data Employee'!$B$2:$B$1000, MATCH(A35, 'Data Employee'!$A$2:$A$1000, 0))</f>
        <v>Ine Agraeni</v>
      </c>
      <c r="C35" t="str">
        <f>INDEX('Data Employee'!$G$2:$G$1000,MATCH(A35,'Data Employee'!$A$2:$A$1000,0))</f>
        <v>Female</v>
      </c>
      <c r="D35" s="9" t="str" cm="1">
        <f t="array" aca="1" ref="D35" ca="1">IF(J35="","",_xlfn.IFS(DATEDIF(J35,TODAY(),"M")&lt;12,"Contract 1",DATEDIF(J35,TODAY(),"M")&lt;36,"Contract 2",DATEDIF(J35,TODAY(),"M")&lt;60,"Contract 3",DATEDIF(J35,TODAY(),"M")&lt;63,"Probation",TRUE,"Permanent"))</f>
        <v>Permanent</v>
      </c>
      <c r="E35" s="9" t="str">
        <f t="shared" ca="1" si="0"/>
        <v>Permanent</v>
      </c>
      <c r="F35" s="9" t="str">
        <f>VLOOKUP(A35, 'Data Employee'!$A$2:$U$1000, 19, FALSE)</f>
        <v>Natural Sciences (IPA)</v>
      </c>
      <c r="G35" s="9" t="str">
        <f>VLOOKUP(A35, 'Data Employee'!$A$2:$U$1000, 20, FALSE)</f>
        <v>Human Resources</v>
      </c>
      <c r="H35" s="9" t="str">
        <f>INDEX('Data Employee'!$W$2:$W$1000, MATCH(A35, 'Data Employee'!$A$2:$A$1000, 0))</f>
        <v>HR Administration</v>
      </c>
      <c r="I35" t="str">
        <f>INDEX('Data Employee'!$V$2:$V$1000,MATCH(A35,'Data Employee'!$A$2:$A$1000,0))</f>
        <v>Administrator</v>
      </c>
      <c r="J35" s="18">
        <f>INDEX('Data Employee'!$L$2:$L$1000, MATCH(A35, 'Data Employee'!$A$2:$A$1000, 0))</f>
        <v>44026</v>
      </c>
      <c r="K35" s="19" t="str">
        <f>IFERROR(IF(INDEX('Data Employee'!M:M,MATCH(A35,'Data Employee'!A:A,0))="","",INDEX('Data Employee'!M:M,MATCH(A35,'Data Employee'!A:A,0))),"")</f>
        <v/>
      </c>
      <c r="L35" s="11" t="str">
        <f t="shared" ca="1" si="1"/>
        <v/>
      </c>
      <c r="M35" s="11" t="str">
        <f t="shared" ca="1" si="2"/>
        <v>Active</v>
      </c>
    </row>
    <row r="36" spans="1:13" x14ac:dyDescent="0.35">
      <c r="A36">
        <v>202244602</v>
      </c>
      <c r="B36" t="str">
        <f>INDEX('Data Employee'!$B$2:$B$1000, MATCH(A36, 'Data Employee'!$A$2:$A$1000, 0))</f>
        <v>Nadia Hidayat</v>
      </c>
      <c r="C36" t="str">
        <f>INDEX('Data Employee'!$G$2:$G$1000,MATCH(A36,'Data Employee'!$A$2:$A$1000,0))</f>
        <v>Female</v>
      </c>
      <c r="D36" s="9" t="str" cm="1">
        <f t="array" aca="1" ref="D36" ca="1">IF(J36="","",_xlfn.IFS(DATEDIF(J36,TODAY(),"M")&lt;12,"Contract 1",DATEDIF(J36,TODAY(),"M")&lt;36,"Contract 2",DATEDIF(J36,TODAY(),"M")&lt;60,"Contract 3",DATEDIF(J36,TODAY(),"M")&lt;63,"Probation",TRUE,"Permanent"))</f>
        <v>Contract 3</v>
      </c>
      <c r="E36" s="9" t="str">
        <f t="shared" ca="1" si="0"/>
        <v>60 Month</v>
      </c>
      <c r="F36" s="9" t="str">
        <f>VLOOKUP(A36, 'Data Employee'!$A$2:$U$1000, 19, FALSE)</f>
        <v>Social Sciences (IPS)</v>
      </c>
      <c r="G36" s="9" t="str">
        <f>VLOOKUP(A36, 'Data Employee'!$A$2:$U$1000, 20, FALSE)</f>
        <v>Human Resources</v>
      </c>
      <c r="H36" s="9" t="str">
        <f>INDEX('Data Employee'!$W$2:$W$1000, MATCH(A36, 'Data Employee'!$A$2:$A$1000, 0))</f>
        <v>HR Administration</v>
      </c>
      <c r="I36" t="str">
        <f>INDEX('Data Employee'!$V$2:$V$1000,MATCH(A36,'Data Employee'!$A$2:$A$1000,0))</f>
        <v>Administrator</v>
      </c>
      <c r="J36" s="18">
        <f>INDEX('Data Employee'!$L$2:$L$1000, MATCH(A36, 'Data Employee'!$A$2:$A$1000, 0))</f>
        <v>44602</v>
      </c>
      <c r="K36" s="19">
        <f>IFERROR(IF(INDEX('Data Employee'!M:M,MATCH(A36,'Data Employee'!A:A,0))="","",INDEX('Data Employee'!M:M,MATCH(A36,'Data Employee'!A:A,0))),"")</f>
        <v>46428</v>
      </c>
      <c r="L36" s="11" t="str">
        <f t="shared" ca="1" si="1"/>
        <v>192 Days</v>
      </c>
      <c r="M36" s="11" t="str">
        <f t="shared" ca="1" si="2"/>
        <v>Active</v>
      </c>
    </row>
    <row r="37" spans="1:13" x14ac:dyDescent="0.35">
      <c r="A37">
        <v>202043999</v>
      </c>
      <c r="B37" t="str">
        <f>INDEX('Data Employee'!$B$2:$B$1000, MATCH(A37, 'Data Employee'!$A$2:$A$1000, 0))</f>
        <v>Nadia Pangestu</v>
      </c>
      <c r="C37" t="str">
        <f>INDEX('Data Employee'!$G$2:$G$1000,MATCH(A37,'Data Employee'!$A$2:$A$1000,0))</f>
        <v>Male</v>
      </c>
      <c r="D37" s="9" t="str" cm="1">
        <f t="array" aca="1" ref="D37" ca="1">IF(J37="","",_xlfn.IFS(DATEDIF(J37,TODAY(),"M")&lt;12,"Contract 1",DATEDIF(J37,TODAY(),"M")&lt;36,"Contract 2",DATEDIF(J37,TODAY(),"M")&lt;60,"Contract 3",DATEDIF(J37,TODAY(),"M")&lt;63,"Probation",TRUE,"Permanent"))</f>
        <v>Permanent</v>
      </c>
      <c r="E37" s="9" t="str">
        <f t="shared" ca="1" si="0"/>
        <v>Permanent</v>
      </c>
      <c r="F37" s="9" t="str">
        <f>VLOOKUP(A37, 'Data Employee'!$A$2:$U$1000, 19, FALSE)</f>
        <v>Information Systems</v>
      </c>
      <c r="G37" s="9" t="str">
        <f>VLOOKUP(A37, 'Data Employee'!$A$2:$U$1000, 20, FALSE)</f>
        <v>Information Technology</v>
      </c>
      <c r="H37" s="9" t="str">
        <f>INDEX('Data Employee'!$W$2:$W$1000, MATCH(A37, 'Data Employee'!$A$2:$A$1000, 0))</f>
        <v>IT Manager</v>
      </c>
      <c r="I37" t="str">
        <f>INDEX('Data Employee'!$V$2:$V$1000,MATCH(A37,'Data Employee'!$A$2:$A$1000,0))</f>
        <v>Manager</v>
      </c>
      <c r="J37" s="18">
        <f>INDEX('Data Employee'!$L$2:$L$1000, MATCH(A37, 'Data Employee'!$A$2:$A$1000, 0))</f>
        <v>42355</v>
      </c>
      <c r="K37" s="19" t="str">
        <f>IFERROR(IF(INDEX('Data Employee'!M:M,MATCH(A37,'Data Employee'!A:A,0))="","",INDEX('Data Employee'!M:M,MATCH(A37,'Data Employee'!A:A,0))),"")</f>
        <v/>
      </c>
      <c r="L37" s="11" t="str">
        <f t="shared" ca="1" si="1"/>
        <v/>
      </c>
      <c r="M37" s="11" t="str">
        <f t="shared" ca="1" si="2"/>
        <v>Active</v>
      </c>
    </row>
    <row r="38" spans="1:13" x14ac:dyDescent="0.35">
      <c r="A38">
        <v>201743014</v>
      </c>
      <c r="B38" t="str">
        <f>INDEX('Data Employee'!$B$2:$B$1000, MATCH(A38, 'Data Employee'!$A$2:$A$1000, 0))</f>
        <v>Putri Sari</v>
      </c>
      <c r="C38" t="str">
        <f>INDEX('Data Employee'!$G$2:$G$1000,MATCH(A38,'Data Employee'!$A$2:$A$1000,0))</f>
        <v>Male</v>
      </c>
      <c r="D38" s="9" t="str" cm="1">
        <f t="array" aca="1" ref="D38" ca="1">IF(J38="","",_xlfn.IFS(DATEDIF(J38,TODAY(),"M")&lt;12,"Contract 1",DATEDIF(J38,TODAY(),"M")&lt;36,"Contract 2",DATEDIF(J38,TODAY(),"M")&lt;60,"Contract 3",DATEDIF(J38,TODAY(),"M")&lt;63,"Probation",TRUE,"Permanent"))</f>
        <v>Permanent</v>
      </c>
      <c r="E38" s="9" t="str">
        <f t="shared" ca="1" si="0"/>
        <v>Permanent</v>
      </c>
      <c r="F38" s="9" t="str">
        <f>VLOOKUP(A38, 'Data Employee'!$A$2:$U$1000, 19, FALSE)</f>
        <v>Electrical Engineering</v>
      </c>
      <c r="G38" s="9" t="str">
        <f>VLOOKUP(A38, 'Data Employee'!$A$2:$U$1000, 20, FALSE)</f>
        <v>Information Technology</v>
      </c>
      <c r="H38" s="9" t="str">
        <f>INDEX('Data Employee'!$W$2:$W$1000, MATCH(A38, 'Data Employee'!$A$2:$A$1000, 0))</f>
        <v>IT Supervisor</v>
      </c>
      <c r="I38" t="str">
        <f>INDEX('Data Employee'!$V$2:$V$1000,MATCH(A38,'Data Employee'!$A$2:$A$1000,0))</f>
        <v>Supervisor</v>
      </c>
      <c r="J38" s="18">
        <f>INDEX('Data Employee'!$L$2:$L$1000, MATCH(A38, 'Data Employee'!$A$2:$A$1000, 0))</f>
        <v>43014</v>
      </c>
      <c r="K38" s="19" t="str">
        <f>IFERROR(IF(INDEX('Data Employee'!M:M,MATCH(A38,'Data Employee'!A:A,0))="","",INDEX('Data Employee'!M:M,MATCH(A38,'Data Employee'!A:A,0))),"")</f>
        <v/>
      </c>
      <c r="L38" s="11" t="str">
        <f t="shared" ca="1" si="1"/>
        <v/>
      </c>
      <c r="M38" s="11" t="str">
        <f t="shared" ca="1" si="2"/>
        <v>Active</v>
      </c>
    </row>
    <row r="39" spans="1:13" x14ac:dyDescent="0.35">
      <c r="A39">
        <v>201642621</v>
      </c>
      <c r="B39" t="str">
        <f>INDEX('Data Employee'!$B$2:$B$1000, MATCH(A39, 'Data Employee'!$A$2:$A$1000, 0))</f>
        <v>Siti Kurniawan</v>
      </c>
      <c r="C39" t="str">
        <f>INDEX('Data Employee'!$G$2:$G$1000,MATCH(A39,'Data Employee'!$A$2:$A$1000,0))</f>
        <v>Male</v>
      </c>
      <c r="D39" s="9" t="str" cm="1">
        <f t="array" aca="1" ref="D39" ca="1">IF(J39="","",_xlfn.IFS(DATEDIF(J39,TODAY(),"M")&lt;12,"Contract 1",DATEDIF(J39,TODAY(),"M")&lt;36,"Contract 2",DATEDIF(J39,TODAY(),"M")&lt;60,"Contract 3",DATEDIF(J39,TODAY(),"M")&lt;63,"Probation",TRUE,"Permanent"))</f>
        <v>Permanent</v>
      </c>
      <c r="E39" s="9" t="str">
        <f t="shared" ca="1" si="0"/>
        <v>Permanent</v>
      </c>
      <c r="F39" s="9" t="str">
        <f>VLOOKUP(A39, 'Data Employee'!$A$2:$U$1000, 19, FALSE)</f>
        <v>Information Systems</v>
      </c>
      <c r="G39" s="9" t="str">
        <f>VLOOKUP(A39, 'Data Employee'!$A$2:$U$1000, 20, FALSE)</f>
        <v>Information Technology</v>
      </c>
      <c r="H39" s="9" t="str">
        <f>INDEX('Data Employee'!$W$2:$W$1000, MATCH(A39, 'Data Employee'!$A$2:$A$1000, 0))</f>
        <v>UI / UX Design</v>
      </c>
      <c r="I39" t="str">
        <f>INDEX('Data Employee'!$V$2:$V$1000,MATCH(A39,'Data Employee'!$A$2:$A$1000,0))</f>
        <v>Senior Professional / Engineer / Analyst</v>
      </c>
      <c r="J39" s="18">
        <f>INDEX('Data Employee'!$L$2:$L$1000, MATCH(A39, 'Data Employee'!$A$2:$A$1000, 0))</f>
        <v>42621</v>
      </c>
      <c r="K39" s="19" t="str">
        <f>IFERROR(IF(INDEX('Data Employee'!M:M,MATCH(A39,'Data Employee'!A:A,0))="","",INDEX('Data Employee'!M:M,MATCH(A39,'Data Employee'!A:A,0))),"")</f>
        <v/>
      </c>
      <c r="L39" s="11" t="str">
        <f t="shared" ca="1" si="1"/>
        <v/>
      </c>
      <c r="M39" s="11" t="str">
        <f t="shared" ca="1" si="2"/>
        <v>Active</v>
      </c>
    </row>
    <row r="40" spans="1:13" x14ac:dyDescent="0.35">
      <c r="A40">
        <v>201642522</v>
      </c>
      <c r="B40" t="str">
        <f>INDEX('Data Employee'!$B$2:$B$1000, MATCH(A40, 'Data Employee'!$A$2:$A$1000, 0))</f>
        <v>Lina Kurniawan</v>
      </c>
      <c r="C40" t="str">
        <f>INDEX('Data Employee'!$G$2:$G$1000,MATCH(A40,'Data Employee'!$A$2:$A$1000,0))</f>
        <v>Male</v>
      </c>
      <c r="D40" s="9" t="str" cm="1">
        <f t="array" aca="1" ref="D40" ca="1">IF(J40="","",_xlfn.IFS(DATEDIF(J40,TODAY(),"M")&lt;12,"Contract 1",DATEDIF(J40,TODAY(),"M")&lt;36,"Contract 2",DATEDIF(J40,TODAY(),"M")&lt;60,"Contract 3",DATEDIF(J40,TODAY(),"M")&lt;63,"Probation",TRUE,"Permanent"))</f>
        <v>Permanent</v>
      </c>
      <c r="E40" s="9" t="str">
        <f t="shared" ca="1" si="0"/>
        <v>Permanent</v>
      </c>
      <c r="F40" s="9" t="str">
        <f>VLOOKUP(A40, 'Data Employee'!$A$2:$U$1000, 19, FALSE)</f>
        <v>Information Systems</v>
      </c>
      <c r="G40" s="9" t="str">
        <f>VLOOKUP(A40, 'Data Employee'!$A$2:$U$1000, 20, FALSE)</f>
        <v>Information Technology</v>
      </c>
      <c r="H40" s="9" t="str">
        <f>INDEX('Data Employee'!$W$2:$W$1000, MATCH(A40, 'Data Employee'!$A$2:$A$1000, 0))</f>
        <v>UI / UX Design</v>
      </c>
      <c r="I40" t="str">
        <f>INDEX('Data Employee'!$V$2:$V$1000,MATCH(A40,'Data Employee'!$A$2:$A$1000,0))</f>
        <v>Senior Professional / Engineer / Analyst</v>
      </c>
      <c r="J40" s="18">
        <f>INDEX('Data Employee'!$L$2:$L$1000, MATCH(A40, 'Data Employee'!$A$2:$A$1000, 0))</f>
        <v>42522</v>
      </c>
      <c r="K40" s="19" t="str">
        <f>IFERROR(IF(INDEX('Data Employee'!M:M,MATCH(A40,'Data Employee'!A:A,0))="","",INDEX('Data Employee'!M:M,MATCH(A40,'Data Employee'!A:A,0))),"")</f>
        <v/>
      </c>
      <c r="L40" s="11" t="str">
        <f t="shared" ca="1" si="1"/>
        <v/>
      </c>
      <c r="M40" s="11" t="str">
        <f t="shared" ca="1" si="2"/>
        <v>Active</v>
      </c>
    </row>
    <row r="41" spans="1:13" x14ac:dyDescent="0.35">
      <c r="A41">
        <v>202043964</v>
      </c>
      <c r="B41" t="str">
        <f>INDEX('Data Employee'!$B$2:$B$1000, MATCH(A41, 'Data Employee'!$A$2:$A$1000, 0))</f>
        <v>Nadia Sari</v>
      </c>
      <c r="C41" t="str">
        <f>INDEX('Data Employee'!$G$2:$G$1000,MATCH(A41,'Data Employee'!$A$2:$A$1000,0))</f>
        <v>Male</v>
      </c>
      <c r="D41" s="9" t="str" cm="1">
        <f t="array" aca="1" ref="D41" ca="1">IF(J41="","",_xlfn.IFS(DATEDIF(J41,TODAY(),"M")&lt;12,"Contract 1",DATEDIF(J41,TODAY(),"M")&lt;36,"Contract 2",DATEDIF(J41,TODAY(),"M")&lt;60,"Contract 3",DATEDIF(J41,TODAY(),"M")&lt;63,"Probation",TRUE,"Permanent"))</f>
        <v>Permanent</v>
      </c>
      <c r="E41" s="9" t="str">
        <f t="shared" ca="1" si="0"/>
        <v>Permanent</v>
      </c>
      <c r="F41" s="9" t="str">
        <f>VLOOKUP(A41, 'Data Employee'!$A$2:$U$1000, 19, FALSE)</f>
        <v>Information Systems</v>
      </c>
      <c r="G41" s="9" t="str">
        <f>VLOOKUP(A41, 'Data Employee'!$A$2:$U$1000, 20, FALSE)</f>
        <v>Information Technology</v>
      </c>
      <c r="H41" s="9" t="str">
        <f>INDEX('Data Employee'!$W$2:$W$1000, MATCH(A41, 'Data Employee'!$A$2:$A$1000, 0))</f>
        <v>Front End Developer</v>
      </c>
      <c r="I41" t="str">
        <f>INDEX('Data Employee'!$V$2:$V$1000,MATCH(A41,'Data Employee'!$A$2:$A$1000,0))</f>
        <v>Senior Professional / Engineer / Analyst</v>
      </c>
      <c r="J41" s="18">
        <f>INDEX('Data Employee'!$L$2:$L$1000, MATCH(A41, 'Data Employee'!$A$2:$A$1000, 0))</f>
        <v>43964</v>
      </c>
      <c r="K41" s="19" t="str">
        <f>IFERROR(IF(INDEX('Data Employee'!M:M,MATCH(A41,'Data Employee'!A:A,0))="","",INDEX('Data Employee'!M:M,MATCH(A41,'Data Employee'!A:A,0))),"")</f>
        <v/>
      </c>
      <c r="L41" s="11" t="str">
        <f t="shared" ca="1" si="1"/>
        <v/>
      </c>
      <c r="M41" s="11" t="str">
        <f t="shared" ca="1" si="2"/>
        <v>Active</v>
      </c>
    </row>
    <row r="42" spans="1:13" x14ac:dyDescent="0.35">
      <c r="A42">
        <v>202044158</v>
      </c>
      <c r="B42" t="str">
        <f>INDEX('Data Employee'!$B$2:$B$1000, MATCH(A42, 'Data Employee'!$A$2:$A$1000, 0))</f>
        <v>Indah Wijaya</v>
      </c>
      <c r="C42" t="str">
        <f>INDEX('Data Employee'!$G$2:$G$1000,MATCH(A42,'Data Employee'!$A$2:$A$1000,0))</f>
        <v>Male</v>
      </c>
      <c r="D42" s="9" t="str" cm="1">
        <f t="array" aca="1" ref="D42" ca="1">IF(J42="","",_xlfn.IFS(DATEDIF(J42,TODAY(),"M")&lt;12,"Contract 1",DATEDIF(J42,TODAY(),"M")&lt;36,"Contract 2",DATEDIF(J42,TODAY(),"M")&lt;60,"Contract 3",DATEDIF(J42,TODAY(),"M")&lt;63,"Probation",TRUE,"Permanent"))</f>
        <v>Permanent</v>
      </c>
      <c r="E42" s="9" t="str">
        <f t="shared" ca="1" si="0"/>
        <v>Permanent</v>
      </c>
      <c r="F42" s="9" t="str">
        <f>VLOOKUP(A42, 'Data Employee'!$A$2:$U$1000, 19, FALSE)</f>
        <v>Information Systems</v>
      </c>
      <c r="G42" s="9" t="str">
        <f>VLOOKUP(A42, 'Data Employee'!$A$2:$U$1000, 20, FALSE)</f>
        <v>Information Technology</v>
      </c>
      <c r="H42" s="9" t="str">
        <f>INDEX('Data Employee'!$W$2:$W$1000, MATCH(A42, 'Data Employee'!$A$2:$A$1000, 0))</f>
        <v>Front End Developer</v>
      </c>
      <c r="I42" t="str">
        <f>INDEX('Data Employee'!$V$2:$V$1000,MATCH(A42,'Data Employee'!$A$2:$A$1000,0))</f>
        <v>Senior Professional / Engineer / Analyst</v>
      </c>
      <c r="J42" s="18">
        <f>INDEX('Data Employee'!$L$2:$L$1000, MATCH(A42, 'Data Employee'!$A$2:$A$1000, 0))</f>
        <v>44158</v>
      </c>
      <c r="K42" s="19" t="str">
        <f>IFERROR(IF(INDEX('Data Employee'!M:M,MATCH(A42,'Data Employee'!A:A,0))="","",INDEX('Data Employee'!M:M,MATCH(A42,'Data Employee'!A:A,0))),"")</f>
        <v/>
      </c>
      <c r="L42" s="11" t="str">
        <f t="shared" ca="1" si="1"/>
        <v/>
      </c>
      <c r="M42" s="11" t="str">
        <f t="shared" ca="1" si="2"/>
        <v>Active</v>
      </c>
    </row>
    <row r="43" spans="1:13" x14ac:dyDescent="0.35">
      <c r="A43">
        <v>202144222</v>
      </c>
      <c r="B43" t="str">
        <f>INDEX('Data Employee'!$B$2:$B$1000, MATCH(A43, 'Data Employee'!$A$2:$A$1000, 0))</f>
        <v>Nadia Kusuma</v>
      </c>
      <c r="C43" t="str">
        <f>INDEX('Data Employee'!$G$2:$G$1000,MATCH(A43,'Data Employee'!$A$2:$A$1000,0))</f>
        <v>Male</v>
      </c>
      <c r="D43" s="9" t="str" cm="1">
        <f t="array" aca="1" ref="D43" ca="1">IF(J43="","",_xlfn.IFS(DATEDIF(J43,TODAY(),"M")&lt;12,"Contract 1",DATEDIF(J43,TODAY(),"M")&lt;36,"Contract 2",DATEDIF(J43,TODAY(),"M")&lt;60,"Contract 3",DATEDIF(J43,TODAY(),"M")&lt;63,"Probation",TRUE,"Permanent"))</f>
        <v>Permanent</v>
      </c>
      <c r="E43" s="9" t="str">
        <f t="shared" ca="1" si="0"/>
        <v>Permanent</v>
      </c>
      <c r="F43" s="9" t="str">
        <f>VLOOKUP(A43, 'Data Employee'!$A$2:$U$1000, 19, FALSE)</f>
        <v>Information Systems</v>
      </c>
      <c r="G43" s="9" t="str">
        <f>VLOOKUP(A43, 'Data Employee'!$A$2:$U$1000, 20, FALSE)</f>
        <v>Information Technology</v>
      </c>
      <c r="H43" s="9" t="str">
        <f>INDEX('Data Employee'!$W$2:$W$1000, MATCH(A43, 'Data Employee'!$A$2:$A$1000, 0))</f>
        <v>Back End Developer</v>
      </c>
      <c r="I43" t="str">
        <f>INDEX('Data Employee'!$V$2:$V$1000,MATCH(A43,'Data Employee'!$A$2:$A$1000,0))</f>
        <v>Senior Professional / Engineer / Analyst</v>
      </c>
      <c r="J43" s="18">
        <f>INDEX('Data Employee'!$L$2:$L$1000, MATCH(A43, 'Data Employee'!$A$2:$A$1000, 0))</f>
        <v>44222</v>
      </c>
      <c r="K43" s="19" t="str">
        <f>IFERROR(IF(INDEX('Data Employee'!M:M,MATCH(A43,'Data Employee'!A:A,0))="","",INDEX('Data Employee'!M:M,MATCH(A43,'Data Employee'!A:A,0))),"")</f>
        <v/>
      </c>
      <c r="L43" s="11" t="str">
        <f t="shared" ca="1" si="1"/>
        <v/>
      </c>
      <c r="M43" s="11" t="str">
        <f t="shared" ca="1" si="2"/>
        <v>Active</v>
      </c>
    </row>
    <row r="44" spans="1:13" x14ac:dyDescent="0.35">
      <c r="A44">
        <v>201642559</v>
      </c>
      <c r="B44" t="str">
        <f>INDEX('Data Employee'!$B$2:$B$1000, MATCH(A44, 'Data Employee'!$A$2:$A$1000, 0))</f>
        <v>Lina Ramadhan</v>
      </c>
      <c r="C44" t="str">
        <f>INDEX('Data Employee'!$G$2:$G$1000,MATCH(A44,'Data Employee'!$A$2:$A$1000,0))</f>
        <v>Female</v>
      </c>
      <c r="D44" s="9" t="str" cm="1">
        <f t="array" aca="1" ref="D44" ca="1">IF(J44="","",_xlfn.IFS(DATEDIF(J44,TODAY(),"M")&lt;12,"Contract 1",DATEDIF(J44,TODAY(),"M")&lt;36,"Contract 2",DATEDIF(J44,TODAY(),"M")&lt;60,"Contract 3",DATEDIF(J44,TODAY(),"M")&lt;63,"Probation",TRUE,"Permanent"))</f>
        <v>Permanent</v>
      </c>
      <c r="E44" s="9" t="str">
        <f t="shared" ca="1" si="0"/>
        <v>Permanent</v>
      </c>
      <c r="F44" s="9" t="str">
        <f>VLOOKUP(A44, 'Data Employee'!$A$2:$U$1000, 19, FALSE)</f>
        <v>Informatics Engineering</v>
      </c>
      <c r="G44" s="9" t="str">
        <f>VLOOKUP(A44, 'Data Employee'!$A$2:$U$1000, 20, FALSE)</f>
        <v>Information Technology</v>
      </c>
      <c r="H44" s="9" t="str">
        <f>INDEX('Data Employee'!$W$2:$W$1000, MATCH(A44, 'Data Employee'!$A$2:$A$1000, 0))</f>
        <v>Back End Developer</v>
      </c>
      <c r="I44" t="str">
        <f>INDEX('Data Employee'!$V$2:$V$1000,MATCH(A44,'Data Employee'!$A$2:$A$1000,0))</f>
        <v>Senior Professional / Engineer / Analyst</v>
      </c>
      <c r="J44" s="18">
        <f>INDEX('Data Employee'!$L$2:$L$1000, MATCH(A44, 'Data Employee'!$A$2:$A$1000, 0))</f>
        <v>42559</v>
      </c>
      <c r="K44" s="19" t="str">
        <f>IFERROR(IF(INDEX('Data Employee'!M:M,MATCH(A44,'Data Employee'!A:A,0))="","",INDEX('Data Employee'!M:M,MATCH(A44,'Data Employee'!A:A,0))),"")</f>
        <v/>
      </c>
      <c r="L44" s="11" t="str">
        <f t="shared" ca="1" si="1"/>
        <v/>
      </c>
      <c r="M44" s="11" t="str">
        <f t="shared" ca="1" si="2"/>
        <v>Active</v>
      </c>
    </row>
    <row r="45" spans="1:13" x14ac:dyDescent="0.35">
      <c r="A45">
        <v>201642499</v>
      </c>
      <c r="B45" t="str">
        <f>INDEX('Data Employee'!$B$2:$B$1000, MATCH(A45, 'Data Employee'!$A$2:$A$1000, 0))</f>
        <v>Rina Santoso</v>
      </c>
      <c r="C45" t="str">
        <f>INDEX('Data Employee'!$G$2:$G$1000,MATCH(A45,'Data Employee'!$A$2:$A$1000,0))</f>
        <v>Female</v>
      </c>
      <c r="D45" s="9" t="str" cm="1">
        <f t="array" aca="1" ref="D45" ca="1">IF(J45="","",_xlfn.IFS(DATEDIF(J45,TODAY(),"M")&lt;12,"Contract 1",DATEDIF(J45,TODAY(),"M")&lt;36,"Contract 2",DATEDIF(J45,TODAY(),"M")&lt;60,"Contract 3",DATEDIF(J45,TODAY(),"M")&lt;63,"Probation",TRUE,"Permanent"))</f>
        <v>Contract 3</v>
      </c>
      <c r="E45" s="9" t="str">
        <f t="shared" ca="1" si="0"/>
        <v>60 Month</v>
      </c>
      <c r="F45" s="9" t="str">
        <f>VLOOKUP(A45, 'Data Employee'!$A$2:$U$1000, 19, FALSE)</f>
        <v>Informatics Engineering</v>
      </c>
      <c r="G45" s="9" t="str">
        <f>VLOOKUP(A45, 'Data Employee'!$A$2:$U$1000, 20, FALSE)</f>
        <v>Information Technology</v>
      </c>
      <c r="H45" s="9" t="str">
        <f>INDEX('Data Employee'!$W$2:$W$1000, MATCH(A45, 'Data Employee'!$A$2:$A$1000, 0))</f>
        <v>Programmer</v>
      </c>
      <c r="I45" t="str">
        <f>INDEX('Data Employee'!$V$2:$V$1000,MATCH(A45,'Data Employee'!$A$2:$A$1000,0))</f>
        <v>Officer / Executive</v>
      </c>
      <c r="J45" s="18">
        <f>INDEX('Data Employee'!$L$2:$L$1000, MATCH(A45, 'Data Employee'!$A$2:$A$1000, 0))</f>
        <v>45055</v>
      </c>
      <c r="K45" s="19">
        <f>IFERROR(IF(INDEX('Data Employee'!M:M,MATCH(A45,'Data Employee'!A:A,0))="","",INDEX('Data Employee'!M:M,MATCH(A45,'Data Employee'!A:A,0))),"")</f>
        <v>46882</v>
      </c>
      <c r="L45" s="11" t="str">
        <f t="shared" ca="1" si="1"/>
        <v>646 Days</v>
      </c>
      <c r="M45" s="11" t="str">
        <f t="shared" ca="1" si="2"/>
        <v>Active</v>
      </c>
    </row>
    <row r="46" spans="1:13" x14ac:dyDescent="0.35">
      <c r="A46">
        <v>201943613</v>
      </c>
      <c r="B46" t="str">
        <f>INDEX('Data Employee'!$B$2:$B$1000, MATCH(A46, 'Data Employee'!$A$2:$A$1000, 0))</f>
        <v>Nadia Maulana</v>
      </c>
      <c r="C46" t="str">
        <f>INDEX('Data Employee'!$G$2:$G$1000,MATCH(A46,'Data Employee'!$A$2:$A$1000,0))</f>
        <v>Male</v>
      </c>
      <c r="D46" s="9" t="str" cm="1">
        <f t="array" aca="1" ref="D46" ca="1">IF(J46="","",_xlfn.IFS(DATEDIF(J46,TODAY(),"M")&lt;12,"Contract 1",DATEDIF(J46,TODAY(),"M")&lt;36,"Contract 2",DATEDIF(J46,TODAY(),"M")&lt;60,"Contract 3",DATEDIF(J46,TODAY(),"M")&lt;63,"Probation",TRUE,"Permanent"))</f>
        <v>Contract 2</v>
      </c>
      <c r="E46" s="9" t="str">
        <f t="shared" ca="1" si="0"/>
        <v>24 Month</v>
      </c>
      <c r="F46" s="9" t="str">
        <f>VLOOKUP(A46, 'Data Employee'!$A$2:$U$1000, 19, FALSE)</f>
        <v>Informatics Engineering</v>
      </c>
      <c r="G46" s="9" t="str">
        <f>VLOOKUP(A46, 'Data Employee'!$A$2:$U$1000, 20, FALSE)</f>
        <v>Information Technology</v>
      </c>
      <c r="H46" s="9" t="str">
        <f>INDEX('Data Employee'!$W$2:$W$1000, MATCH(A46, 'Data Employee'!$A$2:$A$1000, 0))</f>
        <v>Programmer</v>
      </c>
      <c r="I46" t="str">
        <f>INDEX('Data Employee'!$V$2:$V$1000,MATCH(A46,'Data Employee'!$A$2:$A$1000,0))</f>
        <v>Officer / Executive</v>
      </c>
      <c r="J46" s="18">
        <f>INDEX('Data Employee'!$L$2:$L$1000, MATCH(A46, 'Data Employee'!$A$2:$A$1000, 0))</f>
        <v>45440</v>
      </c>
      <c r="K46" s="19">
        <f>IFERROR(IF(INDEX('Data Employee'!M:M,MATCH(A46,'Data Employee'!A:A,0))="","",INDEX('Data Employee'!M:M,MATCH(A46,'Data Employee'!A:A,0))),"")</f>
        <v>47266</v>
      </c>
      <c r="L46" s="11" t="str">
        <f t="shared" ca="1" si="1"/>
        <v>1030 Days</v>
      </c>
      <c r="M46" s="11" t="str">
        <f t="shared" ca="1" si="2"/>
        <v>Active</v>
      </c>
    </row>
    <row r="47" spans="1:13" x14ac:dyDescent="0.35">
      <c r="A47">
        <v>202043913</v>
      </c>
      <c r="B47" t="str">
        <f>INDEX('Data Employee'!$B$2:$B$1000, MATCH(A47, 'Data Employee'!$A$2:$A$1000, 0))</f>
        <v>Indah Saputra</v>
      </c>
      <c r="C47" t="str">
        <f>INDEX('Data Employee'!$G$2:$G$1000,MATCH(A47,'Data Employee'!$A$2:$A$1000,0))</f>
        <v>Male</v>
      </c>
      <c r="D47" s="9" t="str" cm="1">
        <f t="array" aca="1" ref="D47" ca="1">IF(J47="","",_xlfn.IFS(DATEDIF(J47,TODAY(),"M")&lt;12,"Contract 1",DATEDIF(J47,TODAY(),"M")&lt;36,"Contract 2",DATEDIF(J47,TODAY(),"M")&lt;60,"Contract 3",DATEDIF(J47,TODAY(),"M")&lt;63,"Probation",TRUE,"Permanent"))</f>
        <v>Contract 2</v>
      </c>
      <c r="E47" s="9" t="str">
        <f t="shared" ca="1" si="0"/>
        <v>24 Month</v>
      </c>
      <c r="F47" s="9" t="str">
        <f>VLOOKUP(A47, 'Data Employee'!$A$2:$U$1000, 19, FALSE)</f>
        <v>Informatics Engineering</v>
      </c>
      <c r="G47" s="9" t="str">
        <f>VLOOKUP(A47, 'Data Employee'!$A$2:$U$1000, 20, FALSE)</f>
        <v>Information Technology</v>
      </c>
      <c r="H47" s="9" t="str">
        <f>INDEX('Data Employee'!$W$2:$W$1000, MATCH(A47, 'Data Employee'!$A$2:$A$1000, 0))</f>
        <v>Programmer</v>
      </c>
      <c r="I47" t="str">
        <f>INDEX('Data Employee'!$V$2:$V$1000,MATCH(A47,'Data Employee'!$A$2:$A$1000,0))</f>
        <v>Officer / Executive</v>
      </c>
      <c r="J47" s="18">
        <f>INDEX('Data Employee'!$L$2:$L$1000, MATCH(A47, 'Data Employee'!$A$2:$A$1000, 0))</f>
        <v>45739</v>
      </c>
      <c r="K47" s="19">
        <f>IFERROR(IF(INDEX('Data Employee'!M:M,MATCH(A47,'Data Employee'!A:A,0))="","",INDEX('Data Employee'!M:M,MATCH(A47,'Data Employee'!A:A,0))),"")</f>
        <v>46469</v>
      </c>
      <c r="L47" s="11" t="str">
        <f t="shared" ca="1" si="1"/>
        <v>233 Days</v>
      </c>
      <c r="M47" s="11" t="str">
        <f t="shared" ca="1" si="2"/>
        <v>Active</v>
      </c>
    </row>
    <row r="48" spans="1:13" x14ac:dyDescent="0.35">
      <c r="A48">
        <v>202244621</v>
      </c>
      <c r="B48" t="str">
        <f>INDEX('Data Employee'!$B$2:$B$1000, MATCH(A48, 'Data Employee'!$A$2:$A$1000, 0))</f>
        <v>Adi Hidayat</v>
      </c>
      <c r="C48" t="str">
        <f>INDEX('Data Employee'!$G$2:$G$1000,MATCH(A48,'Data Employee'!$A$2:$A$1000,0))</f>
        <v>Male</v>
      </c>
      <c r="D48" s="9" t="str" cm="1">
        <f t="array" aca="1" ref="D48" ca="1">IF(J48="","",_xlfn.IFS(DATEDIF(J48,TODAY(),"M")&lt;12,"Contract 1",DATEDIF(J48,TODAY(),"M")&lt;36,"Contract 2",DATEDIF(J48,TODAY(),"M")&lt;60,"Contract 3",DATEDIF(J48,TODAY(),"M")&lt;63,"Probation",TRUE,"Permanent"))</f>
        <v>Contract 3</v>
      </c>
      <c r="E48" s="9" t="str">
        <f t="shared" ca="1" si="0"/>
        <v>60 Month</v>
      </c>
      <c r="F48" s="9" t="str">
        <f>VLOOKUP(A48, 'Data Employee'!$A$2:$U$1000, 19, FALSE)</f>
        <v>Law</v>
      </c>
      <c r="G48" s="9" t="str">
        <f>VLOOKUP(A48, 'Data Employee'!$A$2:$U$1000, 20, FALSE)</f>
        <v>Legal &amp; Compliance</v>
      </c>
      <c r="H48" s="9" t="str">
        <f>INDEX('Data Employee'!$W$2:$W$1000, MATCH(A48, 'Data Employee'!$A$2:$A$1000, 0))</f>
        <v>Legal Officer</v>
      </c>
      <c r="I48" t="str">
        <f>INDEX('Data Employee'!$V$2:$V$1000,MATCH(A48,'Data Employee'!$A$2:$A$1000,0))</f>
        <v>Officer / Executive</v>
      </c>
      <c r="J48" s="18">
        <f>INDEX('Data Employee'!$L$2:$L$1000, MATCH(A48, 'Data Employee'!$A$2:$A$1000, 0))</f>
        <v>44621</v>
      </c>
      <c r="K48" s="19">
        <f>IFERROR(IF(INDEX('Data Employee'!M:M,MATCH(A48,'Data Employee'!A:A,0))="","",INDEX('Data Employee'!M:M,MATCH(A48,'Data Employee'!A:A,0))),"")</f>
        <v>46447</v>
      </c>
      <c r="L48" s="11" t="str">
        <f t="shared" ca="1" si="1"/>
        <v>211 Days</v>
      </c>
      <c r="M48" s="11" t="str">
        <f t="shared" ca="1" si="2"/>
        <v>Active</v>
      </c>
    </row>
    <row r="49" spans="1:13" x14ac:dyDescent="0.35">
      <c r="A49">
        <v>201742985</v>
      </c>
      <c r="B49" t="str">
        <f>INDEX('Data Employee'!$B$2:$B$1000, MATCH(A49, 'Data Employee'!$A$2:$A$1000, 0))</f>
        <v>Aulia Lestari</v>
      </c>
      <c r="C49" t="str">
        <f>INDEX('Data Employee'!$G$2:$G$1000,MATCH(A49,'Data Employee'!$A$2:$A$1000,0))</f>
        <v>Male</v>
      </c>
      <c r="D49" s="9" t="str" cm="1">
        <f t="array" aca="1" ref="D49" ca="1">IF(J49="","",_xlfn.IFS(DATEDIF(J49,TODAY(),"M")&lt;12,"Contract 1",DATEDIF(J49,TODAY(),"M")&lt;36,"Contract 2",DATEDIF(J49,TODAY(),"M")&lt;60,"Contract 3",DATEDIF(J49,TODAY(),"M")&lt;63,"Probation",TRUE,"Permanent"))</f>
        <v>Permanent</v>
      </c>
      <c r="E49" s="9" t="str">
        <f t="shared" ca="1" si="0"/>
        <v>Permanent</v>
      </c>
      <c r="F49" s="9" t="str">
        <f>VLOOKUP(A49, 'Data Employee'!$A$2:$U$1000, 19, FALSE)</f>
        <v>Electrical Engineering</v>
      </c>
      <c r="G49" s="9" t="str">
        <f>VLOOKUP(A49, 'Data Employee'!$A$2:$U$1000, 20, FALSE)</f>
        <v>Information Technology</v>
      </c>
      <c r="H49" s="9" t="str">
        <f>INDEX('Data Employee'!$W$2:$W$1000, MATCH(A49, 'Data Employee'!$A$2:$A$1000, 0))</f>
        <v>IT Support</v>
      </c>
      <c r="I49" t="str">
        <f>INDEX('Data Employee'!$V$2:$V$1000,MATCH(A49,'Data Employee'!$A$2:$A$1000,0))</f>
        <v>Staff</v>
      </c>
      <c r="J49" s="18">
        <f>INDEX('Data Employee'!$L$2:$L$1000, MATCH(A49, 'Data Employee'!$A$2:$A$1000, 0))</f>
        <v>44081</v>
      </c>
      <c r="K49" s="19" t="str">
        <f>IFERROR(IF(INDEX('Data Employee'!M:M,MATCH(A49,'Data Employee'!A:A,0))="","",INDEX('Data Employee'!M:M,MATCH(A49,'Data Employee'!A:A,0))),"")</f>
        <v/>
      </c>
      <c r="L49" s="11" t="str">
        <f t="shared" ca="1" si="1"/>
        <v/>
      </c>
      <c r="M49" s="11" t="str">
        <f t="shared" ca="1" si="2"/>
        <v>Active</v>
      </c>
    </row>
    <row r="50" spans="1:13" x14ac:dyDescent="0.35">
      <c r="A50">
        <v>202545966</v>
      </c>
      <c r="B50" t="str">
        <f>INDEX('Data Employee'!$B$2:$B$1000, MATCH(A50, 'Data Employee'!$A$2:$A$1000, 0))</f>
        <v>Dewi Maulana</v>
      </c>
      <c r="C50" t="str">
        <f>INDEX('Data Employee'!$G$2:$G$1000,MATCH(A50,'Data Employee'!$A$2:$A$1000,0))</f>
        <v>Male</v>
      </c>
      <c r="D50" s="9" t="str" cm="1">
        <f t="array" aca="1" ref="D50" ca="1">IF(J50="","",_xlfn.IFS(DATEDIF(J50,TODAY(),"M")&lt;12,"Contract 1",DATEDIF(J50,TODAY(),"M")&lt;36,"Contract 2",DATEDIF(J50,TODAY(),"M")&lt;60,"Contract 3",DATEDIF(J50,TODAY(),"M")&lt;63,"Probation",TRUE,"Permanent"))</f>
        <v>Contract 1</v>
      </c>
      <c r="E50" s="9" t="str">
        <f t="shared" ca="1" si="0"/>
        <v>12 Month</v>
      </c>
      <c r="F50" s="9" t="str">
        <f>VLOOKUP(A50, 'Data Employee'!$A$2:$U$1000, 19, FALSE)</f>
        <v>Electrical Engineering</v>
      </c>
      <c r="G50" s="9" t="str">
        <f>VLOOKUP(A50, 'Data Employee'!$A$2:$U$1000, 20, FALSE)</f>
        <v>Information Technology</v>
      </c>
      <c r="H50" s="9" t="str">
        <f>INDEX('Data Employee'!$W$2:$W$1000, MATCH(A50, 'Data Employee'!$A$2:$A$1000, 0))</f>
        <v>IT Support</v>
      </c>
      <c r="I50" t="str">
        <f>INDEX('Data Employee'!$V$2:$V$1000,MATCH(A50,'Data Employee'!$A$2:$A$1000,0))</f>
        <v>Staff</v>
      </c>
      <c r="J50" s="18">
        <f>INDEX('Data Employee'!$L$2:$L$1000, MATCH(A50, 'Data Employee'!$A$2:$A$1000, 0))</f>
        <v>45966</v>
      </c>
      <c r="K50" s="19">
        <f>IFERROR(IF(INDEX('Data Employee'!M:M,MATCH(A50,'Data Employee'!A:A,0))="","",INDEX('Data Employee'!M:M,MATCH(A50,'Data Employee'!A:A,0))),"")</f>
        <v>46696</v>
      </c>
      <c r="L50" s="11" t="str">
        <f t="shared" ca="1" si="1"/>
        <v>460 Days</v>
      </c>
      <c r="M50" s="11" t="str">
        <f t="shared" ca="1" si="2"/>
        <v>Active</v>
      </c>
    </row>
    <row r="51" spans="1:13" x14ac:dyDescent="0.35">
      <c r="A51">
        <v>201843438</v>
      </c>
      <c r="B51" t="str">
        <f>INDEX('Data Employee'!$B$2:$B$1000, MATCH(A51, 'Data Employee'!$A$2:$A$1000, 0))</f>
        <v>Aulia Maulana</v>
      </c>
      <c r="C51" t="str">
        <f>INDEX('Data Employee'!$G$2:$G$1000,MATCH(A51,'Data Employee'!$A$2:$A$1000,0))</f>
        <v>Female</v>
      </c>
      <c r="D51" s="9" t="str" cm="1">
        <f t="array" aca="1" ref="D51" ca="1">IF(J51="","",_xlfn.IFS(DATEDIF(J51,TODAY(),"M")&lt;12,"Contract 1",DATEDIF(J51,TODAY(),"M")&lt;36,"Contract 2",DATEDIF(J51,TODAY(),"M")&lt;60,"Contract 3",DATEDIF(J51,TODAY(),"M")&lt;63,"Probation",TRUE,"Permanent"))</f>
        <v>Contract 3</v>
      </c>
      <c r="E51" s="9" t="str">
        <f t="shared" ca="1" si="0"/>
        <v>60 Month</v>
      </c>
      <c r="F51" s="9" t="str">
        <f>VLOOKUP(A51, 'Data Employee'!$A$2:$U$1000, 19, FALSE)</f>
        <v>Electrical Engineering</v>
      </c>
      <c r="G51" s="9" t="str">
        <f>VLOOKUP(A51, 'Data Employee'!$A$2:$U$1000, 20, FALSE)</f>
        <v>Information Technology</v>
      </c>
      <c r="H51" s="9" t="str">
        <f>INDEX('Data Employee'!$W$2:$W$1000, MATCH(A51, 'Data Employee'!$A$2:$A$1000, 0))</f>
        <v>IT Support</v>
      </c>
      <c r="I51" t="str">
        <f>INDEX('Data Employee'!$V$2:$V$1000,MATCH(A51,'Data Employee'!$A$2:$A$1000,0))</f>
        <v>Staff</v>
      </c>
      <c r="J51" s="18">
        <f>INDEX('Data Employee'!$L$2:$L$1000, MATCH(A51, 'Data Employee'!$A$2:$A$1000, 0))</f>
        <v>44899</v>
      </c>
      <c r="K51" s="19">
        <f>IFERROR(IF(INDEX('Data Employee'!M:M,MATCH(A51,'Data Employee'!A:A,0))="","",INDEX('Data Employee'!M:M,MATCH(A51,'Data Employee'!A:A,0))),"")</f>
        <v>46725</v>
      </c>
      <c r="L51" s="11" t="str">
        <f t="shared" ca="1" si="1"/>
        <v>489 Days</v>
      </c>
      <c r="M51" s="11" t="str">
        <f t="shared" ca="1" si="2"/>
        <v>Active</v>
      </c>
    </row>
    <row r="52" spans="1:13" x14ac:dyDescent="0.35">
      <c r="A52">
        <v>202545815</v>
      </c>
      <c r="B52" t="str">
        <f>INDEX('Data Employee'!$B$2:$B$1000, MATCH(A52, 'Data Employee'!$A$2:$A$1000, 0))</f>
        <v>Ardi Kusuma</v>
      </c>
      <c r="C52" t="str">
        <f>INDEX('Data Employee'!$G$2:$G$1000,MATCH(A52,'Data Employee'!$A$2:$A$1000,0))</f>
        <v>Male</v>
      </c>
      <c r="D52" s="9" t="str" cm="1">
        <f t="array" aca="1" ref="D52" ca="1">IF(J52="","",_xlfn.IFS(DATEDIF(J52,TODAY(),"M")&lt;12,"Contract 1",DATEDIF(J52,TODAY(),"M")&lt;36,"Contract 2",DATEDIF(J52,TODAY(),"M")&lt;60,"Contract 3",DATEDIF(J52,TODAY(),"M")&lt;63,"Probation",TRUE,"Permanent"))</f>
        <v>Contract 2</v>
      </c>
      <c r="E52" s="9" t="str">
        <f t="shared" ca="1" si="0"/>
        <v>24 Month</v>
      </c>
      <c r="F52" s="9" t="str">
        <f>VLOOKUP(A52, 'Data Employee'!$A$2:$U$1000, 19, FALSE)</f>
        <v>Law</v>
      </c>
      <c r="G52" s="9" t="str">
        <f>VLOOKUP(A52, 'Data Employee'!$A$2:$U$1000, 20, FALSE)</f>
        <v>Legal &amp; Compliance</v>
      </c>
      <c r="H52" s="9" t="str">
        <f>INDEX('Data Employee'!$W$2:$W$1000, MATCH(A52, 'Data Employee'!$A$2:$A$1000, 0))</f>
        <v>Legal Officer</v>
      </c>
      <c r="I52" t="str">
        <f>INDEX('Data Employee'!$V$2:$V$1000,MATCH(A52,'Data Employee'!$A$2:$A$1000,0))</f>
        <v>Officer / Executive</v>
      </c>
      <c r="J52" s="18">
        <f>INDEX('Data Employee'!$L$2:$L$1000, MATCH(A52, 'Data Employee'!$A$2:$A$1000, 0))</f>
        <v>45450</v>
      </c>
      <c r="K52" s="19">
        <f>IFERROR(IF(INDEX('Data Employee'!M:M,MATCH(A52,'Data Employee'!A:A,0))="","",INDEX('Data Employee'!M:M,MATCH(A52,'Data Employee'!A:A,0))),"")</f>
        <v>46545</v>
      </c>
      <c r="L52" s="11" t="str">
        <f t="shared" ca="1" si="1"/>
        <v>309 Days</v>
      </c>
      <c r="M52" s="11" t="str">
        <f t="shared" ca="1" si="2"/>
        <v>Active</v>
      </c>
    </row>
    <row r="53" spans="1:13" x14ac:dyDescent="0.35">
      <c r="A53">
        <v>201843428</v>
      </c>
      <c r="B53" t="str">
        <f>INDEX('Data Employee'!$B$2:$B$1000, MATCH(A53, 'Data Employee'!$A$2:$A$1000, 0))</f>
        <v>Indra Ramadhan</v>
      </c>
      <c r="C53" t="str">
        <f>INDEX('Data Employee'!$G$2:$G$1000,MATCH(A53,'Data Employee'!$A$2:$A$1000,0))</f>
        <v>Male</v>
      </c>
      <c r="D53" s="9" t="str" cm="1">
        <f t="array" aca="1" ref="D53" ca="1">IF(J53="","",_xlfn.IFS(DATEDIF(J53,TODAY(),"M")&lt;12,"Contract 1",DATEDIF(J53,TODAY(),"M")&lt;36,"Contract 2",DATEDIF(J53,TODAY(),"M")&lt;60,"Contract 3",DATEDIF(J53,TODAY(),"M")&lt;63,"Probation",TRUE,"Permanent"))</f>
        <v>Contract 1</v>
      </c>
      <c r="E53" s="9" t="str">
        <f t="shared" ca="1" si="0"/>
        <v>12 Month</v>
      </c>
      <c r="F53" s="9" t="str">
        <f>VLOOKUP(A53, 'Data Employee'!$A$2:$U$1000, 19, FALSE)</f>
        <v>Software Engineering (RPL)</v>
      </c>
      <c r="G53" s="9" t="str">
        <f>VLOOKUP(A53, 'Data Employee'!$A$2:$U$1000, 20, FALSE)</f>
        <v>Information Technology</v>
      </c>
      <c r="H53" s="9" t="str">
        <f>INDEX('Data Employee'!$W$2:$W$1000, MATCH(A53, 'Data Employee'!$A$2:$A$1000, 0))</f>
        <v>Data Entry Intern</v>
      </c>
      <c r="I53" t="str">
        <f>INDEX('Data Employee'!$V$2:$V$1000,MATCH(A53,'Data Employee'!$A$2:$A$1000,0))</f>
        <v>Internship</v>
      </c>
      <c r="J53" s="18">
        <f>INDEX('Data Employee'!$L$2:$L$1000, MATCH(A53, 'Data Employee'!$A$2:$A$1000, 0))</f>
        <v>45985</v>
      </c>
      <c r="K53" s="19">
        <f>IFERROR(IF(INDEX('Data Employee'!M:M,MATCH(A53,'Data Employee'!A:A,0))="","",INDEX('Data Employee'!M:M,MATCH(A53,'Data Employee'!A:A,0))),"")</f>
        <v>46350</v>
      </c>
      <c r="L53" s="11" t="str">
        <f t="shared" ca="1" si="1"/>
        <v>114 Days</v>
      </c>
      <c r="M53" s="11" t="str">
        <f t="shared" ca="1" si="2"/>
        <v>Active</v>
      </c>
    </row>
    <row r="54" spans="1:13" x14ac:dyDescent="0.35">
      <c r="A54">
        <v>201642522</v>
      </c>
      <c r="B54" t="str">
        <f>INDEX('Data Employee'!$B$2:$B$1000, MATCH(A54, 'Data Employee'!$A$2:$A$1000, 0))</f>
        <v>Lina Kurniawan</v>
      </c>
      <c r="C54" t="str">
        <f>INDEX('Data Employee'!$G$2:$G$1000,MATCH(A54,'Data Employee'!$A$2:$A$1000,0))</f>
        <v>Male</v>
      </c>
      <c r="D54" s="9" t="str" cm="1">
        <f t="array" aca="1" ref="D54" ca="1">IF(J54="","",_xlfn.IFS(DATEDIF(J54,TODAY(),"M")&lt;12,"Contract 1",DATEDIF(J54,TODAY(),"M")&lt;36,"Contract 2",DATEDIF(J54,TODAY(),"M")&lt;60,"Contract 3",DATEDIF(J54,TODAY(),"M")&lt;63,"Probation",TRUE,"Permanent"))</f>
        <v>Permanent</v>
      </c>
      <c r="E54" s="9" t="str">
        <f t="shared" ca="1" si="0"/>
        <v>Permanent</v>
      </c>
      <c r="F54" s="9" t="str">
        <f>VLOOKUP(A54, 'Data Employee'!$A$2:$U$1000, 19, FALSE)</f>
        <v>Information Systems</v>
      </c>
      <c r="G54" s="9" t="str">
        <f>VLOOKUP(A54, 'Data Employee'!$A$2:$U$1000, 20, FALSE)</f>
        <v>Information Technology</v>
      </c>
      <c r="H54" s="9" t="str">
        <f>INDEX('Data Employee'!$W$2:$W$1000, MATCH(A54, 'Data Employee'!$A$2:$A$1000, 0))</f>
        <v>UI / UX Design</v>
      </c>
      <c r="I54" t="str">
        <f>INDEX('Data Employee'!$V$2:$V$1000,MATCH(A54,'Data Employee'!$A$2:$A$1000,0))</f>
        <v>Senior Professional / Engineer / Analyst</v>
      </c>
      <c r="J54" s="18">
        <f>INDEX('Data Employee'!$L$2:$L$1000, MATCH(A54, 'Data Employee'!$A$2:$A$1000, 0))</f>
        <v>42522</v>
      </c>
      <c r="K54" s="19" t="str">
        <f>IFERROR(IF(INDEX('Data Employee'!M:M,MATCH(A54,'Data Employee'!A:A,0))="","",INDEX('Data Employee'!M:M,MATCH(A54,'Data Employee'!A:A,0))),"")</f>
        <v/>
      </c>
      <c r="L54" s="11" t="str">
        <f t="shared" ca="1" si="1"/>
        <v/>
      </c>
      <c r="M54" s="11" t="str">
        <f t="shared" ca="1" si="2"/>
        <v>Active</v>
      </c>
    </row>
    <row r="55" spans="1:13" x14ac:dyDescent="0.35">
      <c r="A55">
        <v>202345041</v>
      </c>
      <c r="B55" t="str">
        <f>INDEX('Data Employee'!$B$2:$B$1000, MATCH(A55, 'Data Employee'!$A$2:$A$1000, 0))</f>
        <v>Putri Kusuma</v>
      </c>
      <c r="C55" t="str">
        <f>INDEX('Data Employee'!$G$2:$G$1000,MATCH(A55,'Data Employee'!$A$2:$A$1000,0))</f>
        <v>Female</v>
      </c>
      <c r="D55" s="9" t="str" cm="1">
        <f t="array" aca="1" ref="D55" ca="1">IF(J55="","",_xlfn.IFS(DATEDIF(J55,TODAY(),"M")&lt;12,"Contract 1",DATEDIF(J55,TODAY(),"M")&lt;36,"Contract 2",DATEDIF(J55,TODAY(),"M")&lt;60,"Contract 3",DATEDIF(J55,TODAY(),"M")&lt;63,"Probation",TRUE,"Permanent"))</f>
        <v>Contract 3</v>
      </c>
      <c r="E55" s="9" t="str">
        <f t="shared" ca="1" si="0"/>
        <v>60 Month</v>
      </c>
      <c r="F55" s="9" t="str">
        <f>VLOOKUP(A55, 'Data Employee'!$A$2:$U$1000, 19, FALSE)</f>
        <v>Marketing</v>
      </c>
      <c r="G55" s="9" t="str">
        <f>VLOOKUP(A55, 'Data Employee'!$A$2:$U$1000, 20, FALSE)</f>
        <v>Commercial &amp; Marketing</v>
      </c>
      <c r="H55" s="9" t="str">
        <f>INDEX('Data Employee'!$W$2:$W$1000, MATCH(A55, 'Data Employee'!$A$2:$A$1000, 0))</f>
        <v>Marketing Officer</v>
      </c>
      <c r="I55" t="str">
        <f>INDEX('Data Employee'!$V$2:$V$1000,MATCH(A55,'Data Employee'!$A$2:$A$1000,0))</f>
        <v>Officer / Executive</v>
      </c>
      <c r="J55" s="18">
        <f>INDEX('Data Employee'!$L$2:$L$1000, MATCH(A55, 'Data Employee'!$A$2:$A$1000, 0))</f>
        <v>45041</v>
      </c>
      <c r="K55" s="19">
        <f>IFERROR(IF(INDEX('Data Employee'!M:M,MATCH(A55,'Data Employee'!A:A,0))="","",INDEX('Data Employee'!M:M,MATCH(A55,'Data Employee'!A:A,0))),"")</f>
        <v>46868</v>
      </c>
      <c r="L55" s="11" t="str">
        <f t="shared" ca="1" si="1"/>
        <v>632 Days</v>
      </c>
      <c r="M55" s="11" t="str">
        <f t="shared" ca="1" si="2"/>
        <v>Active</v>
      </c>
    </row>
    <row r="56" spans="1:13" x14ac:dyDescent="0.35">
      <c r="A56">
        <v>201642675</v>
      </c>
      <c r="B56" t="str">
        <f>INDEX('Data Employee'!$B$2:$B$1000, MATCH(A56, 'Data Employee'!$A$2:$A$1000, 0))</f>
        <v>Kadek Dwi Arum</v>
      </c>
      <c r="C56" t="str">
        <f>INDEX('Data Employee'!$G$2:$G$1000,MATCH(A56,'Data Employee'!$A$2:$A$1000,0))</f>
        <v>Female</v>
      </c>
      <c r="D56" s="9" t="str" cm="1">
        <f t="array" aca="1" ref="D56" ca="1">IF(J56="","",_xlfn.IFS(DATEDIF(J56,TODAY(),"M")&lt;12,"Contract 1",DATEDIF(J56,TODAY(),"M")&lt;36,"Contract 2",DATEDIF(J56,TODAY(),"M")&lt;60,"Contract 3",DATEDIF(J56,TODAY(),"M")&lt;63,"Probation",TRUE,"Permanent"))</f>
        <v>Permanent</v>
      </c>
      <c r="E56" s="9" t="str">
        <f t="shared" ca="1" si="0"/>
        <v>Permanent</v>
      </c>
      <c r="F56" s="9" t="str">
        <f>VLOOKUP(A56, 'Data Employee'!$A$2:$U$1000, 19, FALSE)</f>
        <v>Marketing</v>
      </c>
      <c r="G56" s="9" t="str">
        <f>VLOOKUP(A56, 'Data Employee'!$A$2:$U$1000, 20, FALSE)</f>
        <v>Commercial &amp; Marketing</v>
      </c>
      <c r="H56" s="9" t="str">
        <f>INDEX('Data Employee'!$W$2:$W$1000, MATCH(A56, 'Data Employee'!$A$2:$A$1000, 0))</f>
        <v>Commercial &amp; Marketing Manager</v>
      </c>
      <c r="I56" t="str">
        <f>INDEX('Data Employee'!$V$2:$V$1000,MATCH(A56,'Data Employee'!$A$2:$A$1000,0))</f>
        <v>Manager</v>
      </c>
      <c r="J56" s="18">
        <f>INDEX('Data Employee'!$L$2:$L$1000, MATCH(A56, 'Data Employee'!$A$2:$A$1000, 0))</f>
        <v>43405</v>
      </c>
      <c r="K56" s="19" t="str">
        <f>IFERROR(IF(INDEX('Data Employee'!M:M,MATCH(A56,'Data Employee'!A:A,0))="","",INDEX('Data Employee'!M:M,MATCH(A56,'Data Employee'!A:A,0))),"")</f>
        <v/>
      </c>
      <c r="L56" s="11" t="str">
        <f t="shared" ca="1" si="1"/>
        <v/>
      </c>
      <c r="M56" s="11" t="str">
        <f t="shared" ca="1" si="2"/>
        <v>Active</v>
      </c>
    </row>
    <row r="57" spans="1:13" x14ac:dyDescent="0.35">
      <c r="A57">
        <v>202044084</v>
      </c>
      <c r="B57" t="str">
        <f>INDEX('Data Employee'!$B$2:$B$1000, MATCH(A57, 'Data Employee'!$A$2:$A$1000, 0))</f>
        <v>Nisa Noor F. Halimah</v>
      </c>
      <c r="C57" t="str">
        <f>INDEX('Data Employee'!$G$2:$G$1000,MATCH(A57,'Data Employee'!$A$2:$A$1000,0))</f>
        <v>Female</v>
      </c>
      <c r="D57" s="9" t="str" cm="1">
        <f t="array" aca="1" ref="D57" ca="1">IF(J57="","",_xlfn.IFS(DATEDIF(J57,TODAY(),"M")&lt;12,"Contract 1",DATEDIF(J57,TODAY(),"M")&lt;36,"Contract 2",DATEDIF(J57,TODAY(),"M")&lt;60,"Contract 3",DATEDIF(J57,TODAY(),"M")&lt;63,"Probation",TRUE,"Permanent"))</f>
        <v>Permanent</v>
      </c>
      <c r="E57" s="9" t="str">
        <f t="shared" ca="1" si="0"/>
        <v>Permanent</v>
      </c>
      <c r="F57" s="9" t="str">
        <f>VLOOKUP(A57, 'Data Employee'!$A$2:$U$1000, 19, FALSE)</f>
        <v>Business Administration</v>
      </c>
      <c r="G57" s="9" t="str">
        <f>VLOOKUP(A57, 'Data Employee'!$A$2:$U$1000, 20, FALSE)</f>
        <v>Human Resources</v>
      </c>
      <c r="H57" s="9" t="str">
        <f>INDEX('Data Employee'!$W$2:$W$1000, MATCH(A57, 'Data Employee'!$A$2:$A$1000, 0))</f>
        <v>HR Operations &amp; General Affairs Staff</v>
      </c>
      <c r="I57" t="str">
        <f>INDEX('Data Employee'!$V$2:$V$1000,MATCH(A57,'Data Employee'!$A$2:$A$1000,0))</f>
        <v>Staff</v>
      </c>
      <c r="J57" s="18">
        <f>INDEX('Data Employee'!$L$2:$L$1000, MATCH(A57, 'Data Employee'!$A$2:$A$1000, 0))</f>
        <v>44084</v>
      </c>
      <c r="K57" s="19" t="str">
        <f>IFERROR(IF(INDEX('Data Employee'!M:M,MATCH(A57,'Data Employee'!A:A,0))="","",INDEX('Data Employee'!M:M,MATCH(A57,'Data Employee'!A:A,0))),"")</f>
        <v/>
      </c>
      <c r="L57" s="11" t="str">
        <f t="shared" ca="1" si="1"/>
        <v/>
      </c>
      <c r="M57" s="11" t="str">
        <f t="shared" ca="1" si="2"/>
        <v>Active</v>
      </c>
    </row>
    <row r="58" spans="1:13" x14ac:dyDescent="0.35">
      <c r="A58">
        <v>202545791</v>
      </c>
      <c r="B58" t="str">
        <f>INDEX('Data Employee'!$B$2:$B$1000, MATCH(A58, 'Data Employee'!$A$2:$A$1000, 0))</f>
        <v>Siti Santoso</v>
      </c>
      <c r="C58" t="str">
        <f>INDEX('Data Employee'!$G$2:$G$1000,MATCH(A58,'Data Employee'!$A$2:$A$1000,0))</f>
        <v>Female</v>
      </c>
      <c r="D58" s="9" t="str" cm="1">
        <f t="array" aca="1" ref="D58" ca="1">IF(J58="","",_xlfn.IFS(DATEDIF(J58,TODAY(),"M")&lt;12,"Contract 1",DATEDIF(J58,TODAY(),"M")&lt;36,"Contract 2",DATEDIF(J58,TODAY(),"M")&lt;60,"Contract 3",DATEDIF(J58,TODAY(),"M")&lt;63,"Probation",TRUE,"Permanent"))</f>
        <v>Contract 2</v>
      </c>
      <c r="E58" s="9" t="str">
        <f t="shared" ca="1" si="0"/>
        <v>24 Month</v>
      </c>
      <c r="F58" s="9" t="str">
        <f>VLOOKUP(A58, 'Data Employee'!$A$2:$U$1000, 19, FALSE)</f>
        <v>Marketing</v>
      </c>
      <c r="G58" s="9" t="str">
        <f>VLOOKUP(A58, 'Data Employee'!$A$2:$U$1000, 20, FALSE)</f>
        <v>Commercial &amp; Marketing</v>
      </c>
      <c r="H58" s="9" t="str">
        <f>INDEX('Data Employee'!$W$2:$W$1000, MATCH(A58, 'Data Employee'!$A$2:$A$1000, 0))</f>
        <v>Marketing Officer</v>
      </c>
      <c r="I58" t="str">
        <f>INDEX('Data Employee'!$V$2:$V$1000,MATCH(A58,'Data Employee'!$A$2:$A$1000,0))</f>
        <v>Officer / Executive</v>
      </c>
      <c r="J58" s="18">
        <f>INDEX('Data Employee'!$L$2:$L$1000, MATCH(A58, 'Data Employee'!$A$2:$A$1000, 0))</f>
        <v>45791</v>
      </c>
      <c r="K58" s="19">
        <f>IFERROR(IF(INDEX('Data Employee'!M:M,MATCH(A58,'Data Employee'!A:A,0))="","",INDEX('Data Employee'!M:M,MATCH(A58,'Data Employee'!A:A,0))),"")</f>
        <v>46887</v>
      </c>
      <c r="L58" s="11" t="str">
        <f t="shared" ca="1" si="1"/>
        <v>651 Days</v>
      </c>
      <c r="M58" s="11" t="str">
        <f t="shared" ca="1" si="2"/>
        <v>Active</v>
      </c>
    </row>
    <row r="59" spans="1:13" x14ac:dyDescent="0.35">
      <c r="A59">
        <v>201843255</v>
      </c>
      <c r="B59" t="str">
        <f>INDEX('Data Employee'!$B$2:$B$1000, MATCH(A59, 'Data Employee'!$A$2:$A$1000, 0))</f>
        <v>Aulia Ramadhan</v>
      </c>
      <c r="C59" t="str">
        <f>INDEX('Data Employee'!$G$2:$G$1000,MATCH(A59,'Data Employee'!$A$2:$A$1000,0))</f>
        <v>Female</v>
      </c>
      <c r="D59" s="9" t="str" cm="1">
        <f t="array" aca="1" ref="D59" ca="1">IF(J59="","",_xlfn.IFS(DATEDIF(J59,TODAY(),"M")&lt;12,"Contract 1",DATEDIF(J59,TODAY(),"M")&lt;36,"Contract 2",DATEDIF(J59,TODAY(),"M")&lt;60,"Contract 3",DATEDIF(J59,TODAY(),"M")&lt;63,"Probation",TRUE,"Permanent"))</f>
        <v>Permanent</v>
      </c>
      <c r="E59" s="9" t="str">
        <f t="shared" ca="1" si="0"/>
        <v>Permanent</v>
      </c>
      <c r="F59" s="9" t="str">
        <f>VLOOKUP(A59, 'Data Employee'!$A$2:$U$1000, 19, FALSE)</f>
        <v>Marketing</v>
      </c>
      <c r="G59" s="9" t="str">
        <f>VLOOKUP(A59, 'Data Employee'!$A$2:$U$1000, 20, FALSE)</f>
        <v>Commercial &amp; Marketing</v>
      </c>
      <c r="H59" s="9" t="str">
        <f>INDEX('Data Employee'!$W$2:$W$1000, MATCH(A59, 'Data Employee'!$A$2:$A$1000, 0))</f>
        <v>Marketing Officer</v>
      </c>
      <c r="I59" t="str">
        <f>INDEX('Data Employee'!$V$2:$V$1000,MATCH(A59,'Data Employee'!$A$2:$A$1000,0))</f>
        <v>Officer / Executive</v>
      </c>
      <c r="J59" s="18">
        <f>INDEX('Data Employee'!$L$2:$L$1000, MATCH(A59, 'Data Employee'!$A$2:$A$1000, 0))</f>
        <v>43986</v>
      </c>
      <c r="K59" s="19" t="str">
        <f>IFERROR(IF(INDEX('Data Employee'!M:M,MATCH(A59,'Data Employee'!A:A,0))="","",INDEX('Data Employee'!M:M,MATCH(A59,'Data Employee'!A:A,0))),"")</f>
        <v/>
      </c>
      <c r="L59" s="11" t="str">
        <f t="shared" ca="1" si="1"/>
        <v/>
      </c>
      <c r="M59" s="11" t="str">
        <f t="shared" ca="1" si="2"/>
        <v>Active</v>
      </c>
    </row>
    <row r="60" spans="1:13" x14ac:dyDescent="0.35">
      <c r="A60">
        <v>201843330</v>
      </c>
      <c r="B60" t="str">
        <f>INDEX('Data Employee'!$B$2:$B$1000, MATCH(A60, 'Data Employee'!$A$2:$A$1000, 0))</f>
        <v>Rizky Pratama</v>
      </c>
      <c r="C60" t="str">
        <f>INDEX('Data Employee'!$G$2:$G$1000,MATCH(A60,'Data Employee'!$A$2:$A$1000,0))</f>
        <v>Male</v>
      </c>
      <c r="D60" s="9" t="str" cm="1">
        <f t="array" aca="1" ref="D60" ca="1">IF(J60="","",_xlfn.IFS(DATEDIF(J60,TODAY(),"M")&lt;12,"Contract 1",DATEDIF(J60,TODAY(),"M")&lt;36,"Contract 2",DATEDIF(J60,TODAY(),"M")&lt;60,"Contract 3",DATEDIF(J60,TODAY(),"M")&lt;63,"Probation",TRUE,"Permanent"))</f>
        <v>Contract 3</v>
      </c>
      <c r="E60" s="9" t="str">
        <f t="shared" ca="1" si="0"/>
        <v>60 Month</v>
      </c>
      <c r="F60" s="9" t="str">
        <f>VLOOKUP(A60, 'Data Employee'!$A$2:$U$1000, 19, FALSE)</f>
        <v>Marketing</v>
      </c>
      <c r="G60" s="9" t="str">
        <f>VLOOKUP(A60, 'Data Employee'!$A$2:$U$1000, 20, FALSE)</f>
        <v>Commercial &amp; Marketing</v>
      </c>
      <c r="H60" s="9" t="str">
        <f>INDEX('Data Employee'!$W$2:$W$1000, MATCH(A60, 'Data Employee'!$A$2:$A$1000, 0))</f>
        <v>Marketing Officer</v>
      </c>
      <c r="I60" t="str">
        <f>INDEX('Data Employee'!$V$2:$V$1000,MATCH(A60,'Data Employee'!$A$2:$A$1000,0))</f>
        <v>Officer / Executive</v>
      </c>
      <c r="J60" s="18">
        <f>INDEX('Data Employee'!$L$2:$L$1000, MATCH(A60, 'Data Employee'!$A$2:$A$1000, 0))</f>
        <v>44791</v>
      </c>
      <c r="K60" s="19">
        <f>IFERROR(IF(INDEX('Data Employee'!M:M,MATCH(A60,'Data Employee'!A:A,0))="","",INDEX('Data Employee'!M:M,MATCH(A60,'Data Employee'!A:A,0))),"")</f>
        <v>46617</v>
      </c>
      <c r="L60" s="11" t="str">
        <f t="shared" ca="1" si="1"/>
        <v>381 Days</v>
      </c>
      <c r="M60" s="11" t="str">
        <f t="shared" ca="1" si="2"/>
        <v>Active</v>
      </c>
    </row>
    <row r="61" spans="1:13" x14ac:dyDescent="0.35">
      <c r="A61">
        <v>201843435</v>
      </c>
      <c r="B61" t="str">
        <f>INDEX('Data Employee'!$B$2:$B$1000, MATCH(A61, 'Data Employee'!$A$2:$A$1000, 0))</f>
        <v>Lina Wijaya</v>
      </c>
      <c r="C61" t="str">
        <f>INDEX('Data Employee'!$G$2:$G$1000,MATCH(A61,'Data Employee'!$A$2:$A$1000,0))</f>
        <v>Female</v>
      </c>
      <c r="D61" s="9" t="str" cm="1">
        <f t="array" aca="1" ref="D61" ca="1">IF(J61="","",_xlfn.IFS(DATEDIF(J61,TODAY(),"M")&lt;12,"Contract 1",DATEDIF(J61,TODAY(),"M")&lt;36,"Contract 2",DATEDIF(J61,TODAY(),"M")&lt;60,"Contract 3",DATEDIF(J61,TODAY(),"M")&lt;63,"Probation",TRUE,"Permanent"))</f>
        <v>Contract 3</v>
      </c>
      <c r="E61" s="9" t="str">
        <f t="shared" ca="1" si="0"/>
        <v>60 Month</v>
      </c>
      <c r="F61" s="9" t="str">
        <f>VLOOKUP(A61, 'Data Employee'!$A$2:$U$1000, 19, FALSE)</f>
        <v>Economics</v>
      </c>
      <c r="G61" s="9" t="str">
        <f>VLOOKUP(A61, 'Data Employee'!$A$2:$U$1000, 20, FALSE)</f>
        <v>Commercial &amp; Marketing</v>
      </c>
      <c r="H61" s="9" t="str">
        <f>INDEX('Data Employee'!$W$2:$W$1000, MATCH(A61, 'Data Employee'!$A$2:$A$1000, 0))</f>
        <v>Marketing Officer</v>
      </c>
      <c r="I61" t="str">
        <f>INDEX('Data Employee'!$V$2:$V$1000,MATCH(A61,'Data Employee'!$A$2:$A$1000,0))</f>
        <v>Officer / Executive</v>
      </c>
      <c r="J61" s="18">
        <f>INDEX('Data Employee'!$L$2:$L$1000, MATCH(A61, 'Data Employee'!$A$2:$A$1000, 0))</f>
        <v>44531</v>
      </c>
      <c r="K61" s="19">
        <f>IFERROR(IF(INDEX('Data Employee'!M:M,MATCH(A61,'Data Employee'!A:A,0))="","",INDEX('Data Employee'!M:M,MATCH(A61,'Data Employee'!A:A,0))),"")</f>
        <v>46388</v>
      </c>
      <c r="L61" s="11" t="str">
        <f t="shared" ca="1" si="1"/>
        <v>152 Days</v>
      </c>
      <c r="M61" s="11" t="str">
        <f t="shared" ca="1" si="2"/>
        <v>Active</v>
      </c>
    </row>
    <row r="62" spans="1:13" x14ac:dyDescent="0.35">
      <c r="A62">
        <v>201642563</v>
      </c>
      <c r="B62" t="str">
        <f>INDEX('Data Employee'!$B$2:$B$1000, MATCH(A62, 'Data Employee'!$A$2:$A$1000, 0))</f>
        <v>Dwi Nugroho</v>
      </c>
      <c r="C62" t="str">
        <f>INDEX('Data Employee'!$G$2:$G$1000,MATCH(A62,'Data Employee'!$A$2:$A$1000,0))</f>
        <v>Male</v>
      </c>
      <c r="D62" s="9" t="str" cm="1">
        <f t="array" aca="1" ref="D62" ca="1">IF(J62="","",_xlfn.IFS(DATEDIF(J62,TODAY(),"M")&lt;12,"Contract 1",DATEDIF(J62,TODAY(),"M")&lt;36,"Contract 2",DATEDIF(J62,TODAY(),"M")&lt;60,"Contract 3",DATEDIF(J62,TODAY(),"M")&lt;63,"Probation",TRUE,"Permanent"))</f>
        <v>Contract 2</v>
      </c>
      <c r="E62" s="9" t="str">
        <f t="shared" ca="1" si="0"/>
        <v>24 Month</v>
      </c>
      <c r="F62" s="9" t="str">
        <f>VLOOKUP(A62, 'Data Employee'!$A$2:$U$1000, 19, FALSE)</f>
        <v>Economics</v>
      </c>
      <c r="G62" s="9" t="str">
        <f>VLOOKUP(A62, 'Data Employee'!$A$2:$U$1000, 20, FALSE)</f>
        <v>Commercial &amp; Marketing</v>
      </c>
      <c r="H62" s="9" t="str">
        <f>INDEX('Data Employee'!$W$2:$W$1000, MATCH(A62, 'Data Employee'!$A$2:$A$1000, 0))</f>
        <v>Marketing Staff</v>
      </c>
      <c r="I62" t="str">
        <f>INDEX('Data Employee'!$V$2:$V$1000,MATCH(A62,'Data Employee'!$A$2:$A$1000,0))</f>
        <v>Staff</v>
      </c>
      <c r="J62" s="18">
        <f>INDEX('Data Employee'!$L$2:$L$1000, MATCH(A62, 'Data Employee'!$A$2:$A$1000, 0))</f>
        <v>45850</v>
      </c>
      <c r="K62" s="19">
        <f>IFERROR(IF(INDEX('Data Employee'!M:M,MATCH(A62,'Data Employee'!A:A,0))="","",INDEX('Data Employee'!M:M,MATCH(A62,'Data Employee'!A:A,0))),"")</f>
        <v>46580</v>
      </c>
      <c r="L62" s="11" t="str">
        <f t="shared" ca="1" si="1"/>
        <v>344 Days</v>
      </c>
      <c r="M62" s="11" t="str">
        <f t="shared" ca="1" si="2"/>
        <v>Active</v>
      </c>
    </row>
    <row r="63" spans="1:13" x14ac:dyDescent="0.35">
      <c r="A63">
        <v>201642610</v>
      </c>
      <c r="B63" t="str">
        <f>INDEX('Data Employee'!$B$2:$B$1000, MATCH(A63, 'Data Employee'!$A$2:$A$1000, 0))</f>
        <v>Lina Kurniawan</v>
      </c>
      <c r="C63" t="str">
        <f>INDEX('Data Employee'!$G$2:$G$1000,MATCH(A63,'Data Employee'!$A$2:$A$1000,0))</f>
        <v>Female</v>
      </c>
      <c r="D63" s="9" t="str" cm="1">
        <f t="array" aca="1" ref="D63" ca="1">IF(J63="","",_xlfn.IFS(DATEDIF(J63,TODAY(),"M")&lt;12,"Contract 1",DATEDIF(J63,TODAY(),"M")&lt;36,"Contract 2",DATEDIF(J63,TODAY(),"M")&lt;60,"Contract 3",DATEDIF(J63,TODAY(),"M")&lt;63,"Probation",TRUE,"Permanent"))</f>
        <v>Contract 1</v>
      </c>
      <c r="E63" s="9" t="str">
        <f t="shared" ca="1" si="0"/>
        <v>12 Month</v>
      </c>
      <c r="F63" s="9" t="str">
        <f>VLOOKUP(A63, 'Data Employee'!$A$2:$U$1000, 19, FALSE)</f>
        <v>Economics</v>
      </c>
      <c r="G63" s="9" t="str">
        <f>VLOOKUP(A63, 'Data Employee'!$A$2:$U$1000, 20, FALSE)</f>
        <v>Commercial &amp; Marketing</v>
      </c>
      <c r="H63" s="9" t="str">
        <f>INDEX('Data Employee'!$W$2:$W$1000, MATCH(A63, 'Data Employee'!$A$2:$A$1000, 0))</f>
        <v>Marketing Staff</v>
      </c>
      <c r="I63" t="str">
        <f>INDEX('Data Employee'!$V$2:$V$1000,MATCH(A63,'Data Employee'!$A$2:$A$1000,0))</f>
        <v>Staff</v>
      </c>
      <c r="J63" s="18">
        <f>INDEX('Data Employee'!$L$2:$L$1000, MATCH(A63, 'Data Employee'!$A$2:$A$1000, 0))</f>
        <v>46081</v>
      </c>
      <c r="K63" s="19">
        <f>IFERROR(IF(INDEX('Data Employee'!M:M,MATCH(A63,'Data Employee'!A:A,0))="","",INDEX('Data Employee'!M:M,MATCH(A63,'Data Employee'!A:A,0))),"")</f>
        <v>47177</v>
      </c>
      <c r="L63" s="11" t="str">
        <f t="shared" ca="1" si="1"/>
        <v>941 Days</v>
      </c>
      <c r="M63" s="11" t="str">
        <f t="shared" ca="1" si="2"/>
        <v>Active</v>
      </c>
    </row>
    <row r="64" spans="1:13" x14ac:dyDescent="0.35">
      <c r="A64">
        <v>201742737</v>
      </c>
      <c r="B64" t="str">
        <f>INDEX('Data Employee'!$B$2:$B$1000, MATCH(A64, 'Data Employee'!$A$2:$A$1000, 0))</f>
        <v>Agung Kurniawan</v>
      </c>
      <c r="C64" t="str">
        <f>INDEX('Data Employee'!$G$2:$G$1000,MATCH(A64,'Data Employee'!$A$2:$A$1000,0))</f>
        <v>Male</v>
      </c>
      <c r="D64" s="9" t="str" cm="1">
        <f t="array" aca="1" ref="D64" ca="1">IF(J64="","",_xlfn.IFS(DATEDIF(J64,TODAY(),"M")&lt;12,"Contract 1",DATEDIF(J64,TODAY(),"M")&lt;36,"Contract 2",DATEDIF(J64,TODAY(),"M")&lt;60,"Contract 3",DATEDIF(J64,TODAY(),"M")&lt;63,"Probation",TRUE,"Permanent"))</f>
        <v>Contract 1</v>
      </c>
      <c r="E64" s="9" t="str">
        <f t="shared" ca="1" si="0"/>
        <v>12 Month</v>
      </c>
      <c r="F64" s="9" t="str">
        <f>VLOOKUP(A64, 'Data Employee'!$A$2:$U$1000, 19, FALSE)</f>
        <v>Economics</v>
      </c>
      <c r="G64" s="9" t="str">
        <f>VLOOKUP(A64, 'Data Employee'!$A$2:$U$1000, 20, FALSE)</f>
        <v>Commercial &amp; Marketing</v>
      </c>
      <c r="H64" s="9" t="str">
        <f>INDEX('Data Employee'!$W$2:$W$1000, MATCH(A64, 'Data Employee'!$A$2:$A$1000, 0))</f>
        <v>Marketing Staff</v>
      </c>
      <c r="I64" t="str">
        <f>INDEX('Data Employee'!$V$2:$V$1000,MATCH(A64,'Data Employee'!$A$2:$A$1000,0))</f>
        <v>Staff</v>
      </c>
      <c r="J64" s="18">
        <f>INDEX('Data Employee'!$L$2:$L$1000, MATCH(A64, 'Data Employee'!$A$2:$A$1000, 0))</f>
        <v>46024</v>
      </c>
      <c r="K64" s="19">
        <f>IFERROR(IF(INDEX('Data Employee'!M:M,MATCH(A64,'Data Employee'!A:A,0))="","",INDEX('Data Employee'!M:M,MATCH(A64,'Data Employee'!A:A,0))),"")</f>
        <v>47120</v>
      </c>
      <c r="L64" s="11" t="str">
        <f t="shared" ca="1" si="1"/>
        <v>884 Days</v>
      </c>
      <c r="M64" s="11" t="str">
        <f t="shared" ca="1" si="2"/>
        <v>Active</v>
      </c>
    </row>
    <row r="65" spans="1:13" x14ac:dyDescent="0.35">
      <c r="A65">
        <v>201943726</v>
      </c>
      <c r="B65" t="str">
        <f>INDEX('Data Employee'!$B$2:$B$1000, MATCH(A65, 'Data Employee'!$A$2:$A$1000, 0))</f>
        <v>Putri Kusuma</v>
      </c>
      <c r="C65" t="str">
        <f>INDEX('Data Employee'!$G$2:$G$1000,MATCH(A65,'Data Employee'!$A$2:$A$1000,0))</f>
        <v>Female</v>
      </c>
      <c r="D65" s="9" t="str" cm="1">
        <f t="array" aca="1" ref="D65" ca="1">IF(J65="","",_xlfn.IFS(DATEDIF(J65,TODAY(),"M")&lt;12,"Contract 1",DATEDIF(J65,TODAY(),"M")&lt;36,"Contract 2",DATEDIF(J65,TODAY(),"M")&lt;60,"Contract 3",DATEDIF(J65,TODAY(),"M")&lt;63,"Probation",TRUE,"Permanent"))</f>
        <v>Contract 1</v>
      </c>
      <c r="E65" s="9" t="str">
        <f t="shared" ca="1" si="0"/>
        <v>12 Month</v>
      </c>
      <c r="F65" s="9" t="str">
        <f>VLOOKUP(A65, 'Data Employee'!$A$2:$U$1000, 19, FALSE)</f>
        <v>Marketing</v>
      </c>
      <c r="G65" s="9" t="str">
        <f>VLOOKUP(A65, 'Data Employee'!$A$2:$U$1000, 20, FALSE)</f>
        <v>Commercial &amp; Marketing</v>
      </c>
      <c r="H65" s="9" t="str">
        <f>INDEX('Data Employee'!$W$2:$W$1000, MATCH(A65, 'Data Employee'!$A$2:$A$1000, 0))</f>
        <v>Data Entry Intern</v>
      </c>
      <c r="I65" t="str">
        <f>INDEX('Data Employee'!$V$2:$V$1000,MATCH(A65,'Data Employee'!$A$2:$A$1000,0))</f>
        <v>Internship</v>
      </c>
      <c r="J65" s="18">
        <f>INDEX('Data Employee'!$L$2:$L$1000, MATCH(A65, 'Data Employee'!$A$2:$A$1000, 0))</f>
        <v>45918</v>
      </c>
      <c r="K65" s="19">
        <f>IFERROR(IF(INDEX('Data Employee'!M:M,MATCH(A65,'Data Employee'!A:A,0))="","",INDEX('Data Employee'!M:M,MATCH(A65,'Data Employee'!A:A,0))),"")</f>
        <v>46283</v>
      </c>
      <c r="L65" s="11" t="str">
        <f t="shared" ca="1" si="1"/>
        <v>47 Days</v>
      </c>
      <c r="M65" s="11" t="str">
        <f t="shared" ca="1" si="2"/>
        <v>Review Needed</v>
      </c>
    </row>
    <row r="66" spans="1:13" x14ac:dyDescent="0.35">
      <c r="A66">
        <v>202044061</v>
      </c>
      <c r="B66" t="str">
        <f>INDEX('Data Employee'!$B$2:$B$1000, MATCH(A66, 'Data Employee'!$A$2:$A$1000, 0))</f>
        <v>Lina Permata</v>
      </c>
      <c r="C66" t="str">
        <f>INDEX('Data Employee'!$G$2:$G$1000,MATCH(A66,'Data Employee'!$A$2:$A$1000,0))</f>
        <v>Female</v>
      </c>
      <c r="D66" s="9" t="str" cm="1">
        <f t="array" aca="1" ref="D66" ca="1">IF(J66="","",_xlfn.IFS(DATEDIF(J66,TODAY(),"M")&lt;12,"Contract 1",DATEDIF(J66,TODAY(),"M")&lt;36,"Contract 2",DATEDIF(J66,TODAY(),"M")&lt;60,"Contract 3",DATEDIF(J66,TODAY(),"M")&lt;63,"Probation",TRUE,"Permanent"))</f>
        <v>Permanent</v>
      </c>
      <c r="E66" s="9" t="str">
        <f t="shared" ref="E66:E129" ca="1" si="3">IF(D66="Permanent","Permanent",IF(D66="Contract 1","12 Month",IF(D66="Contract 2","24 Month",IF(D66="Contract 3","60 Month",IF(D66="Probation","63 Month","")))))</f>
        <v>Permanent</v>
      </c>
      <c r="F66" s="9" t="str">
        <f>VLOOKUP(A66, 'Data Employee'!$A$2:$U$1000, 19, FALSE)</f>
        <v>Economics</v>
      </c>
      <c r="G66" s="9" t="str">
        <f>VLOOKUP(A66, 'Data Employee'!$A$2:$U$1000, 20, FALSE)</f>
        <v>Corporate Governance</v>
      </c>
      <c r="H66" s="9" t="str">
        <f>INDEX('Data Employee'!$W$2:$W$1000, MATCH(A66, 'Data Employee'!$A$2:$A$1000, 0))</f>
        <v>Nomination &amp; Remuneration Committee Manager</v>
      </c>
      <c r="I66" t="str">
        <f>INDEX('Data Employee'!$V$2:$V$1000,MATCH(A66,'Data Employee'!$A$2:$A$1000,0))</f>
        <v>Manager</v>
      </c>
      <c r="J66" s="18">
        <f>INDEX('Data Employee'!$L$2:$L$1000, MATCH(A66, 'Data Employee'!$A$2:$A$1000, 0))</f>
        <v>40408</v>
      </c>
      <c r="K66" s="19" t="str">
        <f>IFERROR(IF(INDEX('Data Employee'!M:M,MATCH(A66,'Data Employee'!A:A,0))="","",INDEX('Data Employee'!M:M,MATCH(A66,'Data Employee'!A:A,0))),"")</f>
        <v/>
      </c>
      <c r="L66" s="11" t="str">
        <f t="shared" ref="L66:L129" ca="1" si="4">IF(OR(K66="",K66&lt;TODAY()),IF(K66="","","Expired"),DATEDIF(TODAY(),K66,"D")&amp;" Days")</f>
        <v/>
      </c>
      <c r="M66" s="11" t="str">
        <f t="shared" ref="M66:M129" ca="1" si="5">IF(OR(K66="", D66="Permanent", NOT(ISNUMBER(K66))), "Active", IF(K66&lt;TODAY(), "Expired", IF(K66-TODAY()&lt;=30, "Urgent Renewal", IF(K66-TODAY()&lt;=60, "Review Needed", "Active"))))</f>
        <v>Active</v>
      </c>
    </row>
    <row r="67" spans="1:13" x14ac:dyDescent="0.35">
      <c r="A67">
        <v>201943744</v>
      </c>
      <c r="B67" t="str">
        <f>INDEX('Data Employee'!$B$2:$B$1000, MATCH(A67, 'Data Employee'!$A$2:$A$1000, 0))</f>
        <v>Yusuf Saputra</v>
      </c>
      <c r="C67" t="str">
        <f>INDEX('Data Employee'!$G$2:$G$1000,MATCH(A67,'Data Employee'!$A$2:$A$1000,0))</f>
        <v>Male</v>
      </c>
      <c r="D67" s="9" t="str" cm="1">
        <f t="array" aca="1" ref="D67" ca="1">IF(J67="","",_xlfn.IFS(DATEDIF(J67,TODAY(),"M")&lt;12,"Contract 1",DATEDIF(J67,TODAY(),"M")&lt;36,"Contract 2",DATEDIF(J67,TODAY(),"M")&lt;60,"Contract 3",DATEDIF(J67,TODAY(),"M")&lt;63,"Probation",TRUE,"Permanent"))</f>
        <v>Permanent</v>
      </c>
      <c r="E67" s="9" t="str">
        <f t="shared" ca="1" si="3"/>
        <v>Permanent</v>
      </c>
      <c r="F67" s="9" t="str">
        <f>VLOOKUP(A67, 'Data Employee'!$A$2:$U$1000, 19, FALSE)</f>
        <v>Communication</v>
      </c>
      <c r="G67" s="9" t="str">
        <f>VLOOKUP(A67, 'Data Employee'!$A$2:$U$1000, 20, FALSE)</f>
        <v>Corporate Governance</v>
      </c>
      <c r="H67" s="9" t="str">
        <f>INDEX('Data Employee'!$W$2:$W$1000, MATCH(A67, 'Data Employee'!$A$2:$A$1000, 0))</f>
        <v>Nomination &amp; Remuneration Committee Staff</v>
      </c>
      <c r="I67" t="str">
        <f>INDEX('Data Employee'!$V$2:$V$1000,MATCH(A67,'Data Employee'!$A$2:$A$1000,0))</f>
        <v>Staff</v>
      </c>
      <c r="J67" s="18">
        <f>INDEX('Data Employee'!$L$2:$L$1000, MATCH(A67, 'Data Employee'!$A$2:$A$1000, 0))</f>
        <v>43379</v>
      </c>
      <c r="K67" s="19" t="str">
        <f>IFERROR(IF(INDEX('Data Employee'!M:M,MATCH(A67,'Data Employee'!A:A,0))="","",INDEX('Data Employee'!M:M,MATCH(A67,'Data Employee'!A:A,0))),"")</f>
        <v/>
      </c>
      <c r="L67" s="11" t="str">
        <f t="shared" ca="1" si="4"/>
        <v/>
      </c>
      <c r="M67" s="11" t="str">
        <f t="shared" ca="1" si="5"/>
        <v>Active</v>
      </c>
    </row>
    <row r="68" spans="1:13" x14ac:dyDescent="0.35">
      <c r="A68">
        <v>202043848</v>
      </c>
      <c r="B68" t="str">
        <f>INDEX('Data Employee'!$B$2:$B$1000, MATCH(A68, 'Data Employee'!$A$2:$A$1000, 0))</f>
        <v>Fajar Hidayat</v>
      </c>
      <c r="C68" t="str">
        <f>INDEX('Data Employee'!$G$2:$G$1000,MATCH(A68,'Data Employee'!$A$2:$A$1000,0))</f>
        <v>Male</v>
      </c>
      <c r="D68" s="9" t="str" cm="1">
        <f t="array" aca="1" ref="D68" ca="1">IF(J68="","",_xlfn.IFS(DATEDIF(J68,TODAY(),"M")&lt;12,"Contract 1",DATEDIF(J68,TODAY(),"M")&lt;36,"Contract 2",DATEDIF(J68,TODAY(),"M")&lt;60,"Contract 3",DATEDIF(J68,TODAY(),"M")&lt;63,"Probation",TRUE,"Permanent"))</f>
        <v>Permanent</v>
      </c>
      <c r="E68" s="9" t="str">
        <f t="shared" ca="1" si="3"/>
        <v>Permanent</v>
      </c>
      <c r="F68" s="9" t="str">
        <f>VLOOKUP(A68, 'Data Employee'!$A$2:$U$1000, 19, FALSE)</f>
        <v>Statistics</v>
      </c>
      <c r="G68" s="9" t="str">
        <f>VLOOKUP(A68, 'Data Employee'!$A$2:$U$1000, 20, FALSE)</f>
        <v>Corporate Governance</v>
      </c>
      <c r="H68" s="9" t="str">
        <f>INDEX('Data Employee'!$W$2:$W$1000, MATCH(A68, 'Data Employee'!$A$2:$A$1000, 0))</f>
        <v>Nomination &amp; Remuneration Committee Staff</v>
      </c>
      <c r="I68" t="str">
        <f>INDEX('Data Employee'!$V$2:$V$1000,MATCH(A68,'Data Employee'!$A$2:$A$1000,0))</f>
        <v>Staff</v>
      </c>
      <c r="J68" s="18">
        <f>INDEX('Data Employee'!$L$2:$L$1000, MATCH(A68, 'Data Employee'!$A$2:$A$1000, 0))</f>
        <v>43848</v>
      </c>
      <c r="K68" s="19" t="str">
        <f>IFERROR(IF(INDEX('Data Employee'!M:M,MATCH(A68,'Data Employee'!A:A,0))="","",INDEX('Data Employee'!M:M,MATCH(A68,'Data Employee'!A:A,0))),"")</f>
        <v/>
      </c>
      <c r="L68" s="11" t="str">
        <f t="shared" ca="1" si="4"/>
        <v/>
      </c>
      <c r="M68" s="11" t="str">
        <f t="shared" ca="1" si="5"/>
        <v>Active</v>
      </c>
    </row>
    <row r="69" spans="1:13" x14ac:dyDescent="0.35">
      <c r="A69">
        <v>201943561</v>
      </c>
      <c r="B69" t="str">
        <f>INDEX('Data Employee'!$B$2:$B$1000, MATCH(A69, 'Data Employee'!$A$2:$A$1000, 0))</f>
        <v>Adi Mulyadi</v>
      </c>
      <c r="C69" t="str">
        <f>INDEX('Data Employee'!$G$2:$G$1000,MATCH(A69,'Data Employee'!$A$2:$A$1000,0))</f>
        <v>Male</v>
      </c>
      <c r="D69" s="9" t="str" cm="1">
        <f t="array" aca="1" ref="D69" ca="1">IF(J69="","",_xlfn.IFS(DATEDIF(J69,TODAY(),"M")&lt;12,"Contract 1",DATEDIF(J69,TODAY(),"M")&lt;36,"Contract 2",DATEDIF(J69,TODAY(),"M")&lt;60,"Contract 3",DATEDIF(J69,TODAY(),"M")&lt;63,"Probation",TRUE,"Permanent"))</f>
        <v>Permanent</v>
      </c>
      <c r="E69" s="9" t="str">
        <f t="shared" ca="1" si="3"/>
        <v>Permanent</v>
      </c>
      <c r="F69" s="9" t="str">
        <f>VLOOKUP(A69, 'Data Employee'!$A$2:$U$1000, 19, FALSE)</f>
        <v>Mechanical Engineering</v>
      </c>
      <c r="G69" s="9" t="str">
        <f>VLOOKUP(A69, 'Data Employee'!$A$2:$U$1000, 20, FALSE)</f>
        <v>Supply Chain Management</v>
      </c>
      <c r="H69" s="9" t="str">
        <f>INDEX('Data Employee'!$W$2:$W$1000, MATCH(A69, 'Data Employee'!$A$2:$A$1000, 0))</f>
        <v>Demand &amp; Supply Manager</v>
      </c>
      <c r="I69" t="str">
        <f>INDEX('Data Employee'!$V$2:$V$1000,MATCH(A69,'Data Employee'!$A$2:$A$1000,0))</f>
        <v>Manager</v>
      </c>
      <c r="J69" s="18">
        <f>INDEX('Data Employee'!$L$2:$L$1000, MATCH(A69, 'Data Employee'!$A$2:$A$1000, 0))</f>
        <v>43561</v>
      </c>
      <c r="K69" s="19" t="str">
        <f>IFERROR(IF(INDEX('Data Employee'!M:M,MATCH(A69,'Data Employee'!A:A,0))="","",INDEX('Data Employee'!M:M,MATCH(A69,'Data Employee'!A:A,0))),"")</f>
        <v/>
      </c>
      <c r="L69" s="11" t="str">
        <f t="shared" ca="1" si="4"/>
        <v/>
      </c>
      <c r="M69" s="11" t="str">
        <f t="shared" ca="1" si="5"/>
        <v>Active</v>
      </c>
    </row>
    <row r="70" spans="1:13" x14ac:dyDescent="0.35">
      <c r="A70">
        <v>202043945</v>
      </c>
      <c r="B70" t="str">
        <f>INDEX('Data Employee'!$B$2:$B$1000, MATCH(A70, 'Data Employee'!$A$2:$A$1000, 0))</f>
        <v>Muhammad Rizal</v>
      </c>
      <c r="C70" t="str">
        <f>INDEX('Data Employee'!$G$2:$G$1000,MATCH(A70,'Data Employee'!$A$2:$A$1000,0))</f>
        <v>Male</v>
      </c>
      <c r="D70" s="9" t="str" cm="1">
        <f t="array" aca="1" ref="D70" ca="1">IF(J70="","",_xlfn.IFS(DATEDIF(J70,TODAY(),"M")&lt;12,"Contract 1",DATEDIF(J70,TODAY(),"M")&lt;36,"Contract 2",DATEDIF(J70,TODAY(),"M")&lt;60,"Contract 3",DATEDIF(J70,TODAY(),"M")&lt;63,"Probation",TRUE,"Permanent"))</f>
        <v>Contract 3</v>
      </c>
      <c r="E70" s="9" t="str">
        <f t="shared" ca="1" si="3"/>
        <v>60 Month</v>
      </c>
      <c r="F70" s="9" t="str">
        <f>VLOOKUP(A70, 'Data Employee'!$A$2:$U$1000, 19, FALSE)</f>
        <v>Mechanical Engineering</v>
      </c>
      <c r="G70" s="9" t="str">
        <f>VLOOKUP(A70, 'Data Employee'!$A$2:$U$1000, 20, FALSE)</f>
        <v>Supply Chain Management</v>
      </c>
      <c r="H70" s="9" t="str">
        <f>INDEX('Data Employee'!$W$2:$W$1000, MATCH(A70, 'Data Employee'!$A$2:$A$1000, 0))</f>
        <v>Production Planning &amp; Control Supervisor</v>
      </c>
      <c r="I70" t="str">
        <f>INDEX('Data Employee'!$V$2:$V$1000,MATCH(A70,'Data Employee'!$A$2:$A$1000,0))</f>
        <v>Supervisor</v>
      </c>
      <c r="J70" s="18">
        <f>INDEX('Data Employee'!$L$2:$L$1000, MATCH(A70, 'Data Employee'!$A$2:$A$1000, 0))</f>
        <v>45040</v>
      </c>
      <c r="K70" s="19">
        <f>IFERROR(IF(INDEX('Data Employee'!M:M,MATCH(A70,'Data Employee'!A:A,0))="","",INDEX('Data Employee'!M:M,MATCH(A70,'Data Employee'!A:A,0))),"")</f>
        <v>46867</v>
      </c>
      <c r="L70" s="11" t="str">
        <f t="shared" ca="1" si="4"/>
        <v>631 Days</v>
      </c>
      <c r="M70" s="11" t="str">
        <f t="shared" ca="1" si="5"/>
        <v>Active</v>
      </c>
    </row>
    <row r="71" spans="1:13" x14ac:dyDescent="0.35">
      <c r="A71">
        <v>202244877</v>
      </c>
      <c r="B71" t="str">
        <f>INDEX('Data Employee'!$B$2:$B$1000, MATCH(A71, 'Data Employee'!$A$2:$A$1000, 0))</f>
        <v>Guido Nagoya</v>
      </c>
      <c r="C71" t="str">
        <f>INDEX('Data Employee'!$G$2:$G$1000,MATCH(A71,'Data Employee'!$A$2:$A$1000,0))</f>
        <v>Male</v>
      </c>
      <c r="D71" s="9" t="str" cm="1">
        <f t="array" aca="1" ref="D71" ca="1">IF(J71="","",_xlfn.IFS(DATEDIF(J71,TODAY(),"M")&lt;12,"Contract 1",DATEDIF(J71,TODAY(),"M")&lt;36,"Contract 2",DATEDIF(J71,TODAY(),"M")&lt;60,"Contract 3",DATEDIF(J71,TODAY(),"M")&lt;63,"Probation",TRUE,"Permanent"))</f>
        <v>Contract 3</v>
      </c>
      <c r="E71" s="9" t="str">
        <f t="shared" ca="1" si="3"/>
        <v>60 Month</v>
      </c>
      <c r="F71" s="9" t="str">
        <f>VLOOKUP(A71, 'Data Employee'!$A$2:$U$1000, 19, FALSE)</f>
        <v>Mechanical Engineering</v>
      </c>
      <c r="G71" s="9" t="str">
        <f>VLOOKUP(A71, 'Data Employee'!$A$2:$U$1000, 20, FALSE)</f>
        <v>Supply Chain Management</v>
      </c>
      <c r="H71" s="9" t="str">
        <f>INDEX('Data Employee'!$W$2:$W$1000, MATCH(A71, 'Data Employee'!$A$2:$A$1000, 0))</f>
        <v>Production Planning Analyst Supervisor</v>
      </c>
      <c r="I71" t="str">
        <f>INDEX('Data Employee'!$V$2:$V$1000,MATCH(A71,'Data Employee'!$A$2:$A$1000,0))</f>
        <v>Supervisor</v>
      </c>
      <c r="J71" s="18">
        <f>INDEX('Data Employee'!$L$2:$L$1000, MATCH(A71, 'Data Employee'!$A$2:$A$1000, 0))</f>
        <v>44512</v>
      </c>
      <c r="K71" s="19">
        <f>IFERROR(IF(INDEX('Data Employee'!M:M,MATCH(A71,'Data Employee'!A:A,0))="","",INDEX('Data Employee'!M:M,MATCH(A71,'Data Employee'!A:A,0))),"")</f>
        <v>46399</v>
      </c>
      <c r="L71" s="11" t="str">
        <f t="shared" ca="1" si="4"/>
        <v>163 Days</v>
      </c>
      <c r="M71" s="11" t="str">
        <f t="shared" ca="1" si="5"/>
        <v>Active</v>
      </c>
    </row>
    <row r="72" spans="1:13" x14ac:dyDescent="0.35">
      <c r="A72">
        <v>201843321</v>
      </c>
      <c r="B72" t="str">
        <f>INDEX('Data Employee'!$B$2:$B$1000, MATCH(A72, 'Data Employee'!$A$2:$A$1000, 0))</f>
        <v>M. Raden Nalindra P.</v>
      </c>
      <c r="C72" t="str">
        <f>INDEX('Data Employee'!$G$2:$G$1000,MATCH(A72,'Data Employee'!$A$2:$A$1000,0))</f>
        <v>Male</v>
      </c>
      <c r="D72" s="9" t="str" cm="1">
        <f t="array" aca="1" ref="D72" ca="1">IF(J72="","",_xlfn.IFS(DATEDIF(J72,TODAY(),"M")&lt;12,"Contract 1",DATEDIF(J72,TODAY(),"M")&lt;36,"Contract 2",DATEDIF(J72,TODAY(),"M")&lt;60,"Contract 3",DATEDIF(J72,TODAY(),"M")&lt;63,"Probation",TRUE,"Permanent"))</f>
        <v>Contract 2</v>
      </c>
      <c r="E72" s="9" t="str">
        <f t="shared" ca="1" si="3"/>
        <v>24 Month</v>
      </c>
      <c r="F72" s="9" t="str">
        <f>VLOOKUP(A72, 'Data Employee'!$A$2:$U$1000, 19, FALSE)</f>
        <v>Economics</v>
      </c>
      <c r="G72" s="9" t="str">
        <f>VLOOKUP(A72, 'Data Employee'!$A$2:$U$1000, 20, FALSE)</f>
        <v>Supply Chain Management</v>
      </c>
      <c r="H72" s="9" t="str">
        <f>INDEX('Data Employee'!$W$2:$W$1000, MATCH(A72, 'Data Employee'!$A$2:$A$1000, 0))</f>
        <v>Inventory Control &amp; Planning Supervisor</v>
      </c>
      <c r="I72" t="str">
        <f>INDEX('Data Employee'!$V$2:$V$1000,MATCH(A72,'Data Employee'!$A$2:$A$1000,0))</f>
        <v>Supervisor</v>
      </c>
      <c r="J72" s="18">
        <f>INDEX('Data Employee'!$L$2:$L$1000, MATCH(A72, 'Data Employee'!$A$2:$A$1000, 0))</f>
        <v>45513</v>
      </c>
      <c r="K72" s="19">
        <f>IFERROR(IF(INDEX('Data Employee'!M:M,MATCH(A72,'Data Employee'!A:A,0))="","",INDEX('Data Employee'!M:M,MATCH(A72,'Data Employee'!A:A,0))),"")</f>
        <v>47339</v>
      </c>
      <c r="L72" s="11" t="str">
        <f t="shared" ca="1" si="4"/>
        <v>1103 Days</v>
      </c>
      <c r="M72" s="11" t="str">
        <f t="shared" ca="1" si="5"/>
        <v>Active</v>
      </c>
    </row>
    <row r="73" spans="1:13" x14ac:dyDescent="0.35">
      <c r="A73">
        <v>202043868</v>
      </c>
      <c r="B73" t="str">
        <f>INDEX('Data Employee'!$B$2:$B$1000, MATCH(A73, 'Data Employee'!$A$2:$A$1000, 0))</f>
        <v>Dea Karunisa</v>
      </c>
      <c r="C73" t="str">
        <f>INDEX('Data Employee'!$G$2:$G$1000,MATCH(A73,'Data Employee'!$A$2:$A$1000,0))</f>
        <v>Male</v>
      </c>
      <c r="D73" s="9" t="str" cm="1">
        <f t="array" aca="1" ref="D73" ca="1">IF(J73="","",_xlfn.IFS(DATEDIF(J73,TODAY(),"M")&lt;12,"Contract 1",DATEDIF(J73,TODAY(),"M")&lt;36,"Contract 2",DATEDIF(J73,TODAY(),"M")&lt;60,"Contract 3",DATEDIF(J73,TODAY(),"M")&lt;63,"Probation",TRUE,"Permanent"))</f>
        <v>Permanent</v>
      </c>
      <c r="E73" s="9" t="str">
        <f t="shared" ca="1" si="3"/>
        <v>Permanent</v>
      </c>
      <c r="F73" s="9" t="str">
        <f>VLOOKUP(A73, 'Data Employee'!$A$2:$U$1000, 19, FALSE)</f>
        <v>Business Administration</v>
      </c>
      <c r="G73" s="9" t="str">
        <f>VLOOKUP(A73, 'Data Employee'!$A$2:$U$1000, 20, FALSE)</f>
        <v>Supply Chain Management</v>
      </c>
      <c r="H73" s="9" t="str">
        <f>INDEX('Data Employee'!$W$2:$W$1000, MATCH(A73, 'Data Employee'!$A$2:$A$1000, 0))</f>
        <v>Production Planning Analyst</v>
      </c>
      <c r="I73" t="str">
        <f>INDEX('Data Employee'!$V$2:$V$1000,MATCH(A73,'Data Employee'!$A$2:$A$1000,0))</f>
        <v>Senior Professional / Engineer / Analyst</v>
      </c>
      <c r="J73" s="18">
        <f>INDEX('Data Employee'!$L$2:$L$1000, MATCH(A73, 'Data Employee'!$A$2:$A$1000, 0))</f>
        <v>43868</v>
      </c>
      <c r="K73" s="19" t="str">
        <f>IFERROR(IF(INDEX('Data Employee'!M:M,MATCH(A73,'Data Employee'!A:A,0))="","",INDEX('Data Employee'!M:M,MATCH(A73,'Data Employee'!A:A,0))),"")</f>
        <v/>
      </c>
      <c r="L73" s="11" t="str">
        <f t="shared" ca="1" si="4"/>
        <v/>
      </c>
      <c r="M73" s="11" t="str">
        <f t="shared" ca="1" si="5"/>
        <v>Active</v>
      </c>
    </row>
    <row r="74" spans="1:13" x14ac:dyDescent="0.35">
      <c r="A74">
        <v>201843367</v>
      </c>
      <c r="B74" t="str">
        <f>INDEX('Data Employee'!$B$2:$B$1000, MATCH(A74, 'Data Employee'!$A$2:$A$1000, 0))</f>
        <v>Mummahad Agil Firmansyah</v>
      </c>
      <c r="C74" t="str">
        <f>INDEX('Data Employee'!$G$2:$G$1000,MATCH(A74,'Data Employee'!$A$2:$A$1000,0))</f>
        <v>Male</v>
      </c>
      <c r="D74" s="9" t="str" cm="1">
        <f t="array" aca="1" ref="D74" ca="1">IF(J74="","",_xlfn.IFS(DATEDIF(J74,TODAY(),"M")&lt;12,"Contract 1",DATEDIF(J74,TODAY(),"M")&lt;36,"Contract 2",DATEDIF(J74,TODAY(),"M")&lt;60,"Contract 3",DATEDIF(J74,TODAY(),"M")&lt;63,"Probation",TRUE,"Permanent"))</f>
        <v>Permanent</v>
      </c>
      <c r="E74" s="9" t="str">
        <f t="shared" ca="1" si="3"/>
        <v>Permanent</v>
      </c>
      <c r="F74" s="9" t="str">
        <f>VLOOKUP(A74, 'Data Employee'!$A$2:$U$1000, 19, FALSE)</f>
        <v>Automotive Engineering</v>
      </c>
      <c r="G74" s="9" t="str">
        <f>VLOOKUP(A74, 'Data Employee'!$A$2:$U$1000, 20, FALSE)</f>
        <v>Supply Chain Management</v>
      </c>
      <c r="H74" s="9" t="str">
        <f>INDEX('Data Employee'!$W$2:$W$1000, MATCH(A74, 'Data Employee'!$A$2:$A$1000, 0))</f>
        <v>Inventory Planning &amp; Control Administrator</v>
      </c>
      <c r="I74" t="str">
        <f>INDEX('Data Employee'!$V$2:$V$1000,MATCH(A74,'Data Employee'!$A$2:$A$1000,0))</f>
        <v>Administrator</v>
      </c>
      <c r="J74" s="18">
        <f>INDEX('Data Employee'!$L$2:$L$1000, MATCH(A74, 'Data Employee'!$A$2:$A$1000, 0))</f>
        <v>43367</v>
      </c>
      <c r="K74" s="19" t="str">
        <f>IFERROR(IF(INDEX('Data Employee'!M:M,MATCH(A74,'Data Employee'!A:A,0))="","",INDEX('Data Employee'!M:M,MATCH(A74,'Data Employee'!A:A,0))),"")</f>
        <v/>
      </c>
      <c r="L74" s="11" t="str">
        <f t="shared" ca="1" si="4"/>
        <v/>
      </c>
      <c r="M74" s="11" t="str">
        <f t="shared" ca="1" si="5"/>
        <v>Active</v>
      </c>
    </row>
    <row r="75" spans="1:13" x14ac:dyDescent="0.35">
      <c r="A75">
        <v>201943543</v>
      </c>
      <c r="B75" t="str">
        <f>INDEX('Data Employee'!$B$2:$B$1000, MATCH(A75, 'Data Employee'!$A$2:$A$1000, 0))</f>
        <v>Agus Boediono</v>
      </c>
      <c r="C75" t="str">
        <f>INDEX('Data Employee'!$G$2:$G$1000,MATCH(A75,'Data Employee'!$A$2:$A$1000,0))</f>
        <v>Male</v>
      </c>
      <c r="D75" s="9" t="str" cm="1">
        <f t="array" aca="1" ref="D75" ca="1">IF(J75="","",_xlfn.IFS(DATEDIF(J75,TODAY(),"M")&lt;12,"Contract 1",DATEDIF(J75,TODAY(),"M")&lt;36,"Contract 2",DATEDIF(J75,TODAY(),"M")&lt;60,"Contract 3",DATEDIF(J75,TODAY(),"M")&lt;63,"Probation",TRUE,"Permanent"))</f>
        <v>Permanent</v>
      </c>
      <c r="E75" s="9" t="str">
        <f t="shared" ca="1" si="3"/>
        <v>Permanent</v>
      </c>
      <c r="F75" s="9" t="str">
        <f>VLOOKUP(A75, 'Data Employee'!$A$2:$U$1000, 19, FALSE)</f>
        <v>Automotive Engineering</v>
      </c>
      <c r="G75" s="9" t="str">
        <f>VLOOKUP(A75, 'Data Employee'!$A$2:$U$1000, 20, FALSE)</f>
        <v>Supply Chain Management</v>
      </c>
      <c r="H75" s="9" t="str">
        <f>INDEX('Data Employee'!$W$2:$W$1000, MATCH(A75, 'Data Employee'!$A$2:$A$1000, 0))</f>
        <v>Inventory Planning &amp; Control Administrator</v>
      </c>
      <c r="I75" t="str">
        <f>INDEX('Data Employee'!$V$2:$V$1000,MATCH(A75,'Data Employee'!$A$2:$A$1000,0))</f>
        <v>Administrator</v>
      </c>
      <c r="J75" s="18">
        <f>INDEX('Data Employee'!$L$2:$L$1000, MATCH(A75, 'Data Employee'!$A$2:$A$1000, 0))</f>
        <v>43543</v>
      </c>
      <c r="K75" s="19" t="str">
        <f>IFERROR(IF(INDEX('Data Employee'!M:M,MATCH(A75,'Data Employee'!A:A,0))="","",INDEX('Data Employee'!M:M,MATCH(A75,'Data Employee'!A:A,0))),"")</f>
        <v/>
      </c>
      <c r="L75" s="11" t="str">
        <f t="shared" ca="1" si="4"/>
        <v/>
      </c>
      <c r="M75" s="11" t="str">
        <f t="shared" ca="1" si="5"/>
        <v>Active</v>
      </c>
    </row>
    <row r="76" spans="1:13" x14ac:dyDescent="0.35">
      <c r="A76">
        <v>201642732</v>
      </c>
      <c r="B76" t="str">
        <f>INDEX('Data Employee'!$B$2:$B$1000, MATCH(A76, 'Data Employee'!$A$2:$A$1000, 0))</f>
        <v>Junaedi</v>
      </c>
      <c r="C76" t="str">
        <f>INDEX('Data Employee'!$G$2:$G$1000,MATCH(A76,'Data Employee'!$A$2:$A$1000,0))</f>
        <v>Male</v>
      </c>
      <c r="D76" s="9" t="str" cm="1">
        <f t="array" aca="1" ref="D76" ca="1">IF(J76="","",_xlfn.IFS(DATEDIF(J76,TODAY(),"M")&lt;12,"Contract 1",DATEDIF(J76,TODAY(),"M")&lt;36,"Contract 2",DATEDIF(J76,TODAY(),"M")&lt;60,"Contract 3",DATEDIF(J76,TODAY(),"M")&lt;63,"Probation",TRUE,"Permanent"))</f>
        <v>Permanent</v>
      </c>
      <c r="E76" s="9" t="str">
        <f t="shared" ca="1" si="3"/>
        <v>Permanent</v>
      </c>
      <c r="F76" s="9" t="str">
        <f>VLOOKUP(A76, 'Data Employee'!$A$2:$U$1000, 19, FALSE)</f>
        <v>Natural Sciences (IPA)</v>
      </c>
      <c r="G76" s="9" t="str">
        <f>VLOOKUP(A76, 'Data Employee'!$A$2:$U$1000, 20, FALSE)</f>
        <v>Supply Chain Management</v>
      </c>
      <c r="H76" s="9" t="str">
        <f>INDEX('Data Employee'!$W$2:$W$1000, MATCH(A76, 'Data Employee'!$A$2:$A$1000, 0))</f>
        <v>Production Planning &amp; Control Administrator</v>
      </c>
      <c r="I76" t="str">
        <f>INDEX('Data Employee'!$V$2:$V$1000,MATCH(A76,'Data Employee'!$A$2:$A$1000,0))</f>
        <v>Administrator</v>
      </c>
      <c r="J76" s="18">
        <f>INDEX('Data Employee'!$L$2:$L$1000, MATCH(A76, 'Data Employee'!$A$2:$A$1000, 0))</f>
        <v>42732</v>
      </c>
      <c r="K76" s="19" t="str">
        <f>IFERROR(IF(INDEX('Data Employee'!M:M,MATCH(A76,'Data Employee'!A:A,0))="","",INDEX('Data Employee'!M:M,MATCH(A76,'Data Employee'!A:A,0))),"")</f>
        <v/>
      </c>
      <c r="L76" s="11" t="str">
        <f t="shared" ca="1" si="4"/>
        <v/>
      </c>
      <c r="M76" s="11" t="str">
        <f t="shared" ca="1" si="5"/>
        <v>Active</v>
      </c>
    </row>
    <row r="77" spans="1:13" x14ac:dyDescent="0.35">
      <c r="A77">
        <v>201743003</v>
      </c>
      <c r="B77" t="str">
        <f>INDEX('Data Employee'!$B$2:$B$1000, MATCH(A77, 'Data Employee'!$A$2:$A$1000, 0))</f>
        <v>Yusuf Nugroho</v>
      </c>
      <c r="C77" t="str">
        <f>INDEX('Data Employee'!$G$2:$G$1000,MATCH(A77,'Data Employee'!$A$2:$A$1000,0))</f>
        <v>Male</v>
      </c>
      <c r="D77" s="9" t="str" cm="1">
        <f t="array" aca="1" ref="D77" ca="1">IF(J77="","",_xlfn.IFS(DATEDIF(J77,TODAY(),"M")&lt;12,"Contract 1",DATEDIF(J77,TODAY(),"M")&lt;36,"Contract 2",DATEDIF(J77,TODAY(),"M")&lt;60,"Contract 3",DATEDIF(J77,TODAY(),"M")&lt;63,"Probation",TRUE,"Permanent"))</f>
        <v>Permanent</v>
      </c>
      <c r="E77" s="9" t="str">
        <f t="shared" ca="1" si="3"/>
        <v>Permanent</v>
      </c>
      <c r="F77" s="9" t="str">
        <f>VLOOKUP(A77, 'Data Employee'!$A$2:$U$1000, 19, FALSE)</f>
        <v>Statistics</v>
      </c>
      <c r="G77" s="9" t="str">
        <f>VLOOKUP(A77, 'Data Employee'!$A$2:$U$1000, 20, FALSE)</f>
        <v>Supply Chain Management</v>
      </c>
      <c r="H77" s="9" t="str">
        <f>INDEX('Data Employee'!$W$2:$W$1000, MATCH(A77, 'Data Employee'!$A$2:$A$1000, 0))</f>
        <v>Production Planning &amp; Control Administrator</v>
      </c>
      <c r="I77" t="str">
        <f>INDEX('Data Employee'!$V$2:$V$1000,MATCH(A77,'Data Employee'!$A$2:$A$1000,0))</f>
        <v>Administrator</v>
      </c>
      <c r="J77" s="18">
        <f>INDEX('Data Employee'!$L$2:$L$1000, MATCH(A77, 'Data Employee'!$A$2:$A$1000, 0))</f>
        <v>43003</v>
      </c>
      <c r="K77" s="19" t="str">
        <f>IFERROR(IF(INDEX('Data Employee'!M:M,MATCH(A77,'Data Employee'!A:A,0))="","",INDEX('Data Employee'!M:M,MATCH(A77,'Data Employee'!A:A,0))),"")</f>
        <v/>
      </c>
      <c r="L77" s="11" t="str">
        <f t="shared" ca="1" si="4"/>
        <v/>
      </c>
      <c r="M77" s="11" t="str">
        <f t="shared" ca="1" si="5"/>
        <v>Active</v>
      </c>
    </row>
    <row r="78" spans="1:13" x14ac:dyDescent="0.35">
      <c r="A78">
        <v>201843298</v>
      </c>
      <c r="B78" t="str">
        <f>INDEX('Data Employee'!$B$2:$B$1000, MATCH(A78, 'Data Employee'!$A$2:$A$1000, 0))</f>
        <v>Septiadi</v>
      </c>
      <c r="C78" t="str">
        <f>INDEX('Data Employee'!$G$2:$G$1000,MATCH(A78,'Data Employee'!$A$2:$A$1000,0))</f>
        <v>Male</v>
      </c>
      <c r="D78" s="9" t="str" cm="1">
        <f t="array" aca="1" ref="D78" ca="1">IF(J78="","",_xlfn.IFS(DATEDIF(J78,TODAY(),"M")&lt;12,"Contract 1",DATEDIF(J78,TODAY(),"M")&lt;36,"Contract 2",DATEDIF(J78,TODAY(),"M")&lt;60,"Contract 3",DATEDIF(J78,TODAY(),"M")&lt;63,"Probation",TRUE,"Permanent"))</f>
        <v>Permanent</v>
      </c>
      <c r="E78" s="9" t="str">
        <f t="shared" ca="1" si="3"/>
        <v>Permanent</v>
      </c>
      <c r="F78" s="9" t="str">
        <f>VLOOKUP(A78, 'Data Employee'!$A$2:$U$1000, 19, FALSE)</f>
        <v>Accounting</v>
      </c>
      <c r="G78" s="9" t="str">
        <f>VLOOKUP(A78, 'Data Employee'!$A$2:$U$1000, 20, FALSE)</f>
        <v>Supply Chain Management</v>
      </c>
      <c r="H78" s="9" t="str">
        <f>INDEX('Data Employee'!$W$2:$W$1000, MATCH(A78, 'Data Employee'!$A$2:$A$1000, 0))</f>
        <v>Production Planning &amp; Control Administrator</v>
      </c>
      <c r="I78" t="str">
        <f>INDEX('Data Employee'!$V$2:$V$1000,MATCH(A78,'Data Employee'!$A$2:$A$1000,0))</f>
        <v>Administrator</v>
      </c>
      <c r="J78" s="18">
        <f>INDEX('Data Employee'!$L$2:$L$1000, MATCH(A78, 'Data Employee'!$A$2:$A$1000, 0))</f>
        <v>43298</v>
      </c>
      <c r="K78" s="19" t="str">
        <f>IFERROR(IF(INDEX('Data Employee'!M:M,MATCH(A78,'Data Employee'!A:A,0))="","",INDEX('Data Employee'!M:M,MATCH(A78,'Data Employee'!A:A,0))),"")</f>
        <v/>
      </c>
      <c r="L78" s="11" t="str">
        <f t="shared" ca="1" si="4"/>
        <v/>
      </c>
      <c r="M78" s="11" t="str">
        <f t="shared" ca="1" si="5"/>
        <v>Active</v>
      </c>
    </row>
    <row r="79" spans="1:13" x14ac:dyDescent="0.35">
      <c r="A79">
        <v>202043978</v>
      </c>
      <c r="B79" t="str">
        <f>INDEX('Data Employee'!$B$2:$B$1000, MATCH(A79, 'Data Employee'!$A$2:$A$1000, 0))</f>
        <v>Rudi Satria</v>
      </c>
      <c r="C79" t="str">
        <f>INDEX('Data Employee'!$G$2:$G$1000,MATCH(A79,'Data Employee'!$A$2:$A$1000,0))</f>
        <v>Male</v>
      </c>
      <c r="D79" s="9" t="str" cm="1">
        <f t="array" aca="1" ref="D79" ca="1">IF(J79="","",_xlfn.IFS(DATEDIF(J79,TODAY(),"M")&lt;12,"Contract 1",DATEDIF(J79,TODAY(),"M")&lt;36,"Contract 2",DATEDIF(J79,TODAY(),"M")&lt;60,"Contract 3",DATEDIF(J79,TODAY(),"M")&lt;63,"Probation",TRUE,"Permanent"))</f>
        <v>Permanent</v>
      </c>
      <c r="E79" s="9" t="str">
        <f t="shared" ca="1" si="3"/>
        <v>Permanent</v>
      </c>
      <c r="F79" s="9" t="str">
        <f>VLOOKUP(A79, 'Data Employee'!$A$2:$U$1000, 19, FALSE)</f>
        <v>Communication</v>
      </c>
      <c r="G79" s="9" t="str">
        <f>VLOOKUP(A79, 'Data Employee'!$A$2:$U$1000, 20, FALSE)</f>
        <v>Supply Chain Management</v>
      </c>
      <c r="H79" s="9" t="str">
        <f>INDEX('Data Employee'!$W$2:$W$1000, MATCH(A79, 'Data Employee'!$A$2:$A$1000, 0))</f>
        <v>Inventory Control &amp; Planning Officer</v>
      </c>
      <c r="I79" t="str">
        <f>INDEX('Data Employee'!$V$2:$V$1000,MATCH(A79,'Data Employee'!$A$2:$A$1000,0))</f>
        <v>Officer / Executive</v>
      </c>
      <c r="J79" s="18">
        <f>INDEX('Data Employee'!$L$2:$L$1000, MATCH(A79, 'Data Employee'!$A$2:$A$1000, 0))</f>
        <v>43978</v>
      </c>
      <c r="K79" s="19" t="str">
        <f>IFERROR(IF(INDEX('Data Employee'!M:M,MATCH(A79,'Data Employee'!A:A,0))="","",INDEX('Data Employee'!M:M,MATCH(A79,'Data Employee'!A:A,0))),"")</f>
        <v/>
      </c>
      <c r="L79" s="11" t="str">
        <f t="shared" ca="1" si="4"/>
        <v/>
      </c>
      <c r="M79" s="11" t="str">
        <f t="shared" ca="1" si="5"/>
        <v>Active</v>
      </c>
    </row>
    <row r="80" spans="1:13" x14ac:dyDescent="0.35">
      <c r="A80">
        <v>201943552</v>
      </c>
      <c r="B80" t="str">
        <f>INDEX('Data Employee'!$B$2:$B$1000, MATCH(A80, 'Data Employee'!$A$2:$A$1000, 0))</f>
        <v>Muhammad Yusril</v>
      </c>
      <c r="C80" t="str">
        <f>INDEX('Data Employee'!$G$2:$G$1000,MATCH(A80,'Data Employee'!$A$2:$A$1000,0))</f>
        <v>Male</v>
      </c>
      <c r="D80" s="9" t="str" cm="1">
        <f t="array" aca="1" ref="D80" ca="1">IF(J80="","",_xlfn.IFS(DATEDIF(J80,TODAY(),"M")&lt;12,"Contract 1",DATEDIF(J80,TODAY(),"M")&lt;36,"Contract 2",DATEDIF(J80,TODAY(),"M")&lt;60,"Contract 3",DATEDIF(J80,TODAY(),"M")&lt;63,"Probation",TRUE,"Permanent"))</f>
        <v>Permanent</v>
      </c>
      <c r="E80" s="9" t="str">
        <f t="shared" ca="1" si="3"/>
        <v>Permanent</v>
      </c>
      <c r="F80" s="9" t="str">
        <f>VLOOKUP(A80, 'Data Employee'!$A$2:$U$1000, 19, FALSE)</f>
        <v>Management</v>
      </c>
      <c r="G80" s="9" t="str">
        <f>VLOOKUP(A80, 'Data Employee'!$A$2:$U$1000, 20, FALSE)</f>
        <v>Supply Chain Management</v>
      </c>
      <c r="H80" s="9" t="str">
        <f>INDEX('Data Employee'!$W$2:$W$1000, MATCH(A80, 'Data Employee'!$A$2:$A$1000, 0))</f>
        <v>Inventory Control &amp; Planning Officer</v>
      </c>
      <c r="I80" t="str">
        <f>INDEX('Data Employee'!$V$2:$V$1000,MATCH(A80,'Data Employee'!$A$2:$A$1000,0))</f>
        <v>Officer / Executive</v>
      </c>
      <c r="J80" s="18">
        <f>INDEX('Data Employee'!$L$2:$L$1000, MATCH(A80, 'Data Employee'!$A$2:$A$1000, 0))</f>
        <v>43552</v>
      </c>
      <c r="K80" s="19" t="str">
        <f>IFERROR(IF(INDEX('Data Employee'!M:M,MATCH(A80,'Data Employee'!A:A,0))="","",INDEX('Data Employee'!M:M,MATCH(A80,'Data Employee'!A:A,0))),"")</f>
        <v/>
      </c>
      <c r="L80" s="11" t="str">
        <f t="shared" ca="1" si="4"/>
        <v/>
      </c>
      <c r="M80" s="11" t="str">
        <f t="shared" ca="1" si="5"/>
        <v>Active</v>
      </c>
    </row>
    <row r="81" spans="1:13" x14ac:dyDescent="0.35">
      <c r="A81">
        <v>202545716</v>
      </c>
      <c r="B81" t="str">
        <f>INDEX('Data Employee'!$B$2:$B$1000, MATCH(A81, 'Data Employee'!$A$2:$A$1000, 0))</f>
        <v>Mega Dewi Sartika</v>
      </c>
      <c r="C81" t="str">
        <f>INDEX('Data Employee'!$G$2:$G$1000,MATCH(A81,'Data Employee'!$A$2:$A$1000,0))</f>
        <v>Female</v>
      </c>
      <c r="D81" s="9" t="str" cm="1">
        <f t="array" aca="1" ref="D81" ca="1">IF(J81="","",_xlfn.IFS(DATEDIF(J81,TODAY(),"M")&lt;12,"Contract 1",DATEDIF(J81,TODAY(),"M")&lt;36,"Contract 2",DATEDIF(J81,TODAY(),"M")&lt;60,"Contract 3",DATEDIF(J81,TODAY(),"M")&lt;63,"Probation",TRUE,"Permanent"))</f>
        <v>Contract 2</v>
      </c>
      <c r="E81" s="9" t="str">
        <f t="shared" ca="1" si="3"/>
        <v>24 Month</v>
      </c>
      <c r="F81" s="9" t="str">
        <f>VLOOKUP(A81, 'Data Employee'!$A$2:$U$1000, 19, FALSE)</f>
        <v>Business Administration</v>
      </c>
      <c r="G81" s="9" t="str">
        <f>VLOOKUP(A81, 'Data Employee'!$A$2:$U$1000, 20, FALSE)</f>
        <v>Supply Chain Management</v>
      </c>
      <c r="H81" s="9" t="str">
        <f>INDEX('Data Employee'!$W$2:$W$1000, MATCH(A81, 'Data Employee'!$A$2:$A$1000, 0))</f>
        <v>Production Planning Analyst Staff</v>
      </c>
      <c r="I81" t="str">
        <f>INDEX('Data Employee'!$V$2:$V$1000,MATCH(A81,'Data Employee'!$A$2:$A$1000,0))</f>
        <v>Staff</v>
      </c>
      <c r="J81" s="18">
        <f>INDEX('Data Employee'!$L$2:$L$1000, MATCH(A81, 'Data Employee'!$A$2:$A$1000, 0))</f>
        <v>45716</v>
      </c>
      <c r="K81" s="19">
        <f>IFERROR(IF(INDEX('Data Employee'!M:M,MATCH(A81,'Data Employee'!A:A,0))="","",INDEX('Data Employee'!M:M,MATCH(A81,'Data Employee'!A:A,0))),"")</f>
        <v>46811</v>
      </c>
      <c r="L81" s="11" t="str">
        <f t="shared" ca="1" si="4"/>
        <v>575 Days</v>
      </c>
      <c r="M81" s="11" t="str">
        <f t="shared" ca="1" si="5"/>
        <v>Active</v>
      </c>
    </row>
    <row r="82" spans="1:13" x14ac:dyDescent="0.35">
      <c r="A82">
        <v>202144402</v>
      </c>
      <c r="B82" t="str">
        <f>INDEX('Data Employee'!$B$2:$B$1000, MATCH(A82, 'Data Employee'!$A$2:$A$1000, 0))</f>
        <v>Agus Wijaya</v>
      </c>
      <c r="C82" t="str">
        <f>INDEX('Data Employee'!$G$2:$G$1000,MATCH(A82,'Data Employee'!$A$2:$A$1000,0))</f>
        <v>Male</v>
      </c>
      <c r="D82" s="9" t="str" cm="1">
        <f t="array" aca="1" ref="D82" ca="1">IF(J82="","",_xlfn.IFS(DATEDIF(J82,TODAY(),"M")&lt;12,"Contract 1",DATEDIF(J82,TODAY(),"M")&lt;36,"Contract 2",DATEDIF(J82,TODAY(),"M")&lt;60,"Contract 3",DATEDIF(J82,TODAY(),"M")&lt;63,"Probation",TRUE,"Permanent"))</f>
        <v>Probation</v>
      </c>
      <c r="E82" s="9" t="str">
        <f t="shared" ca="1" si="3"/>
        <v>63 Month</v>
      </c>
      <c r="F82" s="9" t="str">
        <f>VLOOKUP(A82, 'Data Employee'!$A$2:$U$1000, 19, FALSE)</f>
        <v>Industrial Engineering</v>
      </c>
      <c r="G82" s="9" t="str">
        <f>VLOOKUP(A82, 'Data Employee'!$A$2:$U$1000, 20, FALSE)</f>
        <v>Supply Chain Management</v>
      </c>
      <c r="H82" s="9" t="str">
        <f>INDEX('Data Employee'!$W$2:$W$1000, MATCH(A82, 'Data Employee'!$A$2:$A$1000, 0))</f>
        <v>Production Planning &amp; Control Officer</v>
      </c>
      <c r="I82" t="str">
        <f>INDEX('Data Employee'!$V$2:$V$1000,MATCH(A82,'Data Employee'!$A$2:$A$1000,0))</f>
        <v>Officer / Executive</v>
      </c>
      <c r="J82" s="18">
        <f>INDEX('Data Employee'!$L$2:$L$1000, MATCH(A82, 'Data Employee'!$A$2:$A$1000, 0))</f>
        <v>44402</v>
      </c>
      <c r="K82" s="19">
        <f>IFERROR(IF(INDEX('Data Employee'!M:M,MATCH(A82,'Data Employee'!A:A,0))="","",INDEX('Data Employee'!M:M,MATCH(A82,'Data Employee'!A:A,0))),"")</f>
        <v>46320</v>
      </c>
      <c r="L82" s="11" t="str">
        <f t="shared" ca="1" si="4"/>
        <v>84 Days</v>
      </c>
      <c r="M82" s="11" t="str">
        <f t="shared" ca="1" si="5"/>
        <v>Active</v>
      </c>
    </row>
    <row r="83" spans="1:13" x14ac:dyDescent="0.35">
      <c r="A83">
        <v>201742740</v>
      </c>
      <c r="B83" t="str">
        <f>INDEX('Data Employee'!$B$2:$B$1000, MATCH(A83, 'Data Employee'!$A$2:$A$1000, 0))</f>
        <v>Andi Kurniawan</v>
      </c>
      <c r="C83" t="str">
        <f>INDEX('Data Employee'!$G$2:$G$1000,MATCH(A83,'Data Employee'!$A$2:$A$1000,0))</f>
        <v>Male</v>
      </c>
      <c r="D83" s="9" t="str" cm="1">
        <f t="array" aca="1" ref="D83" ca="1">IF(J83="","",_xlfn.IFS(DATEDIF(J83,TODAY(),"M")&lt;12,"Contract 1",DATEDIF(J83,TODAY(),"M")&lt;36,"Contract 2",DATEDIF(J83,TODAY(),"M")&lt;60,"Contract 3",DATEDIF(J83,TODAY(),"M")&lt;63,"Probation",TRUE,"Permanent"))</f>
        <v>Permanent</v>
      </c>
      <c r="E83" s="9" t="str">
        <f t="shared" ca="1" si="3"/>
        <v>Permanent</v>
      </c>
      <c r="F83" s="9" t="str">
        <f>VLOOKUP(A83, 'Data Employee'!$A$2:$U$1000, 19, FALSE)</f>
        <v>Mechanical Engineering</v>
      </c>
      <c r="G83" s="9" t="str">
        <f>VLOOKUP(A83, 'Data Employee'!$A$2:$U$1000, 20, FALSE)</f>
        <v>Supply Chain Management</v>
      </c>
      <c r="H83" s="9" t="str">
        <f>INDEX('Data Employee'!$W$2:$W$1000, MATCH(A83, 'Data Employee'!$A$2:$A$1000, 0))</f>
        <v>Production Planning &amp; Control Officer</v>
      </c>
      <c r="I83" t="str">
        <f>INDEX('Data Employee'!$V$2:$V$1000,MATCH(A83,'Data Employee'!$A$2:$A$1000,0))</f>
        <v>Officer / Executive</v>
      </c>
      <c r="J83" s="18">
        <f>INDEX('Data Employee'!$L$2:$L$1000, MATCH(A83, 'Data Employee'!$A$2:$A$1000, 0))</f>
        <v>42740</v>
      </c>
      <c r="K83" s="19" t="str">
        <f>IFERROR(IF(INDEX('Data Employee'!M:M,MATCH(A83,'Data Employee'!A:A,0))="","",INDEX('Data Employee'!M:M,MATCH(A83,'Data Employee'!A:A,0))),"")</f>
        <v/>
      </c>
      <c r="L83" s="11" t="str">
        <f t="shared" ca="1" si="4"/>
        <v/>
      </c>
      <c r="M83" s="11" t="str">
        <f t="shared" ca="1" si="5"/>
        <v>Active</v>
      </c>
    </row>
    <row r="84" spans="1:13" x14ac:dyDescent="0.35">
      <c r="A84">
        <v>201943527</v>
      </c>
      <c r="B84" t="str">
        <f>INDEX('Data Employee'!$B$2:$B$1000, MATCH(A84, 'Data Employee'!$A$2:$A$1000, 0))</f>
        <v>Bambang Wijaya</v>
      </c>
      <c r="C84" t="str">
        <f>INDEX('Data Employee'!$G$2:$G$1000,MATCH(A84,'Data Employee'!$A$2:$A$1000,0))</f>
        <v>Male</v>
      </c>
      <c r="D84" s="9" t="str" cm="1">
        <f t="array" aca="1" ref="D84" ca="1">IF(J84="","",_xlfn.IFS(DATEDIF(J84,TODAY(),"M")&lt;12,"Contract 1",DATEDIF(J84,TODAY(),"M")&lt;36,"Contract 2",DATEDIF(J84,TODAY(),"M")&lt;60,"Contract 3",DATEDIF(J84,TODAY(),"M")&lt;63,"Probation",TRUE,"Permanent"))</f>
        <v>Permanent</v>
      </c>
      <c r="E84" s="9" t="str">
        <f t="shared" ca="1" si="3"/>
        <v>Permanent</v>
      </c>
      <c r="F84" s="9" t="str">
        <f>VLOOKUP(A84, 'Data Employee'!$A$2:$U$1000, 19, FALSE)</f>
        <v>Management</v>
      </c>
      <c r="G84" s="9" t="str">
        <f>VLOOKUP(A84, 'Data Employee'!$A$2:$U$1000, 20, FALSE)</f>
        <v>Corporate Governance</v>
      </c>
      <c r="H84" s="9" t="str">
        <f>INDEX('Data Employee'!$W$2:$W$1000, MATCH(A84, 'Data Employee'!$A$2:$A$1000, 0))</f>
        <v>Commissioner</v>
      </c>
      <c r="I84" t="str">
        <f>INDEX('Data Employee'!$V$2:$V$1000,MATCH(A84,'Data Employee'!$A$2:$A$1000,0))</f>
        <v>Commissioner</v>
      </c>
      <c r="J84" s="18">
        <f>INDEX('Data Employee'!$L$2:$L$1000, MATCH(A84, 'Data Employee'!$A$2:$A$1000, 0))</f>
        <v>36588</v>
      </c>
      <c r="K84" s="19" t="str">
        <f>IFERROR(IF(INDEX('Data Employee'!M:M,MATCH(A84,'Data Employee'!A:A,0))="","",INDEX('Data Employee'!M:M,MATCH(A84,'Data Employee'!A:A,0))),"")</f>
        <v/>
      </c>
      <c r="L84" s="11" t="str">
        <f t="shared" ca="1" si="4"/>
        <v/>
      </c>
      <c r="M84" s="11" t="str">
        <f t="shared" ca="1" si="5"/>
        <v>Active</v>
      </c>
    </row>
    <row r="85" spans="1:13" x14ac:dyDescent="0.35">
      <c r="A85">
        <v>202144393</v>
      </c>
      <c r="B85" t="str">
        <f>INDEX('Data Employee'!$B$2:$B$1000, MATCH(A85, 'Data Employee'!$A$2:$A$1000, 0))</f>
        <v>Yusuf Saputra</v>
      </c>
      <c r="C85" t="str">
        <f>INDEX('Data Employee'!$G$2:$G$1000,MATCH(A85,'Data Employee'!$A$2:$A$1000,0))</f>
        <v>Male</v>
      </c>
      <c r="D85" s="9" t="str" cm="1">
        <f t="array" aca="1" ref="D85" ca="1">IF(J85="","",_xlfn.IFS(DATEDIF(J85,TODAY(),"M")&lt;12,"Contract 1",DATEDIF(J85,TODAY(),"M")&lt;36,"Contract 2",DATEDIF(J85,TODAY(),"M")&lt;60,"Contract 3",DATEDIF(J85,TODAY(),"M")&lt;63,"Probation",TRUE,"Permanent"))</f>
        <v>Contract 3</v>
      </c>
      <c r="E85" s="9" t="str">
        <f t="shared" ca="1" si="3"/>
        <v>60 Month</v>
      </c>
      <c r="F85" s="9" t="str">
        <f>VLOOKUP(A85, 'Data Employee'!$A$2:$U$1000, 19, FALSE)</f>
        <v>Tourism</v>
      </c>
      <c r="G85" s="9" t="str">
        <f>VLOOKUP(A85, 'Data Employee'!$A$2:$U$1000, 20, FALSE)</f>
        <v>Manufacturing</v>
      </c>
      <c r="H85" s="9" t="str">
        <f>INDEX('Data Employee'!$W$2:$W$1000, MATCH(A85, 'Data Employee'!$A$2:$A$1000, 0))</f>
        <v>Leader Engineering</v>
      </c>
      <c r="I85" t="str">
        <f>INDEX('Data Employee'!$V$2:$V$1000,MATCH(A85,'Data Employee'!$A$2:$A$1000,0))</f>
        <v>Leader</v>
      </c>
      <c r="J85" s="18">
        <f>INDEX('Data Employee'!$L$2:$L$1000, MATCH(A85, 'Data Employee'!$A$2:$A$1000, 0))</f>
        <v>44758</v>
      </c>
      <c r="K85" s="19" t="str">
        <f>IFERROR(IF(INDEX('Data Employee'!M:M,MATCH(A85,'Data Employee'!A:A,0))="","",INDEX('Data Employee'!M:M,MATCH(A85,'Data Employee'!A:A,0))),"")</f>
        <v/>
      </c>
      <c r="L85" s="11" t="str">
        <f t="shared" ca="1" si="4"/>
        <v/>
      </c>
      <c r="M85" s="11" t="str">
        <f t="shared" ca="1" si="5"/>
        <v>Active</v>
      </c>
    </row>
    <row r="86" spans="1:13" x14ac:dyDescent="0.35">
      <c r="A86">
        <v>202445543</v>
      </c>
      <c r="B86" t="str">
        <f>INDEX('Data Employee'!$B$2:$B$1000, MATCH(A86, 'Data Employee'!$A$2:$A$1000, 0))</f>
        <v>Budi Wijaya</v>
      </c>
      <c r="C86" t="str">
        <f>INDEX('Data Employee'!$G$2:$G$1000,MATCH(A86,'Data Employee'!$A$2:$A$1000,0))</f>
        <v>Male</v>
      </c>
      <c r="D86" s="9" t="str" cm="1">
        <f t="array" aca="1" ref="D86" ca="1">IF(J86="","",_xlfn.IFS(DATEDIF(J86,TODAY(),"M")&lt;12,"Contract 1",DATEDIF(J86,TODAY(),"M")&lt;36,"Contract 2",DATEDIF(J86,TODAY(),"M")&lt;60,"Contract 3",DATEDIF(J86,TODAY(),"M")&lt;63,"Probation",TRUE,"Permanent"))</f>
        <v>Permanent</v>
      </c>
      <c r="E86" s="9" t="str">
        <f t="shared" ca="1" si="3"/>
        <v>Permanent</v>
      </c>
      <c r="F86" s="9" t="str">
        <f>VLOOKUP(A86, 'Data Employee'!$A$2:$U$1000, 19, FALSE)</f>
        <v>Mechanical Engineering</v>
      </c>
      <c r="G86" s="9" t="str">
        <f>VLOOKUP(A86, 'Data Employee'!$A$2:$U$1000, 20, FALSE)</f>
        <v>Manufacturing</v>
      </c>
      <c r="H86" s="9" t="str">
        <f>INDEX('Data Employee'!$W$2:$W$1000, MATCH(A86, 'Data Employee'!$A$2:$A$1000, 0))</f>
        <v>Production Manager</v>
      </c>
      <c r="I86" t="str">
        <f>INDEX('Data Employee'!$V$2:$V$1000,MATCH(A86,'Data Employee'!$A$2:$A$1000,0))</f>
        <v>Manager</v>
      </c>
      <c r="J86" s="18">
        <f>INDEX('Data Employee'!$L$2:$L$1000, MATCH(A86, 'Data Employee'!$A$2:$A$1000, 0))</f>
        <v>43716</v>
      </c>
      <c r="K86" s="19" t="str">
        <f>IFERROR(IF(INDEX('Data Employee'!M:M,MATCH(A86,'Data Employee'!A:A,0))="","",INDEX('Data Employee'!M:M,MATCH(A86,'Data Employee'!A:A,0))),"")</f>
        <v/>
      </c>
      <c r="L86" s="11" t="str">
        <f t="shared" ca="1" si="4"/>
        <v/>
      </c>
      <c r="M86" s="11" t="str">
        <f t="shared" ca="1" si="5"/>
        <v>Active</v>
      </c>
    </row>
    <row r="87" spans="1:13" x14ac:dyDescent="0.35">
      <c r="A87">
        <v>202043929</v>
      </c>
      <c r="B87" t="str">
        <f>INDEX('Data Employee'!$B$2:$B$1000, MATCH(A87, 'Data Employee'!$A$2:$A$1000, 0))</f>
        <v>Aulia Permata</v>
      </c>
      <c r="C87" t="str">
        <f>INDEX('Data Employee'!$G$2:$G$1000,MATCH(A87,'Data Employee'!$A$2:$A$1000,0))</f>
        <v>Female</v>
      </c>
      <c r="D87" s="9" t="str" cm="1">
        <f t="array" aca="1" ref="D87" ca="1">IF(J87="","",_xlfn.IFS(DATEDIF(J87,TODAY(),"M")&lt;12,"Contract 1",DATEDIF(J87,TODAY(),"M")&lt;36,"Contract 2",DATEDIF(J87,TODAY(),"M")&lt;60,"Contract 3",DATEDIF(J87,TODAY(),"M")&lt;63,"Probation",TRUE,"Permanent"))</f>
        <v>Permanent</v>
      </c>
      <c r="E87" s="9" t="str">
        <f t="shared" ca="1" si="3"/>
        <v>Permanent</v>
      </c>
      <c r="F87" s="9" t="str">
        <f>VLOOKUP(A87, 'Data Employee'!$A$2:$U$1000, 19, FALSE)</f>
        <v>Natural Sciences (IPA)</v>
      </c>
      <c r="G87" s="9" t="str">
        <f>VLOOKUP(A87, 'Data Employee'!$A$2:$U$1000, 20, FALSE)</f>
        <v>Manufacturing</v>
      </c>
      <c r="H87" s="9" t="str">
        <f>INDEX('Data Employee'!$W$2:$W$1000, MATCH(A87, 'Data Employee'!$A$2:$A$1000, 0))</f>
        <v>Leader Engineering</v>
      </c>
      <c r="I87" t="str">
        <f>INDEX('Data Employee'!$V$2:$V$1000,MATCH(A87,'Data Employee'!$A$2:$A$1000,0))</f>
        <v>Leader</v>
      </c>
      <c r="J87" s="18">
        <f>INDEX('Data Employee'!$L$2:$L$1000, MATCH(A87, 'Data Employee'!$A$2:$A$1000, 0))</f>
        <v>43929</v>
      </c>
      <c r="K87" s="19" t="str">
        <f>IFERROR(IF(INDEX('Data Employee'!M:M,MATCH(A87,'Data Employee'!A:A,0))="","",INDEX('Data Employee'!M:M,MATCH(A87,'Data Employee'!A:A,0))),"")</f>
        <v/>
      </c>
      <c r="L87" s="11" t="str">
        <f t="shared" ca="1" si="4"/>
        <v/>
      </c>
      <c r="M87" s="11" t="str">
        <f t="shared" ca="1" si="5"/>
        <v>Active</v>
      </c>
    </row>
    <row r="88" spans="1:13" x14ac:dyDescent="0.35">
      <c r="A88">
        <v>201642575</v>
      </c>
      <c r="B88" t="str">
        <f>INDEX('Data Employee'!$B$2:$B$1000, MATCH(A88, 'Data Employee'!$A$2:$A$1000, 0))</f>
        <v>Indah Permata</v>
      </c>
      <c r="C88" t="str">
        <f>INDEX('Data Employee'!$G$2:$G$1000,MATCH(A88,'Data Employee'!$A$2:$A$1000,0))</f>
        <v>Female</v>
      </c>
      <c r="D88" s="9" t="str" cm="1">
        <f t="array" aca="1" ref="D88" ca="1">IF(J88="","",_xlfn.IFS(DATEDIF(J88,TODAY(),"M")&lt;12,"Contract 1",DATEDIF(J88,TODAY(),"M")&lt;36,"Contract 2",DATEDIF(J88,TODAY(),"M")&lt;60,"Contract 3",DATEDIF(J88,TODAY(),"M")&lt;63,"Probation",TRUE,"Permanent"))</f>
        <v>Permanent</v>
      </c>
      <c r="E88" s="9" t="str">
        <f t="shared" ca="1" si="3"/>
        <v>Permanent</v>
      </c>
      <c r="F88" s="9" t="str">
        <f>VLOOKUP(A88, 'Data Employee'!$A$2:$U$1000, 19, FALSE)</f>
        <v>Statistics</v>
      </c>
      <c r="G88" s="9" t="str">
        <f>VLOOKUP(A88, 'Data Employee'!$A$2:$U$1000, 20, FALSE)</f>
        <v>Manufacturing</v>
      </c>
      <c r="H88" s="9" t="str">
        <f>INDEX('Data Employee'!$W$2:$W$1000, MATCH(A88, 'Data Employee'!$A$2:$A$1000, 0))</f>
        <v>Leader Engineering</v>
      </c>
      <c r="I88" t="str">
        <f>INDEX('Data Employee'!$V$2:$V$1000,MATCH(A88,'Data Employee'!$A$2:$A$1000,0))</f>
        <v>Leader</v>
      </c>
      <c r="J88" s="18">
        <f>INDEX('Data Employee'!$L$2:$L$1000, MATCH(A88, 'Data Employee'!$A$2:$A$1000, 0))</f>
        <v>42575</v>
      </c>
      <c r="K88" s="19" t="str">
        <f>IFERROR(IF(INDEX('Data Employee'!M:M,MATCH(A88,'Data Employee'!A:A,0))="","",INDEX('Data Employee'!M:M,MATCH(A88,'Data Employee'!A:A,0))),"")</f>
        <v/>
      </c>
      <c r="L88" s="11" t="str">
        <f t="shared" ca="1" si="4"/>
        <v/>
      </c>
      <c r="M88" s="11" t="str">
        <f t="shared" ca="1" si="5"/>
        <v>Active</v>
      </c>
    </row>
    <row r="89" spans="1:13" x14ac:dyDescent="0.35">
      <c r="A89">
        <v>201742831</v>
      </c>
      <c r="B89" t="str">
        <f>INDEX('Data Employee'!$B$2:$B$1000, MATCH(A89, 'Data Employee'!$A$2:$A$1000, 0))</f>
        <v>Dedi Hidayat</v>
      </c>
      <c r="C89" t="str">
        <f>INDEX('Data Employee'!$G$2:$G$1000,MATCH(A89,'Data Employee'!$A$2:$A$1000,0))</f>
        <v>Male</v>
      </c>
      <c r="D89" s="9" t="str" cm="1">
        <f t="array" aca="1" ref="D89" ca="1">IF(J89="","",_xlfn.IFS(DATEDIF(J89,TODAY(),"M")&lt;12,"Contract 1",DATEDIF(J89,TODAY(),"M")&lt;36,"Contract 2",DATEDIF(J89,TODAY(),"M")&lt;60,"Contract 3",DATEDIF(J89,TODAY(),"M")&lt;63,"Probation",TRUE,"Permanent"))</f>
        <v>Permanent</v>
      </c>
      <c r="E89" s="9" t="str">
        <f t="shared" ca="1" si="3"/>
        <v>Permanent</v>
      </c>
      <c r="F89" s="9" t="str">
        <f>VLOOKUP(A89, 'Data Employee'!$A$2:$U$1000, 19, FALSE)</f>
        <v>Communication</v>
      </c>
      <c r="G89" s="9" t="str">
        <f>VLOOKUP(A89, 'Data Employee'!$A$2:$U$1000, 20, FALSE)</f>
        <v>Manufacturing</v>
      </c>
      <c r="H89" s="9" t="str">
        <f>INDEX('Data Employee'!$W$2:$W$1000, MATCH(A89, 'Data Employee'!$A$2:$A$1000, 0))</f>
        <v>Leader Engineering</v>
      </c>
      <c r="I89" t="str">
        <f>INDEX('Data Employee'!$V$2:$V$1000,MATCH(A89,'Data Employee'!$A$2:$A$1000,0))</f>
        <v>Leader</v>
      </c>
      <c r="J89" s="18">
        <f>INDEX('Data Employee'!$L$2:$L$1000, MATCH(A89, 'Data Employee'!$A$2:$A$1000, 0))</f>
        <v>42831</v>
      </c>
      <c r="K89" s="19" t="str">
        <f>IFERROR(IF(INDEX('Data Employee'!M:M,MATCH(A89,'Data Employee'!A:A,0))="","",INDEX('Data Employee'!M:M,MATCH(A89,'Data Employee'!A:A,0))),"")</f>
        <v/>
      </c>
      <c r="L89" s="11" t="str">
        <f t="shared" ca="1" si="4"/>
        <v/>
      </c>
      <c r="M89" s="11" t="str">
        <f t="shared" ca="1" si="5"/>
        <v>Active</v>
      </c>
    </row>
    <row r="90" spans="1:13" x14ac:dyDescent="0.35">
      <c r="A90">
        <v>201943575</v>
      </c>
      <c r="B90" t="str">
        <f>INDEX('Data Employee'!$B$2:$B$1000, MATCH(A90, 'Data Employee'!$A$2:$A$1000, 0))</f>
        <v>Yoga Kusuma</v>
      </c>
      <c r="C90" t="str">
        <f>INDEX('Data Employee'!$G$2:$G$1000,MATCH(A90,'Data Employee'!$A$2:$A$1000,0))</f>
        <v>Male</v>
      </c>
      <c r="D90" s="9" t="str" cm="1">
        <f t="array" aca="1" ref="D90" ca="1">IF(J90="","",_xlfn.IFS(DATEDIF(J90,TODAY(),"M")&lt;12,"Contract 1",DATEDIF(J90,TODAY(),"M")&lt;36,"Contract 2",DATEDIF(J90,TODAY(),"M")&lt;60,"Contract 3",DATEDIF(J90,TODAY(),"M")&lt;63,"Probation",TRUE,"Permanent"))</f>
        <v>Permanent</v>
      </c>
      <c r="E90" s="9" t="str">
        <f t="shared" ca="1" si="3"/>
        <v>Permanent</v>
      </c>
      <c r="F90" s="9" t="str">
        <f>VLOOKUP(A90, 'Data Employee'!$A$2:$U$1000, 19, FALSE)</f>
        <v>Law</v>
      </c>
      <c r="G90" s="9" t="str">
        <f>VLOOKUP(A90, 'Data Employee'!$A$2:$U$1000, 20, FALSE)</f>
        <v>Manufacturing</v>
      </c>
      <c r="H90" s="9" t="str">
        <f>INDEX('Data Employee'!$W$2:$W$1000, MATCH(A90, 'Data Employee'!$A$2:$A$1000, 0))</f>
        <v>Leader Engineering</v>
      </c>
      <c r="I90" t="str">
        <f>INDEX('Data Employee'!$V$2:$V$1000,MATCH(A90,'Data Employee'!$A$2:$A$1000,0))</f>
        <v>Leader</v>
      </c>
      <c r="J90" s="18">
        <f>INDEX('Data Employee'!$L$2:$L$1000, MATCH(A90, 'Data Employee'!$A$2:$A$1000, 0))</f>
        <v>43575</v>
      </c>
      <c r="K90" s="19" t="str">
        <f>IFERROR(IF(INDEX('Data Employee'!M:M,MATCH(A90,'Data Employee'!A:A,0))="","",INDEX('Data Employee'!M:M,MATCH(A90,'Data Employee'!A:A,0))),"")</f>
        <v/>
      </c>
      <c r="L90" s="11" t="str">
        <f t="shared" ca="1" si="4"/>
        <v/>
      </c>
      <c r="M90" s="11" t="str">
        <f t="shared" ca="1" si="5"/>
        <v>Active</v>
      </c>
    </row>
    <row r="91" spans="1:13" x14ac:dyDescent="0.35">
      <c r="A91">
        <v>202646180</v>
      </c>
      <c r="B91" t="str">
        <f>INDEX('Data Employee'!$B$2:$B$1000, MATCH(A91, 'Data Employee'!$A$2:$A$1000, 0))</f>
        <v>Andi Hidayat</v>
      </c>
      <c r="C91" t="str">
        <f>INDEX('Data Employee'!$G$2:$G$1000,MATCH(A91,'Data Employee'!$A$2:$A$1000,0))</f>
        <v>Male</v>
      </c>
      <c r="D91" s="9" t="str" cm="1">
        <f t="array" aca="1" ref="D91" ca="1">IF(J91="","",_xlfn.IFS(DATEDIF(J91,TODAY(),"M")&lt;12,"Contract 1",DATEDIF(J91,TODAY(),"M")&lt;36,"Contract 2",DATEDIF(J91,TODAY(),"M")&lt;60,"Contract 3",DATEDIF(J91,TODAY(),"M")&lt;63,"Probation",TRUE,"Permanent"))</f>
        <v>Permanent</v>
      </c>
      <c r="E91" s="9" t="str">
        <f t="shared" ca="1" si="3"/>
        <v>Permanent</v>
      </c>
      <c r="F91" s="9" t="str">
        <f>VLOOKUP(A91, 'Data Employee'!$A$2:$U$1000, 19, FALSE)</f>
        <v>Tourism</v>
      </c>
      <c r="G91" s="9" t="str">
        <f>VLOOKUP(A91, 'Data Employee'!$A$2:$U$1000, 20, FALSE)</f>
        <v>Manufacturing</v>
      </c>
      <c r="H91" s="9" t="str">
        <f>INDEX('Data Employee'!$W$2:$W$1000, MATCH(A91, 'Data Employee'!$A$2:$A$1000, 0))</f>
        <v>Leader Line Production</v>
      </c>
      <c r="I91" t="str">
        <f>INDEX('Data Employee'!$V$2:$V$1000,MATCH(A91,'Data Employee'!$A$2:$A$1000,0))</f>
        <v>Leader</v>
      </c>
      <c r="J91" s="18">
        <f>INDEX('Data Employee'!$L$2:$L$1000, MATCH(A91, 'Data Employee'!$A$2:$A$1000, 0))</f>
        <v>42528</v>
      </c>
      <c r="K91" s="19" t="str">
        <f>IFERROR(IF(INDEX('Data Employee'!M:M,MATCH(A91,'Data Employee'!A:A,0))="","",INDEX('Data Employee'!M:M,MATCH(A91,'Data Employee'!A:A,0))),"")</f>
        <v/>
      </c>
      <c r="L91" s="11" t="str">
        <f t="shared" ca="1" si="4"/>
        <v/>
      </c>
      <c r="M91" s="11" t="str">
        <f t="shared" ca="1" si="5"/>
        <v>Active</v>
      </c>
    </row>
    <row r="92" spans="1:13" x14ac:dyDescent="0.35">
      <c r="A92">
        <v>202344981</v>
      </c>
      <c r="B92" t="str">
        <f>INDEX('Data Employee'!$B$2:$B$1000, MATCH(A92, 'Data Employee'!$A$2:$A$1000, 0))</f>
        <v>Rizky Nugroho</v>
      </c>
      <c r="C92" t="str">
        <f>INDEX('Data Employee'!$G$2:$G$1000,MATCH(A92,'Data Employee'!$A$2:$A$1000,0))</f>
        <v>Male</v>
      </c>
      <c r="D92" s="9" t="str" cm="1">
        <f t="array" aca="1" ref="D92" ca="1">IF(J92="","",_xlfn.IFS(DATEDIF(J92,TODAY(),"M")&lt;12,"Contract 1",DATEDIF(J92,TODAY(),"M")&lt;36,"Contract 2",DATEDIF(J92,TODAY(),"M")&lt;60,"Contract 3",DATEDIF(J92,TODAY(),"M")&lt;63,"Probation",TRUE,"Permanent"))</f>
        <v>Permanent</v>
      </c>
      <c r="E92" s="9" t="str">
        <f t="shared" ca="1" si="3"/>
        <v>Permanent</v>
      </c>
      <c r="F92" s="9" t="str">
        <f>VLOOKUP(A92, 'Data Employee'!$A$2:$U$1000, 19, FALSE)</f>
        <v>Electrical Engineering</v>
      </c>
      <c r="G92" s="9" t="str">
        <f>VLOOKUP(A92, 'Data Employee'!$A$2:$U$1000, 20, FALSE)</f>
        <v>Manufacturing</v>
      </c>
      <c r="H92" s="9" t="str">
        <f>INDEX('Data Employee'!$W$2:$W$1000, MATCH(A92, 'Data Employee'!$A$2:$A$1000, 0))</f>
        <v>Leader Line Production</v>
      </c>
      <c r="I92" t="str">
        <f>INDEX('Data Employee'!$V$2:$V$1000,MATCH(A92,'Data Employee'!$A$2:$A$1000,0))</f>
        <v>Leader</v>
      </c>
      <c r="J92" s="18">
        <f>INDEX('Data Employee'!$L$2:$L$1000, MATCH(A92, 'Data Employee'!$A$2:$A$1000, 0))</f>
        <v>42424</v>
      </c>
      <c r="K92" s="19" t="str">
        <f>IFERROR(IF(INDEX('Data Employee'!M:M,MATCH(A92,'Data Employee'!A:A,0))="","",INDEX('Data Employee'!M:M,MATCH(A92,'Data Employee'!A:A,0))),"")</f>
        <v/>
      </c>
      <c r="L92" s="11" t="str">
        <f t="shared" ca="1" si="4"/>
        <v/>
      </c>
      <c r="M92" s="11" t="str">
        <f t="shared" ca="1" si="5"/>
        <v>Active</v>
      </c>
    </row>
    <row r="93" spans="1:13" x14ac:dyDescent="0.35">
      <c r="A93">
        <v>202044108</v>
      </c>
      <c r="B93" t="str">
        <f>INDEX('Data Employee'!$B$2:$B$1000, MATCH(A93, 'Data Employee'!$A$2:$A$1000, 0))</f>
        <v>Agus Kurniawan</v>
      </c>
      <c r="C93" t="str">
        <f>INDEX('Data Employee'!$G$2:$G$1000,MATCH(A93,'Data Employee'!$A$2:$A$1000,0))</f>
        <v>Male</v>
      </c>
      <c r="D93" s="9" t="str" cm="1">
        <f t="array" aca="1" ref="D93" ca="1">IF(J93="","",_xlfn.IFS(DATEDIF(J93,TODAY(),"M")&lt;12,"Contract 1",DATEDIF(J93,TODAY(),"M")&lt;36,"Contract 2",DATEDIF(J93,TODAY(),"M")&lt;60,"Contract 3",DATEDIF(J93,TODAY(),"M")&lt;63,"Probation",TRUE,"Permanent"))</f>
        <v>Permanent</v>
      </c>
      <c r="E93" s="9" t="str">
        <f t="shared" ca="1" si="3"/>
        <v>Permanent</v>
      </c>
      <c r="F93" s="9" t="str">
        <f>VLOOKUP(A93, 'Data Employee'!$A$2:$U$1000, 19, FALSE)</f>
        <v>Mechanical Engineering</v>
      </c>
      <c r="G93" s="9" t="str">
        <f>VLOOKUP(A93, 'Data Employee'!$A$2:$U$1000, 20, FALSE)</f>
        <v>Manufacturing</v>
      </c>
      <c r="H93" s="9" t="str">
        <f>INDEX('Data Employee'!$W$2:$W$1000, MATCH(A93, 'Data Employee'!$A$2:$A$1000, 0))</f>
        <v>Production Supervisor</v>
      </c>
      <c r="I93" t="str">
        <f>INDEX('Data Employee'!$V$2:$V$1000,MATCH(A93,'Data Employee'!$A$2:$A$1000,0))</f>
        <v>Supervisor</v>
      </c>
      <c r="J93" s="18">
        <f>INDEX('Data Employee'!$L$2:$L$1000, MATCH(A93, 'Data Employee'!$A$2:$A$1000, 0))</f>
        <v>43012</v>
      </c>
      <c r="K93" s="19" t="str">
        <f>IFERROR(IF(INDEX('Data Employee'!M:M,MATCH(A93,'Data Employee'!A:A,0))="","",INDEX('Data Employee'!M:M,MATCH(A93,'Data Employee'!A:A,0))),"")</f>
        <v/>
      </c>
      <c r="L93" s="11" t="str">
        <f t="shared" ca="1" si="4"/>
        <v/>
      </c>
      <c r="M93" s="11" t="str">
        <f t="shared" ca="1" si="5"/>
        <v>Active</v>
      </c>
    </row>
    <row r="94" spans="1:13" x14ac:dyDescent="0.35">
      <c r="A94">
        <v>201542229</v>
      </c>
      <c r="B94" t="str">
        <f>INDEX('Data Employee'!$B$2:$B$1000, MATCH(A94, 'Data Employee'!$A$2:$A$1000, 0))</f>
        <v>Budi Saputra</v>
      </c>
      <c r="C94" t="str">
        <f>INDEX('Data Employee'!$G$2:$G$1000,MATCH(A94,'Data Employee'!$A$2:$A$1000,0))</f>
        <v>Male</v>
      </c>
      <c r="D94" s="9" t="str" cm="1">
        <f t="array" aca="1" ref="D94" ca="1">IF(J94="","",_xlfn.IFS(DATEDIF(J94,TODAY(),"M")&lt;12,"Contract 1",DATEDIF(J94,TODAY(),"M")&lt;36,"Contract 2",DATEDIF(J94,TODAY(),"M")&lt;60,"Contract 3",DATEDIF(J94,TODAY(),"M")&lt;63,"Probation",TRUE,"Permanent"))</f>
        <v>Permanent</v>
      </c>
      <c r="E94" s="9" t="str">
        <f t="shared" ca="1" si="3"/>
        <v>Permanent</v>
      </c>
      <c r="F94" s="9" t="str">
        <f>VLOOKUP(A94, 'Data Employee'!$A$2:$U$1000, 19, FALSE)</f>
        <v>Electrical Engineering</v>
      </c>
      <c r="G94" s="9" t="str">
        <f>VLOOKUP(A94, 'Data Employee'!$A$2:$U$1000, 20, FALSE)</f>
        <v>Manufacturing</v>
      </c>
      <c r="H94" s="9" t="str">
        <f>INDEX('Data Employee'!$W$2:$W$1000, MATCH(A94, 'Data Employee'!$A$2:$A$1000, 0))</f>
        <v>Leader Line Production</v>
      </c>
      <c r="I94" t="str">
        <f>INDEX('Data Employee'!$V$2:$V$1000,MATCH(A94,'Data Employee'!$A$2:$A$1000,0))</f>
        <v>Leader</v>
      </c>
      <c r="J94" s="18">
        <f>INDEX('Data Employee'!$L$2:$L$1000, MATCH(A94, 'Data Employee'!$A$2:$A$1000, 0))</f>
        <v>42229</v>
      </c>
      <c r="K94" s="19" t="str">
        <f>IFERROR(IF(INDEX('Data Employee'!M:M,MATCH(A94,'Data Employee'!A:A,0))="","",INDEX('Data Employee'!M:M,MATCH(A94,'Data Employee'!A:A,0))),"")</f>
        <v/>
      </c>
      <c r="L94" s="11" t="str">
        <f t="shared" ca="1" si="4"/>
        <v/>
      </c>
      <c r="M94" s="11" t="str">
        <f t="shared" ca="1" si="5"/>
        <v>Active</v>
      </c>
    </row>
    <row r="95" spans="1:13" x14ac:dyDescent="0.35">
      <c r="A95">
        <v>201742748</v>
      </c>
      <c r="B95" t="str">
        <f>INDEX('Data Employee'!$B$2:$B$1000, MATCH(A95, 'Data Employee'!$A$2:$A$1000, 0))</f>
        <v>Budi Kurniawan</v>
      </c>
      <c r="C95" t="str">
        <f>INDEX('Data Employee'!$G$2:$G$1000,MATCH(A95,'Data Employee'!$A$2:$A$1000,0))</f>
        <v>Male</v>
      </c>
      <c r="D95" s="9" t="str" cm="1">
        <f t="array" aca="1" ref="D95" ca="1">IF(J95="","",_xlfn.IFS(DATEDIF(J95,TODAY(),"M")&lt;12,"Contract 1",DATEDIF(J95,TODAY(),"M")&lt;36,"Contract 2",DATEDIF(J95,TODAY(),"M")&lt;60,"Contract 3",DATEDIF(J95,TODAY(),"M")&lt;63,"Probation",TRUE,"Permanent"))</f>
        <v>Permanent</v>
      </c>
      <c r="E95" s="9" t="str">
        <f t="shared" ca="1" si="3"/>
        <v>Permanent</v>
      </c>
      <c r="F95" s="9" t="str">
        <f>VLOOKUP(A95, 'Data Employee'!$A$2:$U$1000, 19, FALSE)</f>
        <v>Automotive Engineering</v>
      </c>
      <c r="G95" s="9" t="str">
        <f>VLOOKUP(A95, 'Data Employee'!$A$2:$U$1000, 20, FALSE)</f>
        <v>Manufacturing</v>
      </c>
      <c r="H95" s="9" t="str">
        <f>INDEX('Data Employee'!$W$2:$W$1000, MATCH(A95, 'Data Employee'!$A$2:$A$1000, 0))</f>
        <v>Leader Line Production</v>
      </c>
      <c r="I95" t="str">
        <f>INDEX('Data Employee'!$V$2:$V$1000,MATCH(A95,'Data Employee'!$A$2:$A$1000,0))</f>
        <v>Leader</v>
      </c>
      <c r="J95" s="18">
        <f>INDEX('Data Employee'!$L$2:$L$1000, MATCH(A95, 'Data Employee'!$A$2:$A$1000, 0))</f>
        <v>42748</v>
      </c>
      <c r="K95" s="19" t="str">
        <f>IFERROR(IF(INDEX('Data Employee'!M:M,MATCH(A95,'Data Employee'!A:A,0))="","",INDEX('Data Employee'!M:M,MATCH(A95,'Data Employee'!A:A,0))),"")</f>
        <v/>
      </c>
      <c r="L95" s="11" t="str">
        <f t="shared" ca="1" si="4"/>
        <v/>
      </c>
      <c r="M95" s="11" t="str">
        <f t="shared" ca="1" si="5"/>
        <v>Active</v>
      </c>
    </row>
    <row r="96" spans="1:13" x14ac:dyDescent="0.35">
      <c r="A96">
        <v>202445365</v>
      </c>
      <c r="B96" t="str">
        <f>INDEX('Data Employee'!$B$2:$B$1000, MATCH(A96, 'Data Employee'!$A$2:$A$1000, 0))</f>
        <v>Budi Ramadhan</v>
      </c>
      <c r="C96" t="str">
        <f>INDEX('Data Employee'!$G$2:$G$1000,MATCH(A96,'Data Employee'!$A$2:$A$1000,0))</f>
        <v>Male</v>
      </c>
      <c r="D96" s="9" t="str" cm="1">
        <f t="array" aca="1" ref="D96" ca="1">IF(J96="","",_xlfn.IFS(DATEDIF(J96,TODAY(),"M")&lt;12,"Contract 1",DATEDIF(J96,TODAY(),"M")&lt;36,"Contract 2",DATEDIF(J96,TODAY(),"M")&lt;60,"Contract 3",DATEDIF(J96,TODAY(),"M")&lt;63,"Probation",TRUE,"Permanent"))</f>
        <v>Permanent</v>
      </c>
      <c r="E96" s="9" t="str">
        <f t="shared" ca="1" si="3"/>
        <v>Permanent</v>
      </c>
      <c r="F96" s="9" t="str">
        <f>VLOOKUP(A96, 'Data Employee'!$A$2:$U$1000, 19, FALSE)</f>
        <v>Electrical Engineering</v>
      </c>
      <c r="G96" s="9" t="str">
        <f>VLOOKUP(A96, 'Data Employee'!$A$2:$U$1000, 20, FALSE)</f>
        <v>Manufacturing</v>
      </c>
      <c r="H96" s="9" t="str">
        <f>INDEX('Data Employee'!$W$2:$W$1000, MATCH(A96, 'Data Employee'!$A$2:$A$1000, 0))</f>
        <v>Leader Line Production</v>
      </c>
      <c r="I96" t="str">
        <f>INDEX('Data Employee'!$V$2:$V$1000,MATCH(A96,'Data Employee'!$A$2:$A$1000,0))</f>
        <v>Leader</v>
      </c>
      <c r="J96" s="18">
        <f>INDEX('Data Employee'!$L$2:$L$1000, MATCH(A96, 'Data Employee'!$A$2:$A$1000, 0))</f>
        <v>41712</v>
      </c>
      <c r="K96" s="19" t="str">
        <f>IFERROR(IF(INDEX('Data Employee'!M:M,MATCH(A96,'Data Employee'!A:A,0))="","",INDEX('Data Employee'!M:M,MATCH(A96,'Data Employee'!A:A,0))),"")</f>
        <v/>
      </c>
      <c r="L96" s="11" t="str">
        <f t="shared" ca="1" si="4"/>
        <v/>
      </c>
      <c r="M96" s="11" t="str">
        <f t="shared" ca="1" si="5"/>
        <v>Active</v>
      </c>
    </row>
    <row r="97" spans="1:13" x14ac:dyDescent="0.35">
      <c r="A97">
        <v>201742739</v>
      </c>
      <c r="B97" t="str">
        <f>INDEX('Data Employee'!$B$2:$B$1000, MATCH(A97, 'Data Employee'!$A$2:$A$1000, 0))</f>
        <v>Budi Hidayat</v>
      </c>
      <c r="C97" t="str">
        <f>INDEX('Data Employee'!$G$2:$G$1000,MATCH(A97,'Data Employee'!$A$2:$A$1000,0))</f>
        <v>Male</v>
      </c>
      <c r="D97" s="9" t="str" cm="1">
        <f t="array" aca="1" ref="D97" ca="1">IF(J97="","",_xlfn.IFS(DATEDIF(J97,TODAY(),"M")&lt;12,"Contract 1",DATEDIF(J97,TODAY(),"M")&lt;36,"Contract 2",DATEDIF(J97,TODAY(),"M")&lt;60,"Contract 3",DATEDIF(J97,TODAY(),"M")&lt;63,"Probation",TRUE,"Permanent"))</f>
        <v>Permanent</v>
      </c>
      <c r="E97" s="9" t="str">
        <f t="shared" ca="1" si="3"/>
        <v>Permanent</v>
      </c>
      <c r="F97" s="9" t="str">
        <f>VLOOKUP(A97, 'Data Employee'!$A$2:$U$1000, 19, FALSE)</f>
        <v>Metal Engineering</v>
      </c>
      <c r="G97" s="9" t="str">
        <f>VLOOKUP(A97, 'Data Employee'!$A$2:$U$1000, 20, FALSE)</f>
        <v>Manufacturing</v>
      </c>
      <c r="H97" s="9" t="str">
        <f>INDEX('Data Employee'!$W$2:$W$1000, MATCH(A97, 'Data Employee'!$A$2:$A$1000, 0))</f>
        <v>Leader Line Production</v>
      </c>
      <c r="I97" t="str">
        <f>INDEX('Data Employee'!$V$2:$V$1000,MATCH(A97,'Data Employee'!$A$2:$A$1000,0))</f>
        <v>Leader</v>
      </c>
      <c r="J97" s="18">
        <f>INDEX('Data Employee'!$L$2:$L$1000, MATCH(A97, 'Data Employee'!$A$2:$A$1000, 0))</f>
        <v>42739</v>
      </c>
      <c r="K97" s="19" t="str">
        <f>IFERROR(IF(INDEX('Data Employee'!M:M,MATCH(A97,'Data Employee'!A:A,0))="","",INDEX('Data Employee'!M:M,MATCH(A97,'Data Employee'!A:A,0))),"")</f>
        <v/>
      </c>
      <c r="L97" s="11" t="str">
        <f t="shared" ca="1" si="4"/>
        <v/>
      </c>
      <c r="M97" s="11" t="str">
        <f t="shared" ca="1" si="5"/>
        <v>Active</v>
      </c>
    </row>
    <row r="98" spans="1:13" x14ac:dyDescent="0.35">
      <c r="A98">
        <v>201642646</v>
      </c>
      <c r="B98" t="str">
        <f>INDEX('Data Employee'!$B$2:$B$1000, MATCH(A98, 'Data Employee'!$A$2:$A$1000, 0))</f>
        <v>Yoga Sari</v>
      </c>
      <c r="C98" t="str">
        <f>INDEX('Data Employee'!$G$2:$G$1000,MATCH(A98,'Data Employee'!$A$2:$A$1000,0))</f>
        <v>Male</v>
      </c>
      <c r="D98" s="9" t="str" cm="1">
        <f t="array" aca="1" ref="D98" ca="1">IF(J98="","",_xlfn.IFS(DATEDIF(J98,TODAY(),"M")&lt;12,"Contract 1",DATEDIF(J98,TODAY(),"M")&lt;36,"Contract 2",DATEDIF(J98,TODAY(),"M")&lt;60,"Contract 3",DATEDIF(J98,TODAY(),"M")&lt;63,"Probation",TRUE,"Permanent"))</f>
        <v>Permanent</v>
      </c>
      <c r="E98" s="9" t="str">
        <f t="shared" ca="1" si="3"/>
        <v>Permanent</v>
      </c>
      <c r="F98" s="9" t="str">
        <f>VLOOKUP(A98, 'Data Employee'!$A$2:$U$1000, 19, FALSE)</f>
        <v>Metal Engineering</v>
      </c>
      <c r="G98" s="9" t="str">
        <f>VLOOKUP(A98, 'Data Employee'!$A$2:$U$1000, 20, FALSE)</f>
        <v>Manufacturing</v>
      </c>
      <c r="H98" s="9" t="str">
        <f>INDEX('Data Employee'!$W$2:$W$1000, MATCH(A98, 'Data Employee'!$A$2:$A$1000, 0))</f>
        <v>Leader Line Production</v>
      </c>
      <c r="I98" t="str">
        <f>INDEX('Data Employee'!$V$2:$V$1000,MATCH(A98,'Data Employee'!$A$2:$A$1000,0))</f>
        <v>Leader</v>
      </c>
      <c r="J98" s="18">
        <f>INDEX('Data Employee'!$L$2:$L$1000, MATCH(A98, 'Data Employee'!$A$2:$A$1000, 0))</f>
        <v>42646</v>
      </c>
      <c r="K98" s="19" t="str">
        <f>IFERROR(IF(INDEX('Data Employee'!M:M,MATCH(A98,'Data Employee'!A:A,0))="","",INDEX('Data Employee'!M:M,MATCH(A98,'Data Employee'!A:A,0))),"")</f>
        <v/>
      </c>
      <c r="L98" s="11" t="str">
        <f t="shared" ca="1" si="4"/>
        <v/>
      </c>
      <c r="M98" s="11" t="str">
        <f t="shared" ca="1" si="5"/>
        <v>Active</v>
      </c>
    </row>
    <row r="99" spans="1:13" x14ac:dyDescent="0.35">
      <c r="A99">
        <v>201943549</v>
      </c>
      <c r="B99" t="str">
        <f>INDEX('Data Employee'!$B$2:$B$1000, MATCH(A99, 'Data Employee'!$A$2:$A$1000, 0))</f>
        <v>Rizky Hidayat</v>
      </c>
      <c r="C99" t="str">
        <f>INDEX('Data Employee'!$G$2:$G$1000,MATCH(A99,'Data Employee'!$A$2:$A$1000,0))</f>
        <v>Male</v>
      </c>
      <c r="D99" s="9" t="str" cm="1">
        <f t="array" aca="1" ref="D99" ca="1">IF(J99="","",_xlfn.IFS(DATEDIF(J99,TODAY(),"M")&lt;12,"Contract 1",DATEDIF(J99,TODAY(),"M")&lt;36,"Contract 2",DATEDIF(J99,TODAY(),"M")&lt;60,"Contract 3",DATEDIF(J99,TODAY(),"M")&lt;63,"Probation",TRUE,"Permanent"))</f>
        <v>Permanent</v>
      </c>
      <c r="E99" s="9" t="str">
        <f t="shared" ca="1" si="3"/>
        <v>Permanent</v>
      </c>
      <c r="F99" s="9" t="str">
        <f>VLOOKUP(A99, 'Data Employee'!$A$2:$U$1000, 19, FALSE)</f>
        <v>Electrical Engineering</v>
      </c>
      <c r="G99" s="9" t="str">
        <f>VLOOKUP(A99, 'Data Employee'!$A$2:$U$1000, 20, FALSE)</f>
        <v>Manufacturing</v>
      </c>
      <c r="H99" s="9" t="str">
        <f>INDEX('Data Employee'!$W$2:$W$1000, MATCH(A99, 'Data Employee'!$A$2:$A$1000, 0))</f>
        <v>Leader Line Production</v>
      </c>
      <c r="I99" t="str">
        <f>INDEX('Data Employee'!$V$2:$V$1000,MATCH(A99,'Data Employee'!$A$2:$A$1000,0))</f>
        <v>Leader</v>
      </c>
      <c r="J99" s="18">
        <f>INDEX('Data Employee'!$L$2:$L$1000, MATCH(A99, 'Data Employee'!$A$2:$A$1000, 0))</f>
        <v>42088</v>
      </c>
      <c r="K99" s="19" t="str">
        <f>IFERROR(IF(INDEX('Data Employee'!M:M,MATCH(A99,'Data Employee'!A:A,0))="","",INDEX('Data Employee'!M:M,MATCH(A99,'Data Employee'!A:A,0))),"")</f>
        <v/>
      </c>
      <c r="L99" s="11" t="str">
        <f t="shared" ca="1" si="4"/>
        <v/>
      </c>
      <c r="M99" s="11" t="str">
        <f t="shared" ca="1" si="5"/>
        <v>Active</v>
      </c>
    </row>
    <row r="100" spans="1:13" x14ac:dyDescent="0.35">
      <c r="A100">
        <v>201742809</v>
      </c>
      <c r="B100" t="str">
        <f>INDEX('Data Employee'!$B$2:$B$1000, MATCH(A100, 'Data Employee'!$A$2:$A$1000, 0))</f>
        <v>Budi Pangestu</v>
      </c>
      <c r="C100" t="str">
        <f>INDEX('Data Employee'!$G$2:$G$1000,MATCH(A100,'Data Employee'!$A$2:$A$1000,0))</f>
        <v>Male</v>
      </c>
      <c r="D100" s="9" t="str" cm="1">
        <f t="array" aca="1" ref="D100" ca="1">IF(J100="","",_xlfn.IFS(DATEDIF(J100,TODAY(),"M")&lt;12,"Contract 1",DATEDIF(J100,TODAY(),"M")&lt;36,"Contract 2",DATEDIF(J100,TODAY(),"M")&lt;60,"Contract 3",DATEDIF(J100,TODAY(),"M")&lt;63,"Probation",TRUE,"Permanent"))</f>
        <v>Permanent</v>
      </c>
      <c r="E100" s="9" t="str">
        <f t="shared" ca="1" si="3"/>
        <v>Permanent</v>
      </c>
      <c r="F100" s="9" t="str">
        <f>VLOOKUP(A100, 'Data Employee'!$A$2:$U$1000, 19, FALSE)</f>
        <v>Tourism</v>
      </c>
      <c r="G100" s="9" t="str">
        <f>VLOOKUP(A100, 'Data Employee'!$A$2:$U$1000, 20, FALSE)</f>
        <v>Manufacturing</v>
      </c>
      <c r="H100" s="9" t="str">
        <f>INDEX('Data Employee'!$W$2:$W$1000, MATCH(A100, 'Data Employee'!$A$2:$A$1000, 0))</f>
        <v>Leader Line Production</v>
      </c>
      <c r="I100" t="str">
        <f>INDEX('Data Employee'!$V$2:$V$1000,MATCH(A100,'Data Employee'!$A$2:$A$1000,0))</f>
        <v>Leader</v>
      </c>
      <c r="J100" s="18">
        <f>INDEX('Data Employee'!$L$2:$L$1000, MATCH(A100, 'Data Employee'!$A$2:$A$1000, 0))</f>
        <v>42809</v>
      </c>
      <c r="K100" s="19" t="str">
        <f>IFERROR(IF(INDEX('Data Employee'!M:M,MATCH(A100,'Data Employee'!A:A,0))="","",INDEX('Data Employee'!M:M,MATCH(A100,'Data Employee'!A:A,0))),"")</f>
        <v/>
      </c>
      <c r="L100" s="11" t="str">
        <f t="shared" ca="1" si="4"/>
        <v/>
      </c>
      <c r="M100" s="11" t="str">
        <f t="shared" ca="1" si="5"/>
        <v>Active</v>
      </c>
    </row>
    <row r="101" spans="1:13" x14ac:dyDescent="0.35">
      <c r="A101">
        <v>202646162</v>
      </c>
      <c r="B101" t="str">
        <f>INDEX('Data Employee'!$B$2:$B$1000, MATCH(A101, 'Data Employee'!$A$2:$A$1000, 0))</f>
        <v>Dedi Kusuma</v>
      </c>
      <c r="C101" t="str">
        <f>INDEX('Data Employee'!$G$2:$G$1000,MATCH(A101,'Data Employee'!$A$2:$A$1000,0))</f>
        <v>Male</v>
      </c>
      <c r="D101" s="9" t="str" cm="1">
        <f t="array" aca="1" ref="D101" ca="1">IF(J101="","",_xlfn.IFS(DATEDIF(J101,TODAY(),"M")&lt;12,"Contract 1",DATEDIF(J101,TODAY(),"M")&lt;36,"Contract 2",DATEDIF(J101,TODAY(),"M")&lt;60,"Contract 3",DATEDIF(J101,TODAY(),"M")&lt;63,"Probation",TRUE,"Permanent"))</f>
        <v>Contract 1</v>
      </c>
      <c r="E101" s="9" t="str">
        <f t="shared" ca="1" si="3"/>
        <v>12 Month</v>
      </c>
      <c r="F101" s="9" t="str">
        <f>VLOOKUP(A101, 'Data Employee'!$A$2:$U$1000, 19, FALSE)</f>
        <v>Automotive Engineering</v>
      </c>
      <c r="G101" s="9" t="str">
        <f>VLOOKUP(A101, 'Data Employee'!$A$2:$U$1000, 20, FALSE)</f>
        <v>Manufacturing</v>
      </c>
      <c r="H101" s="9" t="str">
        <f>INDEX('Data Employee'!$W$2:$W$1000, MATCH(A101, 'Data Employee'!$A$2:$A$1000, 0))</f>
        <v>QE Manager</v>
      </c>
      <c r="I101" t="str">
        <f>INDEX('Data Employee'!$V$2:$V$1000,MATCH(A101,'Data Employee'!$A$2:$A$1000,0))</f>
        <v>Manager</v>
      </c>
      <c r="J101" s="18">
        <f>INDEX('Data Employee'!$L$2:$L$1000, MATCH(A101, 'Data Employee'!$A$2:$A$1000, 0))</f>
        <v>46162</v>
      </c>
      <c r="K101" s="19">
        <f>IFERROR(IF(INDEX('Data Employee'!M:M,MATCH(A101,'Data Employee'!A:A,0))="","",INDEX('Data Employee'!M:M,MATCH(A101,'Data Employee'!A:A,0))),"")</f>
        <v>47258</v>
      </c>
      <c r="L101" s="11" t="str">
        <f t="shared" ca="1" si="4"/>
        <v>1022 Days</v>
      </c>
      <c r="M101" s="11" t="str">
        <f t="shared" ca="1" si="5"/>
        <v>Active</v>
      </c>
    </row>
    <row r="102" spans="1:13" x14ac:dyDescent="0.35">
      <c r="A102">
        <v>201943644</v>
      </c>
      <c r="B102" t="str">
        <f>INDEX('Data Employee'!$B$2:$B$1000, MATCH(A102, 'Data Employee'!$A$2:$A$1000, 0))</f>
        <v>Bayu Maulana</v>
      </c>
      <c r="C102" t="str">
        <f>INDEX('Data Employee'!$G$2:$G$1000,MATCH(A102,'Data Employee'!$A$2:$A$1000,0))</f>
        <v>Male</v>
      </c>
      <c r="D102" s="9" t="str" cm="1">
        <f t="array" aca="1" ref="D102" ca="1">IF(J102="","",_xlfn.IFS(DATEDIF(J102,TODAY(),"M")&lt;12,"Contract 1",DATEDIF(J102,TODAY(),"M")&lt;36,"Contract 2",DATEDIF(J102,TODAY(),"M")&lt;60,"Contract 3",DATEDIF(J102,TODAY(),"M")&lt;63,"Probation",TRUE,"Permanent"))</f>
        <v>Contract 2</v>
      </c>
      <c r="E102" s="9" t="str">
        <f t="shared" ca="1" si="3"/>
        <v>24 Month</v>
      </c>
      <c r="F102" s="9" t="str">
        <f>VLOOKUP(A102, 'Data Employee'!$A$2:$U$1000, 19, FALSE)</f>
        <v>Automotive Engineering</v>
      </c>
      <c r="G102" s="9" t="str">
        <f>VLOOKUP(A102, 'Data Employee'!$A$2:$U$1000, 20, FALSE)</f>
        <v>Manufacturing</v>
      </c>
      <c r="H102" s="9" t="str">
        <f>INDEX('Data Employee'!$W$2:$W$1000, MATCH(A102, 'Data Employee'!$A$2:$A$1000, 0))</f>
        <v>QA Manager</v>
      </c>
      <c r="I102" t="str">
        <f>INDEX('Data Employee'!$V$2:$V$1000,MATCH(A102,'Data Employee'!$A$2:$A$1000,0))</f>
        <v>Manager</v>
      </c>
      <c r="J102" s="18">
        <f>INDEX('Data Employee'!$L$2:$L$1000, MATCH(A102, 'Data Employee'!$A$2:$A$1000, 0))</f>
        <v>45471</v>
      </c>
      <c r="K102" s="19">
        <f>IFERROR(IF(INDEX('Data Employee'!M:M,MATCH(A102,'Data Employee'!A:A,0))="","",INDEX('Data Employee'!M:M,MATCH(A102,'Data Employee'!A:A,0))),"")</f>
        <v>46566</v>
      </c>
      <c r="L102" s="11" t="str">
        <f t="shared" ca="1" si="4"/>
        <v>330 Days</v>
      </c>
      <c r="M102" s="11" t="str">
        <f t="shared" ca="1" si="5"/>
        <v>Active</v>
      </c>
    </row>
    <row r="103" spans="1:13" x14ac:dyDescent="0.35">
      <c r="A103">
        <v>202344946</v>
      </c>
      <c r="B103" t="str">
        <f>INDEX('Data Employee'!$B$2:$B$1000, MATCH(A103, 'Data Employee'!$A$2:$A$1000, 0))</f>
        <v>Agus Kurniawan</v>
      </c>
      <c r="C103" t="str">
        <f>INDEX('Data Employee'!$G$2:$G$1000,MATCH(A103,'Data Employee'!$A$2:$A$1000,0))</f>
        <v>Male</v>
      </c>
      <c r="D103" s="9" t="str" cm="1">
        <f t="array" aca="1" ref="D103" ca="1">IF(J103="","",_xlfn.IFS(DATEDIF(J103,TODAY(),"M")&lt;12,"Contract 1",DATEDIF(J103,TODAY(),"M")&lt;36,"Contract 2",DATEDIF(J103,TODAY(),"M")&lt;60,"Contract 3",DATEDIF(J103,TODAY(),"M")&lt;63,"Probation",TRUE,"Permanent"))</f>
        <v>Contract 3</v>
      </c>
      <c r="E103" s="9" t="str">
        <f t="shared" ca="1" si="3"/>
        <v>60 Month</v>
      </c>
      <c r="F103" s="9" t="str">
        <f>VLOOKUP(A103, 'Data Employee'!$A$2:$U$1000, 19, FALSE)</f>
        <v>Automotive Engineering</v>
      </c>
      <c r="G103" s="9" t="str">
        <f>VLOOKUP(A103, 'Data Employee'!$A$2:$U$1000, 20, FALSE)</f>
        <v>Manufacturing</v>
      </c>
      <c r="H103" s="9" t="str">
        <f>INDEX('Data Employee'!$W$2:$W$1000, MATCH(A103, 'Data Employee'!$A$2:$A$1000, 0))</f>
        <v>Quality Engineering Supervisor</v>
      </c>
      <c r="I103" t="str">
        <f>INDEX('Data Employee'!$V$2:$V$1000,MATCH(A103,'Data Employee'!$A$2:$A$1000,0))</f>
        <v>Supervisor</v>
      </c>
      <c r="J103" s="18">
        <f>INDEX('Data Employee'!$L$2:$L$1000, MATCH(A103, 'Data Employee'!$A$2:$A$1000, 0))</f>
        <v>44946</v>
      </c>
      <c r="K103" s="19">
        <f>IFERROR(IF(INDEX('Data Employee'!M:M,MATCH(A103,'Data Employee'!A:A,0))="","",INDEX('Data Employee'!M:M,MATCH(A103,'Data Employee'!A:A,0))),"")</f>
        <v>46772</v>
      </c>
      <c r="L103" s="11" t="str">
        <f t="shared" ca="1" si="4"/>
        <v>536 Days</v>
      </c>
      <c r="M103" s="11" t="str">
        <f t="shared" ca="1" si="5"/>
        <v>Active</v>
      </c>
    </row>
    <row r="104" spans="1:13" x14ac:dyDescent="0.35">
      <c r="A104">
        <v>201943650</v>
      </c>
      <c r="B104" t="str">
        <f>INDEX('Data Employee'!$B$2:$B$1000, MATCH(A104, 'Data Employee'!$A$2:$A$1000, 0))</f>
        <v>Dedi Sari</v>
      </c>
      <c r="C104" t="str">
        <f>INDEX('Data Employee'!$G$2:$G$1000,MATCH(A104,'Data Employee'!$A$2:$A$1000,0))</f>
        <v>Male</v>
      </c>
      <c r="D104" s="9" t="str" cm="1">
        <f t="array" aca="1" ref="D104" ca="1">IF(J104="","",_xlfn.IFS(DATEDIF(J104,TODAY(),"M")&lt;12,"Contract 1",DATEDIF(J104,TODAY(),"M")&lt;36,"Contract 2",DATEDIF(J104,TODAY(),"M")&lt;60,"Contract 3",DATEDIF(J104,TODAY(),"M")&lt;63,"Probation",TRUE,"Permanent"))</f>
        <v>Contract 2</v>
      </c>
      <c r="E104" s="9" t="str">
        <f t="shared" ca="1" si="3"/>
        <v>24 Month</v>
      </c>
      <c r="F104" s="9" t="str">
        <f>VLOOKUP(A104, 'Data Employee'!$A$2:$U$1000, 19, FALSE)</f>
        <v>Automotive Engineering</v>
      </c>
      <c r="G104" s="9" t="str">
        <f>VLOOKUP(A104, 'Data Employee'!$A$2:$U$1000, 20, FALSE)</f>
        <v>Manufacturing</v>
      </c>
      <c r="H104" s="9" t="str">
        <f>INDEX('Data Employee'!$W$2:$W$1000, MATCH(A104, 'Data Employee'!$A$2:$A$1000, 0))</f>
        <v>Quality Control Supervisor</v>
      </c>
      <c r="I104" t="str">
        <f>INDEX('Data Employee'!$V$2:$V$1000,MATCH(A104,'Data Employee'!$A$2:$A$1000,0))</f>
        <v>Supervisor</v>
      </c>
      <c r="J104" s="18">
        <f>INDEX('Data Employee'!$L$2:$L$1000, MATCH(A104, 'Data Employee'!$A$2:$A$1000, 0))</f>
        <v>45477</v>
      </c>
      <c r="K104" s="19">
        <f>IFERROR(IF(INDEX('Data Employee'!M:M,MATCH(A104,'Data Employee'!A:A,0))="","",INDEX('Data Employee'!M:M,MATCH(A104,'Data Employee'!A:A,0))),"")</f>
        <v>46572</v>
      </c>
      <c r="L104" s="11" t="str">
        <f t="shared" ca="1" si="4"/>
        <v>336 Days</v>
      </c>
      <c r="M104" s="11" t="str">
        <f t="shared" ca="1" si="5"/>
        <v>Active</v>
      </c>
    </row>
    <row r="105" spans="1:13" x14ac:dyDescent="0.35">
      <c r="A105">
        <v>202144397</v>
      </c>
      <c r="B105" t="str">
        <f>INDEX('Data Employee'!$B$2:$B$1000, MATCH(A105, 'Data Employee'!$A$2:$A$1000, 0))</f>
        <v>Farhan Santoso</v>
      </c>
      <c r="C105" t="str">
        <f>INDEX('Data Employee'!$G$2:$G$1000,MATCH(A105,'Data Employee'!$A$2:$A$1000,0))</f>
        <v>Male</v>
      </c>
      <c r="D105" s="9" t="str" cm="1">
        <f t="array" aca="1" ref="D105" ca="1">IF(J105="","",_xlfn.IFS(DATEDIF(J105,TODAY(),"M")&lt;12,"Contract 1",DATEDIF(J105,TODAY(),"M")&lt;36,"Contract 2",DATEDIF(J105,TODAY(),"M")&lt;60,"Contract 3",DATEDIF(J105,TODAY(),"M")&lt;63,"Probation",TRUE,"Permanent"))</f>
        <v>Permanent</v>
      </c>
      <c r="E105" s="9" t="str">
        <f t="shared" ca="1" si="3"/>
        <v>Permanent</v>
      </c>
      <c r="F105" s="9" t="str">
        <f>VLOOKUP(A105, 'Data Employee'!$A$2:$U$1000, 19, FALSE)</f>
        <v>Automotive Engineering</v>
      </c>
      <c r="G105" s="9" t="str">
        <f>VLOOKUP(A105, 'Data Employee'!$A$2:$U$1000, 20, FALSE)</f>
        <v>Manufacturing</v>
      </c>
      <c r="H105" s="9" t="str">
        <f>INDEX('Data Employee'!$W$2:$W$1000, MATCH(A105, 'Data Employee'!$A$2:$A$1000, 0))</f>
        <v>Leader Line Production</v>
      </c>
      <c r="I105" t="str">
        <f>INDEX('Data Employee'!$V$2:$V$1000,MATCH(A105,'Data Employee'!$A$2:$A$1000,0))</f>
        <v>Leader</v>
      </c>
      <c r="J105" s="18">
        <f>INDEX('Data Employee'!$L$2:$L$1000, MATCH(A105, 'Data Employee'!$A$2:$A$1000, 0))</f>
        <v>41840</v>
      </c>
      <c r="K105" s="19" t="str">
        <f>IFERROR(IF(INDEX('Data Employee'!M:M,MATCH(A105,'Data Employee'!A:A,0))="","",INDEX('Data Employee'!M:M,MATCH(A105,'Data Employee'!A:A,0))),"")</f>
        <v/>
      </c>
      <c r="L105" s="11" t="str">
        <f t="shared" ca="1" si="4"/>
        <v/>
      </c>
      <c r="M105" s="11" t="str">
        <f t="shared" ca="1" si="5"/>
        <v>Active</v>
      </c>
    </row>
    <row r="106" spans="1:13" x14ac:dyDescent="0.35">
      <c r="A106">
        <v>202344977</v>
      </c>
      <c r="B106" t="str">
        <f>INDEX('Data Employee'!$B$2:$B$1000, MATCH(A106, 'Data Employee'!$A$2:$A$1000, 0))</f>
        <v>Yoga Pratama</v>
      </c>
      <c r="C106" t="str">
        <f>INDEX('Data Employee'!$G$2:$G$1000,MATCH(A106,'Data Employee'!$A$2:$A$1000,0))</f>
        <v>Male</v>
      </c>
      <c r="D106" s="9" t="str" cm="1">
        <f t="array" aca="1" ref="D106" ca="1">IF(J106="","",_xlfn.IFS(DATEDIF(J106,TODAY(),"M")&lt;12,"Contract 1",DATEDIF(J106,TODAY(),"M")&lt;36,"Contract 2",DATEDIF(J106,TODAY(),"M")&lt;60,"Contract 3",DATEDIF(J106,TODAY(),"M")&lt;63,"Probation",TRUE,"Permanent"))</f>
        <v>Contract 3</v>
      </c>
      <c r="E106" s="9" t="str">
        <f t="shared" ca="1" si="3"/>
        <v>60 Month</v>
      </c>
      <c r="F106" s="9" t="str">
        <f>VLOOKUP(A106, 'Data Employee'!$A$2:$U$1000, 19, FALSE)</f>
        <v>Automotive Engineering</v>
      </c>
      <c r="G106" s="9" t="str">
        <f>VLOOKUP(A106, 'Data Employee'!$A$2:$U$1000, 20, FALSE)</f>
        <v>Manufacturing</v>
      </c>
      <c r="H106" s="9" t="str">
        <f>INDEX('Data Employee'!$W$2:$W$1000, MATCH(A106, 'Data Employee'!$A$2:$A$1000, 0))</f>
        <v>QE Staff</v>
      </c>
      <c r="I106" t="str">
        <f>INDEX('Data Employee'!$V$2:$V$1000,MATCH(A106,'Data Employee'!$A$2:$A$1000,0))</f>
        <v>Operator</v>
      </c>
      <c r="J106" s="18">
        <f>INDEX('Data Employee'!$L$2:$L$1000, MATCH(A106, 'Data Employee'!$A$2:$A$1000, 0))</f>
        <v>44977</v>
      </c>
      <c r="K106" s="19">
        <f>IFERROR(IF(INDEX('Data Employee'!M:M,MATCH(A106,'Data Employee'!A:A,0))="","",INDEX('Data Employee'!M:M,MATCH(A106,'Data Employee'!A:A,0))),"")</f>
        <v>46803</v>
      </c>
      <c r="L106" s="11" t="str">
        <f t="shared" ca="1" si="4"/>
        <v>567 Days</v>
      </c>
      <c r="M106" s="11" t="str">
        <f t="shared" ca="1" si="5"/>
        <v>Active</v>
      </c>
    </row>
    <row r="107" spans="1:13" x14ac:dyDescent="0.35">
      <c r="A107">
        <v>201943823</v>
      </c>
      <c r="B107" t="str">
        <f>INDEX('Data Employee'!$B$2:$B$1000, MATCH(A107, 'Data Employee'!$A$2:$A$1000, 0))</f>
        <v>Rizky Nugroho</v>
      </c>
      <c r="C107" t="str">
        <f>INDEX('Data Employee'!$G$2:$G$1000,MATCH(A107,'Data Employee'!$A$2:$A$1000,0))</f>
        <v>Male</v>
      </c>
      <c r="D107" s="9" t="str" cm="1">
        <f t="array" aca="1" ref="D107" ca="1">IF(J107="","",_xlfn.IFS(DATEDIF(J107,TODAY(),"M")&lt;12,"Contract 1",DATEDIF(J107,TODAY(),"M")&lt;36,"Contract 2",DATEDIF(J107,TODAY(),"M")&lt;60,"Contract 3",DATEDIF(J107,TODAY(),"M")&lt;63,"Probation",TRUE,"Permanent"))</f>
        <v>Contract 2</v>
      </c>
      <c r="E107" s="9" t="str">
        <f t="shared" ca="1" si="3"/>
        <v>24 Month</v>
      </c>
      <c r="F107" s="9" t="str">
        <f>VLOOKUP(A107, 'Data Employee'!$A$2:$U$1000, 19, FALSE)</f>
        <v>Automotive Engineering</v>
      </c>
      <c r="G107" s="9" t="str">
        <f>VLOOKUP(A107, 'Data Employee'!$A$2:$U$1000, 20, FALSE)</f>
        <v>Manufacturing</v>
      </c>
      <c r="H107" s="9" t="str">
        <f>INDEX('Data Employee'!$W$2:$W$1000, MATCH(A107, 'Data Employee'!$A$2:$A$1000, 0))</f>
        <v>QE Staff</v>
      </c>
      <c r="I107" t="str">
        <f>INDEX('Data Employee'!$V$2:$V$1000,MATCH(A107,'Data Employee'!$A$2:$A$1000,0))</f>
        <v>Operator</v>
      </c>
      <c r="J107" s="18">
        <f>INDEX('Data Employee'!$L$2:$L$1000, MATCH(A107, 'Data Employee'!$A$2:$A$1000, 0))</f>
        <v>45650</v>
      </c>
      <c r="K107" s="19">
        <f>IFERROR(IF(INDEX('Data Employee'!M:M,MATCH(A107,'Data Employee'!A:A,0))="","",INDEX('Data Employee'!M:M,MATCH(A107,'Data Employee'!A:A,0))),"")</f>
        <v>47476</v>
      </c>
      <c r="L107" s="11" t="str">
        <f t="shared" ca="1" si="4"/>
        <v>1240 Days</v>
      </c>
      <c r="M107" s="11" t="str">
        <f t="shared" ca="1" si="5"/>
        <v>Active</v>
      </c>
    </row>
    <row r="108" spans="1:13" x14ac:dyDescent="0.35">
      <c r="A108">
        <v>202144538</v>
      </c>
      <c r="B108" t="str">
        <f>INDEX('Data Employee'!$B$2:$B$1000, MATCH(A108, 'Data Employee'!$A$2:$A$1000, 0))</f>
        <v>Rizky Santoso</v>
      </c>
      <c r="C108" t="str">
        <f>INDEX('Data Employee'!$G$2:$G$1000,MATCH(A108,'Data Employee'!$A$2:$A$1000,0))</f>
        <v>Male</v>
      </c>
      <c r="D108" s="9" t="str" cm="1">
        <f t="array" aca="1" ref="D108" ca="1">IF(J108="","",_xlfn.IFS(DATEDIF(J108,TODAY(),"M")&lt;12,"Contract 1",DATEDIF(J108,TODAY(),"M")&lt;36,"Contract 2",DATEDIF(J108,TODAY(),"M")&lt;60,"Contract 3",DATEDIF(J108,TODAY(),"M")&lt;63,"Probation",TRUE,"Permanent"))</f>
        <v>Permanent</v>
      </c>
      <c r="E108" s="9" t="str">
        <f t="shared" ca="1" si="3"/>
        <v>Permanent</v>
      </c>
      <c r="F108" s="9" t="str">
        <f>VLOOKUP(A108, 'Data Employee'!$A$2:$U$1000, 19, FALSE)</f>
        <v>Automotive Engineering</v>
      </c>
      <c r="G108" s="9" t="str">
        <f>VLOOKUP(A108, 'Data Employee'!$A$2:$U$1000, 20, FALSE)</f>
        <v>Manufacturing</v>
      </c>
      <c r="H108" s="9" t="str">
        <f>INDEX('Data Employee'!$W$2:$W$1000, MATCH(A108, 'Data Employee'!$A$2:$A$1000, 0))</f>
        <v>Leader Line Production</v>
      </c>
      <c r="I108" t="str">
        <f>INDEX('Data Employee'!$V$2:$V$1000,MATCH(A108,'Data Employee'!$A$2:$A$1000,0))</f>
        <v>Leader</v>
      </c>
      <c r="J108" s="18">
        <f>INDEX('Data Employee'!$L$2:$L$1000, MATCH(A108, 'Data Employee'!$A$2:$A$1000, 0))</f>
        <v>41981</v>
      </c>
      <c r="K108" s="19" t="str">
        <f>IFERROR(IF(INDEX('Data Employee'!M:M,MATCH(A108,'Data Employee'!A:A,0))="","",INDEX('Data Employee'!M:M,MATCH(A108,'Data Employee'!A:A,0))),"")</f>
        <v/>
      </c>
      <c r="L108" s="11" t="str">
        <f t="shared" ca="1" si="4"/>
        <v/>
      </c>
      <c r="M108" s="11" t="str">
        <f t="shared" ca="1" si="5"/>
        <v>Active</v>
      </c>
    </row>
    <row r="109" spans="1:13" x14ac:dyDescent="0.35">
      <c r="A109">
        <v>201642544</v>
      </c>
      <c r="B109" t="str">
        <f>INDEX('Data Employee'!$B$2:$B$1000, MATCH(A109, 'Data Employee'!$A$2:$A$1000, 0))</f>
        <v>Budi Kurniawan</v>
      </c>
      <c r="C109" t="str">
        <f>INDEX('Data Employee'!$G$2:$G$1000,MATCH(A109,'Data Employee'!$A$2:$A$1000,0))</f>
        <v>Male</v>
      </c>
      <c r="D109" s="9" t="str" cm="1">
        <f t="array" aca="1" ref="D109" ca="1">IF(J109="","",_xlfn.IFS(DATEDIF(J109,TODAY(),"M")&lt;12,"Contract 1",DATEDIF(J109,TODAY(),"M")&lt;36,"Contract 2",DATEDIF(J109,TODAY(),"M")&lt;60,"Contract 3",DATEDIF(J109,TODAY(),"M")&lt;63,"Probation",TRUE,"Permanent"))</f>
        <v>Contract 3</v>
      </c>
      <c r="E109" s="9" t="str">
        <f t="shared" ca="1" si="3"/>
        <v>60 Month</v>
      </c>
      <c r="F109" s="9" t="str">
        <f>VLOOKUP(A109, 'Data Employee'!$A$2:$U$1000, 19, FALSE)</f>
        <v>Automotive Engineering</v>
      </c>
      <c r="G109" s="9" t="str">
        <f>VLOOKUP(A109, 'Data Employee'!$A$2:$U$1000, 20, FALSE)</f>
        <v>Manufacturing</v>
      </c>
      <c r="H109" s="9" t="str">
        <f>INDEX('Data Employee'!$W$2:$W$1000, MATCH(A109, 'Data Employee'!$A$2:$A$1000, 0))</f>
        <v>Quality Control Inspector</v>
      </c>
      <c r="I109" t="str">
        <f>INDEX('Data Employee'!$V$2:$V$1000,MATCH(A109,'Data Employee'!$A$2:$A$1000,0))</f>
        <v>Operator</v>
      </c>
      <c r="J109" s="18">
        <f>INDEX('Data Employee'!$L$2:$L$1000, MATCH(A109, 'Data Employee'!$A$2:$A$1000, 0))</f>
        <v>45100</v>
      </c>
      <c r="K109" s="19">
        <f>IFERROR(IF(INDEX('Data Employee'!M:M,MATCH(A109,'Data Employee'!A:A,0))="","",INDEX('Data Employee'!M:M,MATCH(A109,'Data Employee'!A:A,0))),"")</f>
        <v>46927</v>
      </c>
      <c r="L109" s="11" t="str">
        <f t="shared" ca="1" si="4"/>
        <v>691 Days</v>
      </c>
      <c r="M109" s="11" t="str">
        <f t="shared" ca="1" si="5"/>
        <v>Active</v>
      </c>
    </row>
    <row r="110" spans="1:13" x14ac:dyDescent="0.35">
      <c r="A110">
        <v>202043904</v>
      </c>
      <c r="B110" t="str">
        <f>INDEX('Data Employee'!$B$2:$B$1000, MATCH(A110, 'Data Employee'!$A$2:$A$1000, 0))</f>
        <v>Dedi Pratama</v>
      </c>
      <c r="C110" t="str">
        <f>INDEX('Data Employee'!$G$2:$G$1000,MATCH(A110,'Data Employee'!$A$2:$A$1000,0))</f>
        <v>Male</v>
      </c>
      <c r="D110" s="9" t="str" cm="1">
        <f t="array" aca="1" ref="D110" ca="1">IF(J110="","",_xlfn.IFS(DATEDIF(J110,TODAY(),"M")&lt;12,"Contract 1",DATEDIF(J110,TODAY(),"M")&lt;36,"Contract 2",DATEDIF(J110,TODAY(),"M")&lt;60,"Contract 3",DATEDIF(J110,TODAY(),"M")&lt;63,"Probation",TRUE,"Permanent"))</f>
        <v>Contract 3</v>
      </c>
      <c r="E110" s="9" t="str">
        <f t="shared" ca="1" si="3"/>
        <v>60 Month</v>
      </c>
      <c r="F110" s="9" t="str">
        <f>VLOOKUP(A110, 'Data Employee'!$A$2:$U$1000, 19, FALSE)</f>
        <v>Automotive Engineering</v>
      </c>
      <c r="G110" s="9" t="str">
        <f>VLOOKUP(A110, 'Data Employee'!$A$2:$U$1000, 20, FALSE)</f>
        <v>Manufacturing</v>
      </c>
      <c r="H110" s="9" t="str">
        <f>INDEX('Data Employee'!$W$2:$W$1000, MATCH(A110, 'Data Employee'!$A$2:$A$1000, 0))</f>
        <v>Quality Control Inspector</v>
      </c>
      <c r="I110" t="str">
        <f>INDEX('Data Employee'!$V$2:$V$1000,MATCH(A110,'Data Employee'!$A$2:$A$1000,0))</f>
        <v>Operator</v>
      </c>
      <c r="J110" s="18">
        <f>INDEX('Data Employee'!$L$2:$L$1000, MATCH(A110, 'Data Employee'!$A$2:$A$1000, 0))</f>
        <v>44999</v>
      </c>
      <c r="K110" s="19">
        <f>IFERROR(IF(INDEX('Data Employee'!M:M,MATCH(A110,'Data Employee'!A:A,0))="","",INDEX('Data Employee'!M:M,MATCH(A110,'Data Employee'!A:A,0))),"")</f>
        <v>46826</v>
      </c>
      <c r="L110" s="11" t="str">
        <f t="shared" ca="1" si="4"/>
        <v>590 Days</v>
      </c>
      <c r="M110" s="11" t="str">
        <f t="shared" ca="1" si="5"/>
        <v>Active</v>
      </c>
    </row>
    <row r="111" spans="1:13" x14ac:dyDescent="0.35">
      <c r="A111">
        <v>201943483</v>
      </c>
      <c r="B111" t="str">
        <f>INDEX('Data Employee'!$B$2:$B$1000, MATCH(A111, 'Data Employee'!$A$2:$A$1000, 0))</f>
        <v>Budi Kurniawan</v>
      </c>
      <c r="C111" t="str">
        <f>INDEX('Data Employee'!$G$2:$G$1000,MATCH(A111,'Data Employee'!$A$2:$A$1000,0))</f>
        <v>Male</v>
      </c>
      <c r="D111" s="9" t="str" cm="1">
        <f t="array" aca="1" ref="D111" ca="1">IF(J111="","",_xlfn.IFS(DATEDIF(J111,TODAY(),"M")&lt;12,"Contract 1",DATEDIF(J111,TODAY(),"M")&lt;36,"Contract 2",DATEDIF(J111,TODAY(),"M")&lt;60,"Contract 3",DATEDIF(J111,TODAY(),"M")&lt;63,"Probation",TRUE,"Permanent"))</f>
        <v>Contract 2</v>
      </c>
      <c r="E111" s="9" t="str">
        <f t="shared" ca="1" si="3"/>
        <v>24 Month</v>
      </c>
      <c r="F111" s="9" t="str">
        <f>VLOOKUP(A111, 'Data Employee'!$A$2:$U$1000, 19, FALSE)</f>
        <v>Automotive Engineering</v>
      </c>
      <c r="G111" s="9" t="str">
        <f>VLOOKUP(A111, 'Data Employee'!$A$2:$U$1000, 20, FALSE)</f>
        <v>Manufacturing</v>
      </c>
      <c r="H111" s="9" t="str">
        <f>INDEX('Data Employee'!$W$2:$W$1000, MATCH(A111, 'Data Employee'!$A$2:$A$1000, 0))</f>
        <v>Quality Control Inspector</v>
      </c>
      <c r="I111" t="str">
        <f>INDEX('Data Employee'!$V$2:$V$1000,MATCH(A111,'Data Employee'!$A$2:$A$1000,0))</f>
        <v>Operator</v>
      </c>
      <c r="J111" s="18">
        <f>INDEX('Data Employee'!$L$2:$L$1000, MATCH(A111, 'Data Employee'!$A$2:$A$1000, 0))</f>
        <v>45309</v>
      </c>
      <c r="K111" s="19">
        <f>IFERROR(IF(INDEX('Data Employee'!M:M,MATCH(A111,'Data Employee'!A:A,0))="","",INDEX('Data Employee'!M:M,MATCH(A111,'Data Employee'!A:A,0))),"")</f>
        <v>47136</v>
      </c>
      <c r="L111" s="11" t="str">
        <f t="shared" ca="1" si="4"/>
        <v>900 Days</v>
      </c>
      <c r="M111" s="11" t="str">
        <f t="shared" ca="1" si="5"/>
        <v>Active</v>
      </c>
    </row>
    <row r="112" spans="1:13" x14ac:dyDescent="0.35">
      <c r="A112">
        <v>202144394</v>
      </c>
      <c r="B112" t="str">
        <f>INDEX('Data Employee'!$B$2:$B$1000, MATCH(A112, 'Data Employee'!$A$2:$A$1000, 0))</f>
        <v>Farhan Sari</v>
      </c>
      <c r="C112" t="str">
        <f>INDEX('Data Employee'!$G$2:$G$1000,MATCH(A112,'Data Employee'!$A$2:$A$1000,0))</f>
        <v>Male</v>
      </c>
      <c r="D112" s="9" t="str" cm="1">
        <f t="array" aca="1" ref="D112" ca="1">IF(J112="","",_xlfn.IFS(DATEDIF(J112,TODAY(),"M")&lt;12,"Contract 1",DATEDIF(J112,TODAY(),"M")&lt;36,"Contract 2",DATEDIF(J112,TODAY(),"M")&lt;60,"Contract 3",DATEDIF(J112,TODAY(),"M")&lt;63,"Probation",TRUE,"Permanent"))</f>
        <v>Permanent</v>
      </c>
      <c r="E112" s="9" t="str">
        <f t="shared" ca="1" si="3"/>
        <v>Permanent</v>
      </c>
      <c r="F112" s="9" t="str">
        <f>VLOOKUP(A112, 'Data Employee'!$A$2:$U$1000, 19, FALSE)</f>
        <v>Automotive Engineering</v>
      </c>
      <c r="G112" s="9" t="str">
        <f>VLOOKUP(A112, 'Data Employee'!$A$2:$U$1000, 20, FALSE)</f>
        <v>Manufacturing</v>
      </c>
      <c r="H112" s="9" t="str">
        <f>INDEX('Data Employee'!$W$2:$W$1000, MATCH(A112, 'Data Employee'!$A$2:$A$1000, 0))</f>
        <v>Leader Line Production</v>
      </c>
      <c r="I112" t="str">
        <f>INDEX('Data Employee'!$V$2:$V$1000,MATCH(A112,'Data Employee'!$A$2:$A$1000,0))</f>
        <v>Leader</v>
      </c>
      <c r="J112" s="18">
        <f>INDEX('Data Employee'!$L$2:$L$1000, MATCH(A112, 'Data Employee'!$A$2:$A$1000, 0))</f>
        <v>41837</v>
      </c>
      <c r="K112" s="19" t="str">
        <f>IFERROR(IF(INDEX('Data Employee'!M:M,MATCH(A112,'Data Employee'!A:A,0))="","",INDEX('Data Employee'!M:M,MATCH(A112,'Data Employee'!A:A,0))),"")</f>
        <v/>
      </c>
      <c r="L112" s="11" t="str">
        <f t="shared" ca="1" si="4"/>
        <v/>
      </c>
      <c r="M112" s="11" t="str">
        <f t="shared" ca="1" si="5"/>
        <v>Active</v>
      </c>
    </row>
    <row r="113" spans="1:13" x14ac:dyDescent="0.35">
      <c r="A113">
        <v>202043986</v>
      </c>
      <c r="B113" t="str">
        <f>INDEX('Data Employee'!$B$2:$B$1000, MATCH(A113, 'Data Employee'!$A$2:$A$1000, 0))</f>
        <v>Fajar Hidayat</v>
      </c>
      <c r="C113" t="str">
        <f>INDEX('Data Employee'!$G$2:$G$1000,MATCH(A113,'Data Employee'!$A$2:$A$1000,0))</f>
        <v>Male</v>
      </c>
      <c r="D113" s="9" t="str" cm="1">
        <f t="array" aca="1" ref="D113" ca="1">IF(J113="","",_xlfn.IFS(DATEDIF(J113,TODAY(),"M")&lt;12,"Contract 1",DATEDIF(J113,TODAY(),"M")&lt;36,"Contract 2",DATEDIF(J113,TODAY(),"M")&lt;60,"Contract 3",DATEDIF(J113,TODAY(),"M")&lt;63,"Probation",TRUE,"Permanent"))</f>
        <v>Contract 2</v>
      </c>
      <c r="E113" s="9" t="str">
        <f t="shared" ca="1" si="3"/>
        <v>24 Month</v>
      </c>
      <c r="F113" s="9" t="str">
        <f>VLOOKUP(A113, 'Data Employee'!$A$2:$U$1000, 19, FALSE)</f>
        <v>Automotive Engineering</v>
      </c>
      <c r="G113" s="9" t="str">
        <f>VLOOKUP(A113, 'Data Employee'!$A$2:$U$1000, 20, FALSE)</f>
        <v>Manufacturing</v>
      </c>
      <c r="H113" s="9" t="str">
        <f>INDEX('Data Employee'!$W$2:$W$1000, MATCH(A113, 'Data Employee'!$A$2:$A$1000, 0))</f>
        <v>Quality Control Inspector</v>
      </c>
      <c r="I113" t="str">
        <f>INDEX('Data Employee'!$V$2:$V$1000,MATCH(A113,'Data Employee'!$A$2:$A$1000,0))</f>
        <v>Operator</v>
      </c>
      <c r="J113" s="18">
        <f>INDEX('Data Employee'!$L$2:$L$1000, MATCH(A113, 'Data Employee'!$A$2:$A$1000, 0))</f>
        <v>45812</v>
      </c>
      <c r="K113" s="19">
        <f>IFERROR(IF(INDEX('Data Employee'!M:M,MATCH(A113,'Data Employee'!A:A,0))="","",INDEX('Data Employee'!M:M,MATCH(A113,'Data Employee'!A:A,0))),"")</f>
        <v>47638</v>
      </c>
      <c r="L113" s="11" t="str">
        <f t="shared" ca="1" si="4"/>
        <v>1402 Days</v>
      </c>
      <c r="M113" s="11" t="str">
        <f t="shared" ca="1" si="5"/>
        <v>Active</v>
      </c>
    </row>
    <row r="114" spans="1:13" x14ac:dyDescent="0.35">
      <c r="A114">
        <v>201843377</v>
      </c>
      <c r="B114" t="str">
        <f>INDEX('Data Employee'!$B$2:$B$1000, MATCH(A114, 'Data Employee'!$A$2:$A$1000, 0))</f>
        <v>Rudi Lestari</v>
      </c>
      <c r="C114" t="str">
        <f>INDEX('Data Employee'!$G$2:$G$1000,MATCH(A114,'Data Employee'!$A$2:$A$1000,0))</f>
        <v>Male</v>
      </c>
      <c r="D114" s="9" t="str" cm="1">
        <f t="array" aca="1" ref="D114" ca="1">IF(J114="","",_xlfn.IFS(DATEDIF(J114,TODAY(),"M")&lt;12,"Contract 1",DATEDIF(J114,TODAY(),"M")&lt;36,"Contract 2",DATEDIF(J114,TODAY(),"M")&lt;60,"Contract 3",DATEDIF(J114,TODAY(),"M")&lt;63,"Probation",TRUE,"Permanent"))</f>
        <v>Contract 2</v>
      </c>
      <c r="E114" s="9" t="str">
        <f t="shared" ca="1" si="3"/>
        <v>24 Month</v>
      </c>
      <c r="F114" s="9" t="str">
        <f>VLOOKUP(A114, 'Data Employee'!$A$2:$U$1000, 19, FALSE)</f>
        <v>Automotive Engineering</v>
      </c>
      <c r="G114" s="9" t="str">
        <f>VLOOKUP(A114, 'Data Employee'!$A$2:$U$1000, 20, FALSE)</f>
        <v>Manufacturing</v>
      </c>
      <c r="H114" s="9" t="str">
        <f>INDEX('Data Employee'!$W$2:$W$1000, MATCH(A114, 'Data Employee'!$A$2:$A$1000, 0))</f>
        <v>Quality Control In-Coming</v>
      </c>
      <c r="I114" t="str">
        <f>INDEX('Data Employee'!$V$2:$V$1000,MATCH(A114,'Data Employee'!$A$2:$A$1000,0))</f>
        <v>Operator</v>
      </c>
      <c r="J114" s="18">
        <f>INDEX('Data Employee'!$L$2:$L$1000, MATCH(A114, 'Data Employee'!$A$2:$A$1000, 0))</f>
        <v>45203</v>
      </c>
      <c r="K114" s="19">
        <f>IFERROR(IF(INDEX('Data Employee'!M:M,MATCH(A114,'Data Employee'!A:A,0))="","",INDEX('Data Employee'!M:M,MATCH(A114,'Data Employee'!A:A,0))),"")</f>
        <v>46299</v>
      </c>
      <c r="L114" s="11" t="str">
        <f t="shared" ca="1" si="4"/>
        <v>63 Days</v>
      </c>
      <c r="M114" s="11" t="str">
        <f t="shared" ca="1" si="5"/>
        <v>Active</v>
      </c>
    </row>
    <row r="115" spans="1:13" x14ac:dyDescent="0.35">
      <c r="A115">
        <v>201843399</v>
      </c>
      <c r="B115" t="str">
        <f>INDEX('Data Employee'!$B$2:$B$1000, MATCH(A115, 'Data Employee'!$A$2:$A$1000, 0))</f>
        <v>Dedi Falah</v>
      </c>
      <c r="C115" t="str">
        <f>INDEX('Data Employee'!$G$2:$G$1000,MATCH(A115,'Data Employee'!$A$2:$A$1000,0))</f>
        <v>Male</v>
      </c>
      <c r="D115" s="9" t="str" cm="1">
        <f t="array" aca="1" ref="D115" ca="1">IF(J115="","",_xlfn.IFS(DATEDIF(J115,TODAY(),"M")&lt;12,"Contract 1",DATEDIF(J115,TODAY(),"M")&lt;36,"Contract 2",DATEDIF(J115,TODAY(),"M")&lt;60,"Contract 3",DATEDIF(J115,TODAY(),"M")&lt;63,"Probation",TRUE,"Permanent"))</f>
        <v>Permanent</v>
      </c>
      <c r="E115" s="9" t="str">
        <f t="shared" ca="1" si="3"/>
        <v>Permanent</v>
      </c>
      <c r="F115" s="9" t="str">
        <f>VLOOKUP(A115, 'Data Employee'!$A$2:$U$1000, 19, FALSE)</f>
        <v>Automotive Engineering</v>
      </c>
      <c r="G115" s="9" t="str">
        <f>VLOOKUP(A115, 'Data Employee'!$A$2:$U$1000, 20, FALSE)</f>
        <v>Manufacturing</v>
      </c>
      <c r="H115" s="9" t="str">
        <f>INDEX('Data Employee'!$W$2:$W$1000, MATCH(A115, 'Data Employee'!$A$2:$A$1000, 0))</f>
        <v>Leader Line Production</v>
      </c>
      <c r="I115" t="str">
        <f>INDEX('Data Employee'!$V$2:$V$1000,MATCH(A115,'Data Employee'!$A$2:$A$1000,0))</f>
        <v>Leader</v>
      </c>
      <c r="J115" s="18">
        <f>INDEX('Data Employee'!$L$2:$L$1000, MATCH(A115, 'Data Employee'!$A$2:$A$1000, 0))</f>
        <v>42669</v>
      </c>
      <c r="K115" s="19" t="str">
        <f>IFERROR(IF(INDEX('Data Employee'!M:M,MATCH(A115,'Data Employee'!A:A,0))="","",INDEX('Data Employee'!M:M,MATCH(A115,'Data Employee'!A:A,0))),"")</f>
        <v/>
      </c>
      <c r="L115" s="11" t="str">
        <f t="shared" ca="1" si="4"/>
        <v/>
      </c>
      <c r="M115" s="11" t="str">
        <f t="shared" ca="1" si="5"/>
        <v>Active</v>
      </c>
    </row>
    <row r="116" spans="1:13" x14ac:dyDescent="0.35">
      <c r="A116">
        <v>201742743</v>
      </c>
      <c r="B116" t="str">
        <f>INDEX('Data Employee'!$B$2:$B$1000, MATCH(A116, 'Data Employee'!$A$2:$A$1000, 0))</f>
        <v>Budi Permata</v>
      </c>
      <c r="C116" t="str">
        <f>INDEX('Data Employee'!$G$2:$G$1000,MATCH(A116,'Data Employee'!$A$2:$A$1000,0))</f>
        <v>Male</v>
      </c>
      <c r="D116" s="9" t="str" cm="1">
        <f t="array" aca="1" ref="D116" ca="1">IF(J116="","",_xlfn.IFS(DATEDIF(J116,TODAY(),"M")&lt;12,"Contract 1",DATEDIF(J116,TODAY(),"M")&lt;36,"Contract 2",DATEDIF(J116,TODAY(),"M")&lt;60,"Contract 3",DATEDIF(J116,TODAY(),"M")&lt;63,"Probation",TRUE,"Permanent"))</f>
        <v>Contract 3</v>
      </c>
      <c r="E116" s="9" t="str">
        <f t="shared" ca="1" si="3"/>
        <v>60 Month</v>
      </c>
      <c r="F116" s="9" t="str">
        <f>VLOOKUP(A116, 'Data Employee'!$A$2:$U$1000, 19, FALSE)</f>
        <v>Automotive Engineering</v>
      </c>
      <c r="G116" s="9" t="str">
        <f>VLOOKUP(A116, 'Data Employee'!$A$2:$U$1000, 20, FALSE)</f>
        <v>Manufacturing</v>
      </c>
      <c r="H116" s="9" t="str">
        <f>INDEX('Data Employee'!$W$2:$W$1000, MATCH(A116, 'Data Employee'!$A$2:$A$1000, 0))</f>
        <v>Quality Control In-Coming</v>
      </c>
      <c r="I116" t="str">
        <f>INDEX('Data Employee'!$V$2:$V$1000,MATCH(A116,'Data Employee'!$A$2:$A$1000,0))</f>
        <v>Operator</v>
      </c>
      <c r="J116" s="18">
        <f>INDEX('Data Employee'!$L$2:$L$1000, MATCH(A116, 'Data Employee'!$A$2:$A$1000, 0))</f>
        <v>44934</v>
      </c>
      <c r="K116" s="19">
        <f>IFERROR(IF(INDEX('Data Employee'!M:M,MATCH(A116,'Data Employee'!A:A,0))="","",INDEX('Data Employee'!M:M,MATCH(A116,'Data Employee'!A:A,0))),"")</f>
        <v>46760</v>
      </c>
      <c r="L116" s="11" t="str">
        <f t="shared" ca="1" si="4"/>
        <v>524 Days</v>
      </c>
      <c r="M116" s="11" t="str">
        <f t="shared" ca="1" si="5"/>
        <v>Active</v>
      </c>
    </row>
    <row r="117" spans="1:13" x14ac:dyDescent="0.35">
      <c r="A117">
        <v>202445481</v>
      </c>
      <c r="B117" t="str">
        <f>INDEX('Data Employee'!$B$2:$B$1000, MATCH(A117, 'Data Employee'!$A$2:$A$1000, 0))</f>
        <v>Budi Santoso</v>
      </c>
      <c r="C117" t="str">
        <f>INDEX('Data Employee'!$G$2:$G$1000,MATCH(A117,'Data Employee'!$A$2:$A$1000,0))</f>
        <v>Male</v>
      </c>
      <c r="D117" s="9" t="str" cm="1">
        <f t="array" aca="1" ref="D117" ca="1">IF(J117="","",_xlfn.IFS(DATEDIF(J117,TODAY(),"M")&lt;12,"Contract 1",DATEDIF(J117,TODAY(),"M")&lt;36,"Contract 2",DATEDIF(J117,TODAY(),"M")&lt;60,"Contract 3",DATEDIF(J117,TODAY(),"M")&lt;63,"Probation",TRUE,"Permanent"))</f>
        <v>Contract 2</v>
      </c>
      <c r="E117" s="9" t="str">
        <f t="shared" ca="1" si="3"/>
        <v>24 Month</v>
      </c>
      <c r="F117" s="9" t="str">
        <f>VLOOKUP(A117, 'Data Employee'!$A$2:$U$1000, 19, FALSE)</f>
        <v>Automotive Engineering</v>
      </c>
      <c r="G117" s="9" t="str">
        <f>VLOOKUP(A117, 'Data Employee'!$A$2:$U$1000, 20, FALSE)</f>
        <v>Manufacturing</v>
      </c>
      <c r="H117" s="9" t="str">
        <f>INDEX('Data Employee'!$W$2:$W$1000, MATCH(A117, 'Data Employee'!$A$2:$A$1000, 0))</f>
        <v>QE Staff</v>
      </c>
      <c r="I117" t="str">
        <f>INDEX('Data Employee'!$V$2:$V$1000,MATCH(A117,'Data Employee'!$A$2:$A$1000,0))</f>
        <v>Operator</v>
      </c>
      <c r="J117" s="18">
        <f>INDEX('Data Employee'!$L$2:$L$1000, MATCH(A117, 'Data Employee'!$A$2:$A$1000, 0))</f>
        <v>45481</v>
      </c>
      <c r="K117" s="19">
        <f>IFERROR(IF(INDEX('Data Employee'!M:M,MATCH(A117,'Data Employee'!A:A,0))="","",INDEX('Data Employee'!M:M,MATCH(A117,'Data Employee'!A:A,0))),"")</f>
        <v>46576</v>
      </c>
      <c r="L117" s="11" t="str">
        <f t="shared" ca="1" si="4"/>
        <v>340 Days</v>
      </c>
      <c r="M117" s="11" t="str">
        <f t="shared" ca="1" si="5"/>
        <v>Active</v>
      </c>
    </row>
    <row r="118" spans="1:13" x14ac:dyDescent="0.35">
      <c r="A118">
        <v>201843238</v>
      </c>
      <c r="B118" t="str">
        <f>INDEX('Data Employee'!$B$2:$B$1000, MATCH(A118, 'Data Employee'!$A$2:$A$1000, 0))</f>
        <v>Yusuf Pangestu</v>
      </c>
      <c r="C118" t="str">
        <f>INDEX('Data Employee'!$G$2:$G$1000,MATCH(A118,'Data Employee'!$A$2:$A$1000,0))</f>
        <v>Male</v>
      </c>
      <c r="D118" s="9" t="str" cm="1">
        <f t="array" aca="1" ref="D118" ca="1">IF(J118="","",_xlfn.IFS(DATEDIF(J118,TODAY(),"M")&lt;12,"Contract 1",DATEDIF(J118,TODAY(),"M")&lt;36,"Contract 2",DATEDIF(J118,TODAY(),"M")&lt;60,"Contract 3",DATEDIF(J118,TODAY(),"M")&lt;63,"Probation",TRUE,"Permanent"))</f>
        <v>Permanent</v>
      </c>
      <c r="E118" s="9" t="str">
        <f t="shared" ca="1" si="3"/>
        <v>Permanent</v>
      </c>
      <c r="F118" s="9" t="str">
        <f>VLOOKUP(A118, 'Data Employee'!$A$2:$U$1000, 19, FALSE)</f>
        <v>Automotive Engineering</v>
      </c>
      <c r="G118" s="9" t="str">
        <f>VLOOKUP(A118, 'Data Employee'!$A$2:$U$1000, 20, FALSE)</f>
        <v>Manufacturing</v>
      </c>
      <c r="H118" s="9" t="str">
        <f>INDEX('Data Employee'!$W$2:$W$1000, MATCH(A118, 'Data Employee'!$A$2:$A$1000, 0))</f>
        <v>Leader Line Production</v>
      </c>
      <c r="I118" t="str">
        <f>INDEX('Data Employee'!$V$2:$V$1000,MATCH(A118,'Data Employee'!$A$2:$A$1000,0))</f>
        <v>Leader</v>
      </c>
      <c r="J118" s="18">
        <f>INDEX('Data Employee'!$L$2:$L$1000, MATCH(A118, 'Data Employee'!$A$2:$A$1000, 0))</f>
        <v>43238</v>
      </c>
      <c r="K118" s="19" t="str">
        <f>IFERROR(IF(INDEX('Data Employee'!M:M,MATCH(A118,'Data Employee'!A:A,0))="","",INDEX('Data Employee'!M:M,MATCH(A118,'Data Employee'!A:A,0))),"")</f>
        <v/>
      </c>
      <c r="L118" s="11" t="str">
        <f t="shared" ca="1" si="4"/>
        <v/>
      </c>
      <c r="M118" s="11" t="str">
        <f t="shared" ca="1" si="5"/>
        <v>Active</v>
      </c>
    </row>
    <row r="119" spans="1:13" x14ac:dyDescent="0.35">
      <c r="A119">
        <v>202345221</v>
      </c>
      <c r="B119" t="str">
        <f>INDEX('Data Employee'!$B$2:$B$1000, MATCH(A119, 'Data Employee'!$A$2:$A$1000, 0))</f>
        <v>Farhan Saputra</v>
      </c>
      <c r="C119" t="str">
        <f>INDEX('Data Employee'!$G$2:$G$1000,MATCH(A119,'Data Employee'!$A$2:$A$1000,0))</f>
        <v>Male</v>
      </c>
      <c r="D119" s="9" t="str" cm="1">
        <f t="array" aca="1" ref="D119" ca="1">IF(J119="","",_xlfn.IFS(DATEDIF(J119,TODAY(),"M")&lt;12,"Contract 1",DATEDIF(J119,TODAY(),"M")&lt;36,"Contract 2",DATEDIF(J119,TODAY(),"M")&lt;60,"Contract 3",DATEDIF(J119,TODAY(),"M")&lt;63,"Probation",TRUE,"Permanent"))</f>
        <v>Contract 2</v>
      </c>
      <c r="E119" s="9" t="str">
        <f t="shared" ca="1" si="3"/>
        <v>24 Month</v>
      </c>
      <c r="F119" s="9" t="str">
        <f>VLOOKUP(A119, 'Data Employee'!$A$2:$U$1000, 19, FALSE)</f>
        <v>Automotive Engineering</v>
      </c>
      <c r="G119" s="9" t="str">
        <f>VLOOKUP(A119, 'Data Employee'!$A$2:$U$1000, 20, FALSE)</f>
        <v>Manufacturing</v>
      </c>
      <c r="H119" s="9" t="str">
        <f>INDEX('Data Employee'!$W$2:$W$1000, MATCH(A119, 'Data Employee'!$A$2:$A$1000, 0))</f>
        <v>QE Staff</v>
      </c>
      <c r="I119" t="str">
        <f>INDEX('Data Employee'!$V$2:$V$1000,MATCH(A119,'Data Employee'!$A$2:$A$1000,0))</f>
        <v>Operator</v>
      </c>
      <c r="J119" s="18">
        <f>INDEX('Data Employee'!$L$2:$L$1000, MATCH(A119, 'Data Employee'!$A$2:$A$1000, 0))</f>
        <v>45221</v>
      </c>
      <c r="K119" s="19">
        <f>IFERROR(IF(INDEX('Data Employee'!M:M,MATCH(A119,'Data Employee'!A:A,0))="","",INDEX('Data Employee'!M:M,MATCH(A119,'Data Employee'!A:A,0))),"")</f>
        <v>46317</v>
      </c>
      <c r="L119" s="11" t="str">
        <f t="shared" ca="1" si="4"/>
        <v>81 Days</v>
      </c>
      <c r="M119" s="11" t="str">
        <f t="shared" ca="1" si="5"/>
        <v>Active</v>
      </c>
    </row>
    <row r="120" spans="1:13" x14ac:dyDescent="0.35">
      <c r="A120">
        <v>201743012</v>
      </c>
      <c r="B120" t="str">
        <f>INDEX('Data Employee'!$B$2:$B$1000, MATCH(A120, 'Data Employee'!$A$2:$A$1000, 0))</f>
        <v>Lina Lestari</v>
      </c>
      <c r="C120" t="str">
        <f>INDEX('Data Employee'!$G$2:$G$1000,MATCH(A120,'Data Employee'!$A$2:$A$1000,0))</f>
        <v>Female</v>
      </c>
      <c r="D120" s="9" t="str" cm="1">
        <f t="array" aca="1" ref="D120" ca="1">IF(J120="","",_xlfn.IFS(DATEDIF(J120,TODAY(),"M")&lt;12,"Contract 1",DATEDIF(J120,TODAY(),"M")&lt;36,"Contract 2",DATEDIF(J120,TODAY(),"M")&lt;60,"Contract 3",DATEDIF(J120,TODAY(),"M")&lt;63,"Probation",TRUE,"Permanent"))</f>
        <v>Contract 1</v>
      </c>
      <c r="E120" s="9" t="str">
        <f t="shared" ca="1" si="3"/>
        <v>12 Month</v>
      </c>
      <c r="F120" s="9" t="str">
        <f>VLOOKUP(A120, 'Data Employee'!$A$2:$U$1000, 19, FALSE)</f>
        <v>Automotive Engineering</v>
      </c>
      <c r="G120" s="9" t="str">
        <f>VLOOKUP(A120, 'Data Employee'!$A$2:$U$1000, 20, FALSE)</f>
        <v>Manufacturing</v>
      </c>
      <c r="H120" s="9" t="str">
        <f>INDEX('Data Employee'!$W$2:$W$1000, MATCH(A120, 'Data Employee'!$A$2:$A$1000, 0))</f>
        <v>Production Administrator</v>
      </c>
      <c r="I120" t="str">
        <f>INDEX('Data Employee'!$V$2:$V$1000,MATCH(A120,'Data Employee'!$A$2:$A$1000,0))</f>
        <v>Administrator</v>
      </c>
      <c r="J120" s="18">
        <f>INDEX('Data Employee'!$L$2:$L$1000, MATCH(A120, 'Data Employee'!$A$2:$A$1000, 0))</f>
        <v>45934</v>
      </c>
      <c r="K120" s="19">
        <f>IFERROR(IF(INDEX('Data Employee'!M:M,MATCH(A120,'Data Employee'!A:A,0))="","",INDEX('Data Employee'!M:M,MATCH(A120,'Data Employee'!A:A,0))),"")</f>
        <v>47030</v>
      </c>
      <c r="L120" s="11" t="str">
        <f t="shared" ca="1" si="4"/>
        <v>794 Days</v>
      </c>
      <c r="M120" s="11" t="str">
        <f t="shared" ca="1" si="5"/>
        <v>Active</v>
      </c>
    </row>
    <row r="121" spans="1:13" x14ac:dyDescent="0.35">
      <c r="A121">
        <v>201943716</v>
      </c>
      <c r="B121" t="str">
        <f>INDEX('Data Employee'!$B$2:$B$1000, MATCH(A121, 'Data Employee'!$A$2:$A$1000, 0))</f>
        <v>Rizky Utami</v>
      </c>
      <c r="C121" t="str">
        <f>INDEX('Data Employee'!$G$2:$G$1000,MATCH(A121,'Data Employee'!$A$2:$A$1000,0))</f>
        <v>Male</v>
      </c>
      <c r="D121" s="9" t="str" cm="1">
        <f t="array" aca="1" ref="D121" ca="1">IF(J121="","",_xlfn.IFS(DATEDIF(J121,TODAY(),"M")&lt;12,"Contract 1",DATEDIF(J121,TODAY(),"M")&lt;36,"Contract 2",DATEDIF(J121,TODAY(),"M")&lt;60,"Contract 3",DATEDIF(J121,TODAY(),"M")&lt;63,"Probation",TRUE,"Permanent"))</f>
        <v>Contract 2</v>
      </c>
      <c r="E121" s="9" t="str">
        <f t="shared" ca="1" si="3"/>
        <v>24 Month</v>
      </c>
      <c r="F121" s="9" t="str">
        <f>VLOOKUP(A121, 'Data Employee'!$A$2:$U$1000, 19, FALSE)</f>
        <v>Automotive Engineering</v>
      </c>
      <c r="G121" s="9" t="str">
        <f>VLOOKUP(A121, 'Data Employee'!$A$2:$U$1000, 20, FALSE)</f>
        <v>Manufacturing</v>
      </c>
      <c r="H121" s="9" t="str">
        <f>INDEX('Data Employee'!$W$2:$W$1000, MATCH(A121, 'Data Employee'!$A$2:$A$1000, 0))</f>
        <v>QE Staff</v>
      </c>
      <c r="I121" t="str">
        <f>INDEX('Data Employee'!$V$2:$V$1000,MATCH(A121,'Data Employee'!$A$2:$A$1000,0))</f>
        <v>Operator</v>
      </c>
      <c r="J121" s="18">
        <f>INDEX('Data Employee'!$L$2:$L$1000, MATCH(A121, 'Data Employee'!$A$2:$A$1000, 0))</f>
        <v>45543</v>
      </c>
      <c r="K121" s="19">
        <f>IFERROR(IF(INDEX('Data Employee'!M:M,MATCH(A121,'Data Employee'!A:A,0))="","",INDEX('Data Employee'!M:M,MATCH(A121,'Data Employee'!A:A,0))),"")</f>
        <v>46638</v>
      </c>
      <c r="L121" s="11" t="str">
        <f t="shared" ca="1" si="4"/>
        <v>402 Days</v>
      </c>
      <c r="M121" s="11" t="str">
        <f t="shared" ca="1" si="5"/>
        <v>Active</v>
      </c>
    </row>
    <row r="122" spans="1:13" x14ac:dyDescent="0.35">
      <c r="A122">
        <v>202044015</v>
      </c>
      <c r="B122" t="str">
        <f>INDEX('Data Employee'!$B$2:$B$1000, MATCH(A122, 'Data Employee'!$A$2:$A$1000, 0))</f>
        <v>Rudi Kurniawan</v>
      </c>
      <c r="C122" t="str">
        <f>INDEX('Data Employee'!$G$2:$G$1000,MATCH(A122,'Data Employee'!$A$2:$A$1000,0))</f>
        <v>Male</v>
      </c>
      <c r="D122" s="9" t="str" cm="1">
        <f t="array" aca="1" ref="D122" ca="1">IF(J122="","",_xlfn.IFS(DATEDIF(J122,TODAY(),"M")&lt;12,"Contract 1",DATEDIF(J122,TODAY(),"M")&lt;36,"Contract 2",DATEDIF(J122,TODAY(),"M")&lt;60,"Contract 3",DATEDIF(J122,TODAY(),"M")&lt;63,"Probation",TRUE,"Permanent"))</f>
        <v>Contract 2</v>
      </c>
      <c r="E122" s="9" t="str">
        <f t="shared" ca="1" si="3"/>
        <v>24 Month</v>
      </c>
      <c r="F122" s="9" t="str">
        <f>VLOOKUP(A122, 'Data Employee'!$A$2:$U$1000, 19, FALSE)</f>
        <v>Automotive Engineering</v>
      </c>
      <c r="G122" s="9" t="str">
        <f>VLOOKUP(A122, 'Data Employee'!$A$2:$U$1000, 20, FALSE)</f>
        <v>Manufacturing</v>
      </c>
      <c r="H122" s="9" t="str">
        <f>INDEX('Data Employee'!$W$2:$W$1000, MATCH(A122, 'Data Employee'!$A$2:$A$1000, 0))</f>
        <v>Production Operator</v>
      </c>
      <c r="I122" t="str">
        <f>INDEX('Data Employee'!$V$2:$V$1000,MATCH(A122,'Data Employee'!$A$2:$A$1000,0))</f>
        <v>Operator</v>
      </c>
      <c r="J122" s="18">
        <f>INDEX('Data Employee'!$L$2:$L$1000, MATCH(A122, 'Data Employee'!$A$2:$A$1000, 0))</f>
        <v>45841</v>
      </c>
      <c r="K122" s="19">
        <f>IFERROR(IF(INDEX('Data Employee'!M:M,MATCH(A122,'Data Employee'!A:A,0))="","",INDEX('Data Employee'!M:M,MATCH(A122,'Data Employee'!A:A,0))),"")</f>
        <v>47667</v>
      </c>
      <c r="L122" s="11" t="str">
        <f t="shared" ca="1" si="4"/>
        <v>1431 Days</v>
      </c>
      <c r="M122" s="11" t="str">
        <f t="shared" ca="1" si="5"/>
        <v>Active</v>
      </c>
    </row>
    <row r="123" spans="1:13" x14ac:dyDescent="0.35">
      <c r="A123">
        <v>201642592</v>
      </c>
      <c r="B123" t="str">
        <f>INDEX('Data Employee'!$B$2:$B$1000, MATCH(A123, 'Data Employee'!$A$2:$A$1000, 0))</f>
        <v>Fajar Kurniawan</v>
      </c>
      <c r="C123" t="str">
        <f>INDEX('Data Employee'!$G$2:$G$1000,MATCH(A123,'Data Employee'!$A$2:$A$1000,0))</f>
        <v>Male</v>
      </c>
      <c r="D123" s="9" t="str" cm="1">
        <f t="array" aca="1" ref="D123" ca="1">IF(J123="","",_xlfn.IFS(DATEDIF(J123,TODAY(),"M")&lt;12,"Contract 1",DATEDIF(J123,TODAY(),"M")&lt;36,"Contract 2",DATEDIF(J123,TODAY(),"M")&lt;60,"Contract 3",DATEDIF(J123,TODAY(),"M")&lt;63,"Probation",TRUE,"Permanent"))</f>
        <v>Contract 2</v>
      </c>
      <c r="E123" s="9" t="str">
        <f t="shared" ca="1" si="3"/>
        <v>24 Month</v>
      </c>
      <c r="F123" s="9" t="str">
        <f>VLOOKUP(A123, 'Data Employee'!$A$2:$U$1000, 19, FALSE)</f>
        <v>Automotive Engineering</v>
      </c>
      <c r="G123" s="9" t="str">
        <f>VLOOKUP(A123, 'Data Employee'!$A$2:$U$1000, 20, FALSE)</f>
        <v>Manufacturing</v>
      </c>
      <c r="H123" s="9" t="str">
        <f>INDEX('Data Employee'!$W$2:$W$1000, MATCH(A123, 'Data Employee'!$A$2:$A$1000, 0))</f>
        <v>Production Operator</v>
      </c>
      <c r="I123" t="str">
        <f>INDEX('Data Employee'!$V$2:$V$1000,MATCH(A123,'Data Employee'!$A$2:$A$1000,0))</f>
        <v>Operator</v>
      </c>
      <c r="J123" s="18">
        <f>INDEX('Data Employee'!$L$2:$L$1000, MATCH(A123, 'Data Employee'!$A$2:$A$1000, 0))</f>
        <v>45148</v>
      </c>
      <c r="K123" s="19">
        <f>IFERROR(IF(INDEX('Data Employee'!M:M,MATCH(A123,'Data Employee'!A:A,0))="","",INDEX('Data Employee'!M:M,MATCH(A123,'Data Employee'!A:A,0))),"")</f>
        <v>46975</v>
      </c>
      <c r="L123" s="11" t="str">
        <f t="shared" ca="1" si="4"/>
        <v>739 Days</v>
      </c>
      <c r="M123" s="11" t="str">
        <f t="shared" ca="1" si="5"/>
        <v>Active</v>
      </c>
    </row>
    <row r="124" spans="1:13" x14ac:dyDescent="0.35">
      <c r="A124">
        <v>202044004</v>
      </c>
      <c r="B124" t="str">
        <f>INDEX('Data Employee'!$B$2:$B$1000, MATCH(A124, 'Data Employee'!$A$2:$A$1000, 0))</f>
        <v>Putri Saputra</v>
      </c>
      <c r="C124" t="str">
        <f>INDEX('Data Employee'!$G$2:$G$1000,MATCH(A124,'Data Employee'!$A$2:$A$1000,0))</f>
        <v>Female</v>
      </c>
      <c r="D124" s="9" t="str" cm="1">
        <f t="array" aca="1" ref="D124" ca="1">IF(J124="","",_xlfn.IFS(DATEDIF(J124,TODAY(),"M")&lt;12,"Contract 1",DATEDIF(J124,TODAY(),"M")&lt;36,"Contract 2",DATEDIF(J124,TODAY(),"M")&lt;60,"Contract 3",DATEDIF(J124,TODAY(),"M")&lt;63,"Probation",TRUE,"Permanent"))</f>
        <v>Contract 2</v>
      </c>
      <c r="E124" s="9" t="str">
        <f t="shared" ca="1" si="3"/>
        <v>24 Month</v>
      </c>
      <c r="F124" s="9" t="str">
        <f>VLOOKUP(A124, 'Data Employee'!$A$2:$U$1000, 19, FALSE)</f>
        <v>Automotive Engineering</v>
      </c>
      <c r="G124" s="9" t="str">
        <f>VLOOKUP(A124, 'Data Employee'!$A$2:$U$1000, 20, FALSE)</f>
        <v>Manufacturing</v>
      </c>
      <c r="H124" s="9" t="str">
        <f>INDEX('Data Employee'!$W$2:$W$1000, MATCH(A124, 'Data Employee'!$A$2:$A$1000, 0))</f>
        <v>Production Administrator</v>
      </c>
      <c r="I124" t="str">
        <f>INDEX('Data Employee'!$V$2:$V$1000,MATCH(A124,'Data Employee'!$A$2:$A$1000,0))</f>
        <v>Administrator</v>
      </c>
      <c r="J124" s="18">
        <f>INDEX('Data Employee'!$L$2:$L$1000, MATCH(A124, 'Data Employee'!$A$2:$A$1000, 0))</f>
        <v>45830</v>
      </c>
      <c r="K124" s="19">
        <f>IFERROR(IF(INDEX('Data Employee'!M:M,MATCH(A124,'Data Employee'!A:A,0))="","",INDEX('Data Employee'!M:M,MATCH(A124,'Data Employee'!A:A,0))),"")</f>
        <v>46560</v>
      </c>
      <c r="L124" s="11" t="str">
        <f t="shared" ca="1" si="4"/>
        <v>324 Days</v>
      </c>
      <c r="M124" s="11" t="str">
        <f t="shared" ca="1" si="5"/>
        <v>Active</v>
      </c>
    </row>
    <row r="125" spans="1:13" x14ac:dyDescent="0.35">
      <c r="A125">
        <v>201843144</v>
      </c>
      <c r="B125" t="str">
        <f>INDEX('Data Employee'!$B$2:$B$1000, MATCH(A125, 'Data Employee'!$A$2:$A$1000, 0))</f>
        <v>Aulia Lestari</v>
      </c>
      <c r="C125" t="str">
        <f>INDEX('Data Employee'!$G$2:$G$1000,MATCH(A125,'Data Employee'!$A$2:$A$1000,0))</f>
        <v>Female</v>
      </c>
      <c r="D125" s="9" t="str" cm="1">
        <f t="array" aca="1" ref="D125" ca="1">IF(J125="","",_xlfn.IFS(DATEDIF(J125,TODAY(),"M")&lt;12,"Contract 1",DATEDIF(J125,TODAY(),"M")&lt;36,"Contract 2",DATEDIF(J125,TODAY(),"M")&lt;60,"Contract 3",DATEDIF(J125,TODAY(),"M")&lt;63,"Probation",TRUE,"Permanent"))</f>
        <v>Contract 2</v>
      </c>
      <c r="E125" s="9" t="str">
        <f t="shared" ca="1" si="3"/>
        <v>24 Month</v>
      </c>
      <c r="F125" s="9" t="str">
        <f>VLOOKUP(A125, 'Data Employee'!$A$2:$U$1000, 19, FALSE)</f>
        <v>Automotive Engineering</v>
      </c>
      <c r="G125" s="9" t="str">
        <f>VLOOKUP(A125, 'Data Employee'!$A$2:$U$1000, 20, FALSE)</f>
        <v>Manufacturing</v>
      </c>
      <c r="H125" s="9" t="str">
        <f>INDEX('Data Employee'!$W$2:$W$1000, MATCH(A125, 'Data Employee'!$A$2:$A$1000, 0))</f>
        <v>Production Administrator</v>
      </c>
      <c r="I125" t="str">
        <f>INDEX('Data Employee'!$V$2:$V$1000,MATCH(A125,'Data Employee'!$A$2:$A$1000,0))</f>
        <v>Administrator</v>
      </c>
      <c r="J125" s="18">
        <f>INDEX('Data Employee'!$L$2:$L$1000, MATCH(A125, 'Data Employee'!$A$2:$A$1000, 0))</f>
        <v>45701</v>
      </c>
      <c r="K125" s="19">
        <f>IFERROR(IF(INDEX('Data Employee'!M:M,MATCH(A125,'Data Employee'!A:A,0))="","",INDEX('Data Employee'!M:M,MATCH(A125,'Data Employee'!A:A,0))),"")</f>
        <v>46796</v>
      </c>
      <c r="L125" s="11" t="str">
        <f t="shared" ca="1" si="4"/>
        <v>560 Days</v>
      </c>
      <c r="M125" s="11" t="str">
        <f t="shared" ca="1" si="5"/>
        <v>Active</v>
      </c>
    </row>
    <row r="126" spans="1:13" x14ac:dyDescent="0.35">
      <c r="A126">
        <v>201642621</v>
      </c>
      <c r="B126" t="str">
        <f>INDEX('Data Employee'!$B$2:$B$1000, MATCH(A126, 'Data Employee'!$A$2:$A$1000, 0))</f>
        <v>Siti Kurniawan</v>
      </c>
      <c r="C126" t="str">
        <f>INDEX('Data Employee'!$G$2:$G$1000,MATCH(A126,'Data Employee'!$A$2:$A$1000,0))</f>
        <v>Male</v>
      </c>
      <c r="D126" s="9" t="str" cm="1">
        <f t="array" aca="1" ref="D126" ca="1">IF(J126="","",_xlfn.IFS(DATEDIF(J126,TODAY(),"M")&lt;12,"Contract 1",DATEDIF(J126,TODAY(),"M")&lt;36,"Contract 2",DATEDIF(J126,TODAY(),"M")&lt;60,"Contract 3",DATEDIF(J126,TODAY(),"M")&lt;63,"Probation",TRUE,"Permanent"))</f>
        <v>Permanent</v>
      </c>
      <c r="E126" s="9" t="str">
        <f t="shared" ca="1" si="3"/>
        <v>Permanent</v>
      </c>
      <c r="F126" s="9" t="str">
        <f>VLOOKUP(A126, 'Data Employee'!$A$2:$U$1000, 19, FALSE)</f>
        <v>Information Systems</v>
      </c>
      <c r="G126" s="9" t="str">
        <f>VLOOKUP(A126, 'Data Employee'!$A$2:$U$1000, 20, FALSE)</f>
        <v>Information Technology</v>
      </c>
      <c r="H126" s="9" t="str">
        <f>INDEX('Data Employee'!$W$2:$W$1000, MATCH(A126, 'Data Employee'!$A$2:$A$1000, 0))</f>
        <v>UI / UX Design</v>
      </c>
      <c r="I126" t="str">
        <f>INDEX('Data Employee'!$V$2:$V$1000,MATCH(A126,'Data Employee'!$A$2:$A$1000,0))</f>
        <v>Senior Professional / Engineer / Analyst</v>
      </c>
      <c r="J126" s="18">
        <f>INDEX('Data Employee'!$L$2:$L$1000, MATCH(A126, 'Data Employee'!$A$2:$A$1000, 0))</f>
        <v>42621</v>
      </c>
      <c r="K126" s="19" t="str">
        <f>IFERROR(IF(INDEX('Data Employee'!M:M,MATCH(A126,'Data Employee'!A:A,0))="","",INDEX('Data Employee'!M:M,MATCH(A126,'Data Employee'!A:A,0))),"")</f>
        <v/>
      </c>
      <c r="L126" s="11" t="str">
        <f t="shared" ca="1" si="4"/>
        <v/>
      </c>
      <c r="M126" s="11" t="str">
        <f t="shared" ca="1" si="5"/>
        <v>Active</v>
      </c>
    </row>
    <row r="127" spans="1:13" x14ac:dyDescent="0.35">
      <c r="A127">
        <v>201943782</v>
      </c>
      <c r="B127" t="str">
        <f>INDEX('Data Employee'!$B$2:$B$1000, MATCH(A127, 'Data Employee'!$A$2:$A$1000, 0))</f>
        <v>Budi Kurniawan</v>
      </c>
      <c r="C127" t="str">
        <f>INDEX('Data Employee'!$G$2:$G$1000,MATCH(A127,'Data Employee'!$A$2:$A$1000,0))</f>
        <v>Male</v>
      </c>
      <c r="D127" s="9" t="str" cm="1">
        <f t="array" aca="1" ref="D127" ca="1">IF(J127="","",_xlfn.IFS(DATEDIF(J127,TODAY(),"M")&lt;12,"Contract 1",DATEDIF(J127,TODAY(),"M")&lt;36,"Contract 2",DATEDIF(J127,TODAY(),"M")&lt;60,"Contract 3",DATEDIF(J127,TODAY(),"M")&lt;63,"Probation",TRUE,"Permanent"))</f>
        <v>Contract 2</v>
      </c>
      <c r="E127" s="9" t="str">
        <f t="shared" ca="1" si="3"/>
        <v>24 Month</v>
      </c>
      <c r="F127" s="9" t="str">
        <f>VLOOKUP(A127, 'Data Employee'!$A$2:$U$1000, 19, FALSE)</f>
        <v>Automotive Engineering</v>
      </c>
      <c r="G127" s="9" t="str">
        <f>VLOOKUP(A127, 'Data Employee'!$A$2:$U$1000, 20, FALSE)</f>
        <v>Manufacturing</v>
      </c>
      <c r="H127" s="9" t="str">
        <f>INDEX('Data Employee'!$W$2:$W$1000, MATCH(A127, 'Data Employee'!$A$2:$A$1000, 0))</f>
        <v>Production Operator</v>
      </c>
      <c r="I127" t="str">
        <f>INDEX('Data Employee'!$V$2:$V$1000,MATCH(A127,'Data Employee'!$A$2:$A$1000,0))</f>
        <v>Operator</v>
      </c>
      <c r="J127" s="18">
        <f>INDEX('Data Employee'!$L$2:$L$1000, MATCH(A127, 'Data Employee'!$A$2:$A$1000, 0))</f>
        <v>45609</v>
      </c>
      <c r="K127" s="19">
        <f>IFERROR(IF(INDEX('Data Employee'!M:M,MATCH(A127,'Data Employee'!A:A,0))="","",INDEX('Data Employee'!M:M,MATCH(A127,'Data Employee'!A:A,0))),"")</f>
        <v>46339</v>
      </c>
      <c r="L127" s="11" t="str">
        <f t="shared" ca="1" si="4"/>
        <v>103 Days</v>
      </c>
      <c r="M127" s="11" t="str">
        <f t="shared" ca="1" si="5"/>
        <v>Active</v>
      </c>
    </row>
    <row r="128" spans="1:13" x14ac:dyDescent="0.35">
      <c r="A128">
        <v>201642425</v>
      </c>
      <c r="B128" t="str">
        <f>INDEX('Data Employee'!$B$2:$B$1000, MATCH(A128, 'Data Employee'!$A$2:$A$1000, 0))</f>
        <v>Dedi Kusuma</v>
      </c>
      <c r="C128" t="str">
        <f>INDEX('Data Employee'!$G$2:$G$1000,MATCH(A128,'Data Employee'!$A$2:$A$1000,0))</f>
        <v>Male</v>
      </c>
      <c r="D128" s="9" t="str" cm="1">
        <f t="array" aca="1" ref="D128" ca="1">IF(J128="","",_xlfn.IFS(DATEDIF(J128,TODAY(),"M")&lt;12,"Contract 1",DATEDIF(J128,TODAY(),"M")&lt;36,"Contract 2",DATEDIF(J128,TODAY(),"M")&lt;60,"Contract 3",DATEDIF(J128,TODAY(),"M")&lt;63,"Probation",TRUE,"Permanent"))</f>
        <v>Contract 3</v>
      </c>
      <c r="E128" s="9" t="str">
        <f t="shared" ca="1" si="3"/>
        <v>60 Month</v>
      </c>
      <c r="F128" s="9" t="str">
        <f>VLOOKUP(A128, 'Data Employee'!$A$2:$U$1000, 19, FALSE)</f>
        <v>Automotive Engineering</v>
      </c>
      <c r="G128" s="9" t="str">
        <f>VLOOKUP(A128, 'Data Employee'!$A$2:$U$1000, 20, FALSE)</f>
        <v>Manufacturing</v>
      </c>
      <c r="H128" s="9" t="str">
        <f>INDEX('Data Employee'!$W$2:$W$1000, MATCH(A128, 'Data Employee'!$A$2:$A$1000, 0))</f>
        <v>Production Operator</v>
      </c>
      <c r="I128" t="str">
        <f>INDEX('Data Employee'!$V$2:$V$1000,MATCH(A128,'Data Employee'!$A$2:$A$1000,0))</f>
        <v>Operator</v>
      </c>
      <c r="J128" s="18">
        <f>INDEX('Data Employee'!$L$2:$L$1000, MATCH(A128, 'Data Employee'!$A$2:$A$1000, 0))</f>
        <v>44982</v>
      </c>
      <c r="K128" s="19">
        <f>IFERROR(IF(INDEX('Data Employee'!M:M,MATCH(A128,'Data Employee'!A:A,0))="","",INDEX('Data Employee'!M:M,MATCH(A128,'Data Employee'!A:A,0))),"")</f>
        <v>46808</v>
      </c>
      <c r="L128" s="11" t="str">
        <f t="shared" ca="1" si="4"/>
        <v>572 Days</v>
      </c>
      <c r="M128" s="11" t="str">
        <f t="shared" ca="1" si="5"/>
        <v>Active</v>
      </c>
    </row>
    <row r="129" spans="1:13" x14ac:dyDescent="0.35">
      <c r="A129">
        <v>201742748</v>
      </c>
      <c r="B129" t="str">
        <f>INDEX('Data Employee'!$B$2:$B$1000, MATCH(A129, 'Data Employee'!$A$2:$A$1000, 0))</f>
        <v>Budi Kurniawan</v>
      </c>
      <c r="C129" t="str">
        <f>INDEX('Data Employee'!$G$2:$G$1000,MATCH(A129,'Data Employee'!$A$2:$A$1000,0))</f>
        <v>Male</v>
      </c>
      <c r="D129" s="9" t="str" cm="1">
        <f t="array" aca="1" ref="D129" ca="1">IF(J129="","",_xlfn.IFS(DATEDIF(J129,TODAY(),"M")&lt;12,"Contract 1",DATEDIF(J129,TODAY(),"M")&lt;36,"Contract 2",DATEDIF(J129,TODAY(),"M")&lt;60,"Contract 3",DATEDIF(J129,TODAY(),"M")&lt;63,"Probation",TRUE,"Permanent"))</f>
        <v>Permanent</v>
      </c>
      <c r="E129" s="9" t="str">
        <f t="shared" ca="1" si="3"/>
        <v>Permanent</v>
      </c>
      <c r="F129" s="9" t="str">
        <f>VLOOKUP(A129, 'Data Employee'!$A$2:$U$1000, 19, FALSE)</f>
        <v>Automotive Engineering</v>
      </c>
      <c r="G129" s="9" t="str">
        <f>VLOOKUP(A129, 'Data Employee'!$A$2:$U$1000, 20, FALSE)</f>
        <v>Manufacturing</v>
      </c>
      <c r="H129" s="9" t="str">
        <f>INDEX('Data Employee'!$W$2:$W$1000, MATCH(A129, 'Data Employee'!$A$2:$A$1000, 0))</f>
        <v>Leader Line Production</v>
      </c>
      <c r="I129" t="str">
        <f>INDEX('Data Employee'!$V$2:$V$1000,MATCH(A129,'Data Employee'!$A$2:$A$1000,0))</f>
        <v>Leader</v>
      </c>
      <c r="J129" s="18">
        <f>INDEX('Data Employee'!$L$2:$L$1000, MATCH(A129, 'Data Employee'!$A$2:$A$1000, 0))</f>
        <v>42748</v>
      </c>
      <c r="K129" s="19" t="str">
        <f>IFERROR(IF(INDEX('Data Employee'!M:M,MATCH(A129,'Data Employee'!A:A,0))="","",INDEX('Data Employee'!M:M,MATCH(A129,'Data Employee'!A:A,0))),"")</f>
        <v/>
      </c>
      <c r="L129" s="11" t="str">
        <f t="shared" ca="1" si="4"/>
        <v/>
      </c>
      <c r="M129" s="11" t="str">
        <f t="shared" ca="1" si="5"/>
        <v>Active</v>
      </c>
    </row>
    <row r="130" spans="1:13" x14ac:dyDescent="0.35">
      <c r="A130">
        <v>201642724</v>
      </c>
      <c r="B130" t="str">
        <f>INDEX('Data Employee'!$B$2:$B$1000, MATCH(A130, 'Data Employee'!$A$2:$A$1000, 0))</f>
        <v>Agus Lesmana</v>
      </c>
      <c r="C130" t="str">
        <f>INDEX('Data Employee'!$G$2:$G$1000,MATCH(A130,'Data Employee'!$A$2:$A$1000,0))</f>
        <v>Male</v>
      </c>
      <c r="D130" s="9" t="str" cm="1">
        <f t="array" aca="1" ref="D130" ca="1">IF(J130="","",_xlfn.IFS(DATEDIF(J130,TODAY(),"M")&lt;12,"Contract 1",DATEDIF(J130,TODAY(),"M")&lt;36,"Contract 2",DATEDIF(J130,TODAY(),"M")&lt;60,"Contract 3",DATEDIF(J130,TODAY(),"M")&lt;63,"Probation",TRUE,"Permanent"))</f>
        <v>Contract 2</v>
      </c>
      <c r="E130" s="9" t="str">
        <f t="shared" ref="E130:E193" ca="1" si="6">IF(D130="Permanent","Permanent",IF(D130="Contract 1","12 Month",IF(D130="Contract 2","24 Month",IF(D130="Contract 3","60 Month",IF(D130="Probation","63 Month","")))))</f>
        <v>24 Month</v>
      </c>
      <c r="F130" s="9" t="str">
        <f>VLOOKUP(A130, 'Data Employee'!$A$2:$U$1000, 19, FALSE)</f>
        <v>Automotive Engineering</v>
      </c>
      <c r="G130" s="9" t="str">
        <f>VLOOKUP(A130, 'Data Employee'!$A$2:$U$1000, 20, FALSE)</f>
        <v>Manufacturing</v>
      </c>
      <c r="H130" s="9" t="str">
        <f>INDEX('Data Employee'!$W$2:$W$1000, MATCH(A130, 'Data Employee'!$A$2:$A$1000, 0))</f>
        <v>Production Operator</v>
      </c>
      <c r="I130" t="str">
        <f>INDEX('Data Employee'!$V$2:$V$1000,MATCH(A130,'Data Employee'!$A$2:$A$1000,0))</f>
        <v>Operator</v>
      </c>
      <c r="J130" s="18">
        <f>INDEX('Data Employee'!$L$2:$L$1000, MATCH(A130, 'Data Employee'!$A$2:$A$1000, 0))</f>
        <v>45280</v>
      </c>
      <c r="K130" s="19">
        <f>IFERROR(IF(INDEX('Data Employee'!M:M,MATCH(A130,'Data Employee'!A:A,0))="","",INDEX('Data Employee'!M:M,MATCH(A130,'Data Employee'!A:A,0))),"")</f>
        <v>46376</v>
      </c>
      <c r="L130" s="11" t="str">
        <f t="shared" ref="L130:L193" ca="1" si="7">IF(OR(K130="",K130&lt;TODAY()),IF(K130="","","Expired"),DATEDIF(TODAY(),K130,"D")&amp;" Days")</f>
        <v>140 Days</v>
      </c>
      <c r="M130" s="11" t="str">
        <f t="shared" ref="M130:M193" ca="1" si="8">IF(OR(K130="", D130="Permanent", NOT(ISNUMBER(K130))), "Active", IF(K130&lt;TODAY(), "Expired", IF(K130-TODAY()&lt;=30, "Urgent Renewal", IF(K130-TODAY()&lt;=60, "Review Needed", "Active"))))</f>
        <v>Active</v>
      </c>
    </row>
    <row r="131" spans="1:13" x14ac:dyDescent="0.35">
      <c r="A131">
        <v>202445315</v>
      </c>
      <c r="B131" t="str">
        <f>INDEX('Data Employee'!$B$2:$B$1000, MATCH(A131, 'Data Employee'!$A$2:$A$1000, 0))</f>
        <v>Dedi Saputra</v>
      </c>
      <c r="C131" t="str">
        <f>INDEX('Data Employee'!$G$2:$G$1000,MATCH(A131,'Data Employee'!$A$2:$A$1000,0))</f>
        <v>Male</v>
      </c>
      <c r="D131" s="9" t="str" cm="1">
        <f t="array" aca="1" ref="D131" ca="1">IF(J131="","",_xlfn.IFS(DATEDIF(J131,TODAY(),"M")&lt;12,"Contract 1",DATEDIF(J131,TODAY(),"M")&lt;36,"Contract 2",DATEDIF(J131,TODAY(),"M")&lt;60,"Contract 3",DATEDIF(J131,TODAY(),"M")&lt;63,"Probation",TRUE,"Permanent"))</f>
        <v>Contract 2</v>
      </c>
      <c r="E131" s="9" t="str">
        <f t="shared" ca="1" si="6"/>
        <v>24 Month</v>
      </c>
      <c r="F131" s="9" t="str">
        <f>VLOOKUP(A131, 'Data Employee'!$A$2:$U$1000, 19, FALSE)</f>
        <v>Automotive Engineering</v>
      </c>
      <c r="G131" s="9" t="str">
        <f>VLOOKUP(A131, 'Data Employee'!$A$2:$U$1000, 20, FALSE)</f>
        <v>Manufacturing</v>
      </c>
      <c r="H131" s="9" t="str">
        <f>INDEX('Data Employee'!$W$2:$W$1000, MATCH(A131, 'Data Employee'!$A$2:$A$1000, 0))</f>
        <v>Production Operator</v>
      </c>
      <c r="I131" t="str">
        <f>INDEX('Data Employee'!$V$2:$V$1000,MATCH(A131,'Data Employee'!$A$2:$A$1000,0))</f>
        <v>Operator</v>
      </c>
      <c r="J131" s="18">
        <f>INDEX('Data Employee'!$L$2:$L$1000, MATCH(A131, 'Data Employee'!$A$2:$A$1000, 0))</f>
        <v>45315</v>
      </c>
      <c r="K131" s="19">
        <f>IFERROR(IF(INDEX('Data Employee'!M:M,MATCH(A131,'Data Employee'!A:A,0))="","",INDEX('Data Employee'!M:M,MATCH(A131,'Data Employee'!A:A,0))),"")</f>
        <v>46411</v>
      </c>
      <c r="L131" s="11" t="str">
        <f t="shared" ca="1" si="7"/>
        <v>175 Days</v>
      </c>
      <c r="M131" s="11" t="str">
        <f t="shared" ca="1" si="8"/>
        <v>Active</v>
      </c>
    </row>
    <row r="132" spans="1:13" x14ac:dyDescent="0.35">
      <c r="A132">
        <v>201742971</v>
      </c>
      <c r="B132" t="str">
        <f>INDEX('Data Employee'!$B$2:$B$1000, MATCH(A132, 'Data Employee'!$A$2:$A$1000, 0))</f>
        <v>Rina Santoso</v>
      </c>
      <c r="C132" t="str">
        <f>INDEX('Data Employee'!$G$2:$G$1000,MATCH(A132,'Data Employee'!$A$2:$A$1000,0))</f>
        <v>Female</v>
      </c>
      <c r="D132" s="9" t="str" cm="1">
        <f t="array" aca="1" ref="D132" ca="1">IF(J132="","",_xlfn.IFS(DATEDIF(J132,TODAY(),"M")&lt;12,"Contract 1",DATEDIF(J132,TODAY(),"M")&lt;36,"Contract 2",DATEDIF(J132,TODAY(),"M")&lt;60,"Contract 3",DATEDIF(J132,TODAY(),"M")&lt;63,"Probation",TRUE,"Permanent"))</f>
        <v>Contract 1</v>
      </c>
      <c r="E132" s="9" t="str">
        <f t="shared" ca="1" si="6"/>
        <v>12 Month</v>
      </c>
      <c r="F132" s="9" t="str">
        <f>VLOOKUP(A132, 'Data Employee'!$A$2:$U$1000, 19, FALSE)</f>
        <v>Automotive Engineering</v>
      </c>
      <c r="G132" s="9" t="str">
        <f>VLOOKUP(A132, 'Data Employee'!$A$2:$U$1000, 20, FALSE)</f>
        <v>Manufacturing</v>
      </c>
      <c r="H132" s="9" t="str">
        <f>INDEX('Data Employee'!$W$2:$W$1000, MATCH(A132, 'Data Employee'!$A$2:$A$1000, 0))</f>
        <v>Production Administrator</v>
      </c>
      <c r="I132" t="str">
        <f>INDEX('Data Employee'!$V$2:$V$1000,MATCH(A132,'Data Employee'!$A$2:$A$1000,0))</f>
        <v>Administrator</v>
      </c>
      <c r="J132" s="18">
        <f>INDEX('Data Employee'!$L$2:$L$1000, MATCH(A132, 'Data Employee'!$A$2:$A$1000, 0))</f>
        <v>45893</v>
      </c>
      <c r="K132" s="19">
        <f>IFERROR(IF(INDEX('Data Employee'!M:M,MATCH(A132,'Data Employee'!A:A,0))="","",INDEX('Data Employee'!M:M,MATCH(A132,'Data Employee'!A:A,0))),"")</f>
        <v>46623</v>
      </c>
      <c r="L132" s="11" t="str">
        <f t="shared" ca="1" si="7"/>
        <v>387 Days</v>
      </c>
      <c r="M132" s="11" t="str">
        <f t="shared" ca="1" si="8"/>
        <v>Active</v>
      </c>
    </row>
    <row r="133" spans="1:13" x14ac:dyDescent="0.35">
      <c r="A133">
        <v>201943804</v>
      </c>
      <c r="B133" t="str">
        <f>INDEX('Data Employee'!$B$2:$B$1000, MATCH(A133, 'Data Employee'!$A$2:$A$1000, 0))</f>
        <v>Lina Pangestu</v>
      </c>
      <c r="C133" t="str">
        <f>INDEX('Data Employee'!$G$2:$G$1000,MATCH(A133,'Data Employee'!$A$2:$A$1000,0))</f>
        <v>Female</v>
      </c>
      <c r="D133" s="9" t="str" cm="1">
        <f t="array" aca="1" ref="D133" ca="1">IF(J133="","",_xlfn.IFS(DATEDIF(J133,TODAY(),"M")&lt;12,"Contract 1",DATEDIF(J133,TODAY(),"M")&lt;36,"Contract 2",DATEDIF(J133,TODAY(),"M")&lt;60,"Contract 3",DATEDIF(J133,TODAY(),"M")&lt;63,"Probation",TRUE,"Permanent"))</f>
        <v>Contract 1</v>
      </c>
      <c r="E133" s="9" t="str">
        <f t="shared" ca="1" si="6"/>
        <v>12 Month</v>
      </c>
      <c r="F133" s="9" t="str">
        <f>VLOOKUP(A133, 'Data Employee'!$A$2:$U$1000, 19, FALSE)</f>
        <v>Automotive Engineering</v>
      </c>
      <c r="G133" s="9" t="str">
        <f>VLOOKUP(A133, 'Data Employee'!$A$2:$U$1000, 20, FALSE)</f>
        <v>Manufacturing</v>
      </c>
      <c r="H133" s="9" t="str">
        <f>INDEX('Data Employee'!$W$2:$W$1000, MATCH(A133, 'Data Employee'!$A$2:$A$1000, 0))</f>
        <v>Production Administrator</v>
      </c>
      <c r="I133" t="str">
        <f>INDEX('Data Employee'!$V$2:$V$1000,MATCH(A133,'Data Employee'!$A$2:$A$1000,0))</f>
        <v>Administrator</v>
      </c>
      <c r="J133" s="18">
        <f>INDEX('Data Employee'!$L$2:$L$1000, MATCH(A133, 'Data Employee'!$A$2:$A$1000, 0))</f>
        <v>45996</v>
      </c>
      <c r="K133" s="19">
        <f>IFERROR(IF(INDEX('Data Employee'!M:M,MATCH(A133,'Data Employee'!A:A,0))="","",INDEX('Data Employee'!M:M,MATCH(A133,'Data Employee'!A:A,0))),"")</f>
        <v>46726</v>
      </c>
      <c r="L133" s="11" t="str">
        <f t="shared" ca="1" si="7"/>
        <v>490 Days</v>
      </c>
      <c r="M133" s="11" t="str">
        <f t="shared" ca="1" si="8"/>
        <v>Active</v>
      </c>
    </row>
    <row r="134" spans="1:13" x14ac:dyDescent="0.35">
      <c r="A134">
        <v>201642523</v>
      </c>
      <c r="B134" t="str">
        <f>INDEX('Data Employee'!$B$2:$B$1000, MATCH(A134, 'Data Employee'!$A$2:$A$1000, 0))</f>
        <v>Andi Nugroho</v>
      </c>
      <c r="C134" t="str">
        <f>INDEX('Data Employee'!$G$2:$G$1000,MATCH(A134,'Data Employee'!$A$2:$A$1000,0))</f>
        <v>Male</v>
      </c>
      <c r="D134" s="9" t="str" cm="1">
        <f t="array" aca="1" ref="D134" ca="1">IF(J134="","",_xlfn.IFS(DATEDIF(J134,TODAY(),"M")&lt;12,"Contract 1",DATEDIF(J134,TODAY(),"M")&lt;36,"Contract 2",DATEDIF(J134,TODAY(),"M")&lt;60,"Contract 3",DATEDIF(J134,TODAY(),"M")&lt;63,"Probation",TRUE,"Permanent"))</f>
        <v>Contract 3</v>
      </c>
      <c r="E134" s="9" t="str">
        <f t="shared" ca="1" si="6"/>
        <v>60 Month</v>
      </c>
      <c r="F134" s="9" t="str">
        <f>VLOOKUP(A134, 'Data Employee'!$A$2:$U$1000, 19, FALSE)</f>
        <v>Automotive Engineering</v>
      </c>
      <c r="G134" s="9" t="str">
        <f>VLOOKUP(A134, 'Data Employee'!$A$2:$U$1000, 20, FALSE)</f>
        <v>Manufacturing</v>
      </c>
      <c r="H134" s="9" t="str">
        <f>INDEX('Data Employee'!$W$2:$W$1000, MATCH(A134, 'Data Employee'!$A$2:$A$1000, 0))</f>
        <v>Production Operator</v>
      </c>
      <c r="I134" t="str">
        <f>INDEX('Data Employee'!$V$2:$V$1000,MATCH(A134,'Data Employee'!$A$2:$A$1000,0))</f>
        <v>Operator</v>
      </c>
      <c r="J134" s="18">
        <f>INDEX('Data Employee'!$L$2:$L$1000, MATCH(A134, 'Data Employee'!$A$2:$A$1000, 0))</f>
        <v>45079</v>
      </c>
      <c r="K134" s="19">
        <f>IFERROR(IF(INDEX('Data Employee'!M:M,MATCH(A134,'Data Employee'!A:A,0))="","",INDEX('Data Employee'!M:M,MATCH(A134,'Data Employee'!A:A,0))),"")</f>
        <v>46906</v>
      </c>
      <c r="L134" s="11" t="str">
        <f t="shared" ca="1" si="7"/>
        <v>670 Days</v>
      </c>
      <c r="M134" s="11" t="str">
        <f t="shared" ca="1" si="8"/>
        <v>Active</v>
      </c>
    </row>
    <row r="135" spans="1:13" x14ac:dyDescent="0.35">
      <c r="A135">
        <v>201843269</v>
      </c>
      <c r="B135" t="str">
        <f>INDEX('Data Employee'!$B$2:$B$1000, MATCH(A135, 'Data Employee'!$A$2:$A$1000, 0))</f>
        <v>Lina Santoso</v>
      </c>
      <c r="C135" t="str">
        <f>INDEX('Data Employee'!$G$2:$G$1000,MATCH(A135,'Data Employee'!$A$2:$A$1000,0))</f>
        <v>Female</v>
      </c>
      <c r="D135" s="9" t="str" cm="1">
        <f t="array" aca="1" ref="D135" ca="1">IF(J135="","",_xlfn.IFS(DATEDIF(J135,TODAY(),"M")&lt;12,"Contract 1",DATEDIF(J135,TODAY(),"M")&lt;36,"Contract 2",DATEDIF(J135,TODAY(),"M")&lt;60,"Contract 3",DATEDIF(J135,TODAY(),"M")&lt;63,"Probation",TRUE,"Permanent"))</f>
        <v>Contract 2</v>
      </c>
      <c r="E135" s="9" t="str">
        <f t="shared" ca="1" si="6"/>
        <v>24 Month</v>
      </c>
      <c r="F135" s="9" t="str">
        <f>VLOOKUP(A135, 'Data Employee'!$A$2:$U$1000, 19, FALSE)</f>
        <v>Automotive Engineering</v>
      </c>
      <c r="G135" s="9" t="str">
        <f>VLOOKUP(A135, 'Data Employee'!$A$2:$U$1000, 20, FALSE)</f>
        <v>Manufacturing</v>
      </c>
      <c r="H135" s="9" t="str">
        <f>INDEX('Data Employee'!$W$2:$W$1000, MATCH(A135, 'Data Employee'!$A$2:$A$1000, 0))</f>
        <v>Production Administrator</v>
      </c>
      <c r="I135" t="str">
        <f>INDEX('Data Employee'!$V$2:$V$1000,MATCH(A135,'Data Employee'!$A$2:$A$1000,0))</f>
        <v>Administrator</v>
      </c>
      <c r="J135" s="18">
        <f>INDEX('Data Employee'!$L$2:$L$1000, MATCH(A135, 'Data Employee'!$A$2:$A$1000, 0))</f>
        <v>45826</v>
      </c>
      <c r="K135" s="19">
        <f>IFERROR(IF(INDEX('Data Employee'!M:M,MATCH(A135,'Data Employee'!A:A,0))="","",INDEX('Data Employee'!M:M,MATCH(A135,'Data Employee'!A:A,0))),"")</f>
        <v>46922</v>
      </c>
      <c r="L135" s="11" t="str">
        <f t="shared" ca="1" si="7"/>
        <v>686 Days</v>
      </c>
      <c r="M135" s="11" t="str">
        <f t="shared" ca="1" si="8"/>
        <v>Active</v>
      </c>
    </row>
    <row r="136" spans="1:13" x14ac:dyDescent="0.35">
      <c r="A136">
        <v>201943608</v>
      </c>
      <c r="B136" t="str">
        <f>INDEX('Data Employee'!$B$2:$B$1000, MATCH(A136, 'Data Employee'!$A$2:$A$1000, 0))</f>
        <v>Indah Permata</v>
      </c>
      <c r="C136" t="str">
        <f>INDEX('Data Employee'!$G$2:$G$1000,MATCH(A136,'Data Employee'!$A$2:$A$1000,0))</f>
        <v>Female</v>
      </c>
      <c r="D136" s="9" t="str" cm="1">
        <f t="array" aca="1" ref="D136" ca="1">IF(J136="","",_xlfn.IFS(DATEDIF(J136,TODAY(),"M")&lt;12,"Contract 1",DATEDIF(J136,TODAY(),"M")&lt;36,"Contract 2",DATEDIF(J136,TODAY(),"M")&lt;60,"Contract 3",DATEDIF(J136,TODAY(),"M")&lt;63,"Probation",TRUE,"Permanent"))</f>
        <v>Contract 2</v>
      </c>
      <c r="E136" s="9" t="str">
        <f t="shared" ca="1" si="6"/>
        <v>24 Month</v>
      </c>
      <c r="F136" s="9" t="str">
        <f>VLOOKUP(A136, 'Data Employee'!$A$2:$U$1000, 19, FALSE)</f>
        <v>Automotive Engineering</v>
      </c>
      <c r="G136" s="9" t="str">
        <f>VLOOKUP(A136, 'Data Employee'!$A$2:$U$1000, 20, FALSE)</f>
        <v>Manufacturing</v>
      </c>
      <c r="H136" s="9" t="str">
        <f>INDEX('Data Employee'!$W$2:$W$1000, MATCH(A136, 'Data Employee'!$A$2:$A$1000, 0))</f>
        <v>Production Administrator</v>
      </c>
      <c r="I136" t="str">
        <f>INDEX('Data Employee'!$V$2:$V$1000,MATCH(A136,'Data Employee'!$A$2:$A$1000,0))</f>
        <v>Administrator</v>
      </c>
      <c r="J136" s="18">
        <f>INDEX('Data Employee'!$L$2:$L$1000, MATCH(A136, 'Data Employee'!$A$2:$A$1000, 0))</f>
        <v>45800</v>
      </c>
      <c r="K136" s="19">
        <f>IFERROR(IF(INDEX('Data Employee'!M:M,MATCH(A136,'Data Employee'!A:A,0))="","",INDEX('Data Employee'!M:M,MATCH(A136,'Data Employee'!A:A,0))),"")</f>
        <v>46896</v>
      </c>
      <c r="L136" s="11" t="str">
        <f t="shared" ca="1" si="7"/>
        <v>660 Days</v>
      </c>
      <c r="M136" s="11" t="str">
        <f t="shared" ca="1" si="8"/>
        <v>Active</v>
      </c>
    </row>
    <row r="137" spans="1:13" x14ac:dyDescent="0.35">
      <c r="A137">
        <v>202545907</v>
      </c>
      <c r="B137" t="str">
        <f>INDEX('Data Employee'!$B$2:$B$1000, MATCH(A137, 'Data Employee'!$A$2:$A$1000, 0))</f>
        <v>Dewi Santoso</v>
      </c>
      <c r="C137" t="str">
        <f>INDEX('Data Employee'!$G$2:$G$1000,MATCH(A137,'Data Employee'!$A$2:$A$1000,0))</f>
        <v>Female</v>
      </c>
      <c r="D137" s="9" t="str" cm="1">
        <f t="array" aca="1" ref="D137" ca="1">IF(J137="","",_xlfn.IFS(DATEDIF(J137,TODAY(),"M")&lt;12,"Contract 1",DATEDIF(J137,TODAY(),"M")&lt;36,"Contract 2",DATEDIF(J137,TODAY(),"M")&lt;60,"Contract 3",DATEDIF(J137,TODAY(),"M")&lt;63,"Probation",TRUE,"Permanent"))</f>
        <v>Contract 1</v>
      </c>
      <c r="E137" s="9" t="str">
        <f t="shared" ca="1" si="6"/>
        <v>12 Month</v>
      </c>
      <c r="F137" s="9" t="str">
        <f>VLOOKUP(A137, 'Data Employee'!$A$2:$U$1000, 19, FALSE)</f>
        <v>Automotive Engineering</v>
      </c>
      <c r="G137" s="9" t="str">
        <f>VLOOKUP(A137, 'Data Employee'!$A$2:$U$1000, 20, FALSE)</f>
        <v>Manufacturing</v>
      </c>
      <c r="H137" s="9" t="str">
        <f>INDEX('Data Employee'!$W$2:$W$1000, MATCH(A137, 'Data Employee'!$A$2:$A$1000, 0))</f>
        <v>Production Administrator</v>
      </c>
      <c r="I137" t="str">
        <f>INDEX('Data Employee'!$V$2:$V$1000,MATCH(A137,'Data Employee'!$A$2:$A$1000,0))</f>
        <v>Administrator</v>
      </c>
      <c r="J137" s="18">
        <f>INDEX('Data Employee'!$L$2:$L$1000, MATCH(A137, 'Data Employee'!$A$2:$A$1000, 0))</f>
        <v>45907</v>
      </c>
      <c r="K137" s="19">
        <f>IFERROR(IF(INDEX('Data Employee'!M:M,MATCH(A137,'Data Employee'!A:A,0))="","",INDEX('Data Employee'!M:M,MATCH(A137,'Data Employee'!A:A,0))),"")</f>
        <v>46637</v>
      </c>
      <c r="L137" s="11" t="str">
        <f t="shared" ca="1" si="7"/>
        <v>401 Days</v>
      </c>
      <c r="M137" s="11" t="str">
        <f t="shared" ca="1" si="8"/>
        <v>Active</v>
      </c>
    </row>
    <row r="138" spans="1:13" x14ac:dyDescent="0.35">
      <c r="A138">
        <v>201642392</v>
      </c>
      <c r="B138" t="str">
        <f>INDEX('Data Employee'!$B$2:$B$1000, MATCH(A138, 'Data Employee'!$A$2:$A$1000, 0))</f>
        <v>Fajar Saputra</v>
      </c>
      <c r="C138" t="str">
        <f>INDEX('Data Employee'!$G$2:$G$1000,MATCH(A138,'Data Employee'!$A$2:$A$1000,0))</f>
        <v>Male</v>
      </c>
      <c r="D138" s="9" t="str" cm="1">
        <f t="array" aca="1" ref="D138" ca="1">IF(J138="","",_xlfn.IFS(DATEDIF(J138,TODAY(),"M")&lt;12,"Contract 1",DATEDIF(J138,TODAY(),"M")&lt;36,"Contract 2",DATEDIF(J138,TODAY(),"M")&lt;60,"Contract 3",DATEDIF(J138,TODAY(),"M")&lt;63,"Probation",TRUE,"Permanent"))</f>
        <v>Contract 3</v>
      </c>
      <c r="E138" s="9" t="str">
        <f t="shared" ca="1" si="6"/>
        <v>60 Month</v>
      </c>
      <c r="F138" s="9" t="str">
        <f>VLOOKUP(A138, 'Data Employee'!$A$2:$U$1000, 19, FALSE)</f>
        <v>Automotive Engineering</v>
      </c>
      <c r="G138" s="9" t="str">
        <f>VLOOKUP(A138, 'Data Employee'!$A$2:$U$1000, 20, FALSE)</f>
        <v>Manufacturing</v>
      </c>
      <c r="H138" s="9" t="str">
        <f>INDEX('Data Employee'!$W$2:$W$1000, MATCH(A138, 'Data Employee'!$A$2:$A$1000, 0))</f>
        <v>Production Operator</v>
      </c>
      <c r="I138" t="str">
        <f>INDEX('Data Employee'!$V$2:$V$1000,MATCH(A138,'Data Employee'!$A$2:$A$1000,0))</f>
        <v>Operator</v>
      </c>
      <c r="J138" s="18">
        <f>INDEX('Data Employee'!$L$2:$L$1000, MATCH(A138, 'Data Employee'!$A$2:$A$1000, 0))</f>
        <v>44949</v>
      </c>
      <c r="K138" s="19">
        <f>IFERROR(IF(INDEX('Data Employee'!M:M,MATCH(A138,'Data Employee'!A:A,0))="","",INDEX('Data Employee'!M:M,MATCH(A138,'Data Employee'!A:A,0))),"")</f>
        <v>46775</v>
      </c>
      <c r="L138" s="11" t="str">
        <f t="shared" ca="1" si="7"/>
        <v>539 Days</v>
      </c>
      <c r="M138" s="11" t="str">
        <f t="shared" ca="1" si="8"/>
        <v>Active</v>
      </c>
    </row>
    <row r="139" spans="1:13" x14ac:dyDescent="0.35">
      <c r="A139">
        <v>202044160</v>
      </c>
      <c r="B139" t="str">
        <f>INDEX('Data Employee'!$B$2:$B$1000, MATCH(A139, 'Data Employee'!$A$2:$A$1000, 0))</f>
        <v>Dewi Lestari</v>
      </c>
      <c r="C139" t="str">
        <f>INDEX('Data Employee'!$G$2:$G$1000,MATCH(A139,'Data Employee'!$A$2:$A$1000,0))</f>
        <v>Female</v>
      </c>
      <c r="D139" s="9" t="str" cm="1">
        <f t="array" aca="1" ref="D139" ca="1">IF(J139="","",_xlfn.IFS(DATEDIF(J139,TODAY(),"M")&lt;12,"Contract 1",DATEDIF(J139,TODAY(),"M")&lt;36,"Contract 2",DATEDIF(J139,TODAY(),"M")&lt;60,"Contract 3",DATEDIF(J139,TODAY(),"M")&lt;63,"Probation",TRUE,"Permanent"))</f>
        <v>Contract 1</v>
      </c>
      <c r="E139" s="9" t="str">
        <f t="shared" ca="1" si="6"/>
        <v>12 Month</v>
      </c>
      <c r="F139" s="9" t="str">
        <f>VLOOKUP(A139, 'Data Employee'!$A$2:$U$1000, 19, FALSE)</f>
        <v>Electrical Engineering</v>
      </c>
      <c r="G139" s="9" t="str">
        <f>VLOOKUP(A139, 'Data Employee'!$A$2:$U$1000, 20, FALSE)</f>
        <v>Manufacturing</v>
      </c>
      <c r="H139" s="9" t="str">
        <f>INDEX('Data Employee'!$W$2:$W$1000, MATCH(A139, 'Data Employee'!$A$2:$A$1000, 0))</f>
        <v>Production Administrator</v>
      </c>
      <c r="I139" t="str">
        <f>INDEX('Data Employee'!$V$2:$V$1000,MATCH(A139,'Data Employee'!$A$2:$A$1000,0))</f>
        <v>Administrator</v>
      </c>
      <c r="J139" s="18">
        <f>INDEX('Data Employee'!$L$2:$L$1000, MATCH(A139, 'Data Employee'!$A$2:$A$1000, 0))</f>
        <v>45986</v>
      </c>
      <c r="K139" s="19">
        <f>IFERROR(IF(INDEX('Data Employee'!M:M,MATCH(A139,'Data Employee'!A:A,0))="","",INDEX('Data Employee'!M:M,MATCH(A139,'Data Employee'!A:A,0))),"")</f>
        <v>46351</v>
      </c>
      <c r="L139" s="11" t="str">
        <f t="shared" ca="1" si="7"/>
        <v>115 Days</v>
      </c>
      <c r="M139" s="11" t="str">
        <f t="shared" ca="1" si="8"/>
        <v>Active</v>
      </c>
    </row>
    <row r="140" spans="1:13" x14ac:dyDescent="0.35">
      <c r="A140">
        <v>202144405</v>
      </c>
      <c r="B140" t="str">
        <f>INDEX('Data Employee'!$B$2:$B$1000, MATCH(A140, 'Data Employee'!$A$2:$A$1000, 0))</f>
        <v>Fajar Pratama</v>
      </c>
      <c r="C140" t="str">
        <f>INDEX('Data Employee'!$G$2:$G$1000,MATCH(A140,'Data Employee'!$A$2:$A$1000,0))</f>
        <v>Male</v>
      </c>
      <c r="D140" s="9" t="str" cm="1">
        <f t="array" aca="1" ref="D140" ca="1">IF(J140="","",_xlfn.IFS(DATEDIF(J140,TODAY(),"M")&lt;12,"Contract 1",DATEDIF(J140,TODAY(),"M")&lt;36,"Contract 2",DATEDIF(J140,TODAY(),"M")&lt;60,"Contract 3",DATEDIF(J140,TODAY(),"M")&lt;63,"Probation",TRUE,"Permanent"))</f>
        <v>Contract 2</v>
      </c>
      <c r="E140" s="9" t="str">
        <f t="shared" ca="1" si="6"/>
        <v>24 Month</v>
      </c>
      <c r="F140" s="9" t="str">
        <f>VLOOKUP(A140, 'Data Employee'!$A$2:$U$1000, 19, FALSE)</f>
        <v>Automotive Engineering</v>
      </c>
      <c r="G140" s="9" t="str">
        <f>VLOOKUP(A140, 'Data Employee'!$A$2:$U$1000, 20, FALSE)</f>
        <v>Manufacturing</v>
      </c>
      <c r="H140" s="9" t="str">
        <f>INDEX('Data Employee'!$W$2:$W$1000, MATCH(A140, 'Data Employee'!$A$2:$A$1000, 0))</f>
        <v>Production Operator</v>
      </c>
      <c r="I140" t="str">
        <f>INDEX('Data Employee'!$V$2:$V$1000,MATCH(A140,'Data Employee'!$A$2:$A$1000,0))</f>
        <v>Operator</v>
      </c>
      <c r="J140" s="18">
        <f>INDEX('Data Employee'!$L$2:$L$1000, MATCH(A140, 'Data Employee'!$A$2:$A$1000, 0))</f>
        <v>45866</v>
      </c>
      <c r="K140" s="19">
        <f>IFERROR(IF(INDEX('Data Employee'!M:M,MATCH(A140,'Data Employee'!A:A,0))="","",INDEX('Data Employee'!M:M,MATCH(A140,'Data Employee'!A:A,0))),"")</f>
        <v>46596</v>
      </c>
      <c r="L140" s="11" t="str">
        <f t="shared" ca="1" si="7"/>
        <v>360 Days</v>
      </c>
      <c r="M140" s="11" t="str">
        <f t="shared" ca="1" si="8"/>
        <v>Active</v>
      </c>
    </row>
    <row r="141" spans="1:13" x14ac:dyDescent="0.35">
      <c r="A141">
        <v>201742763</v>
      </c>
      <c r="B141" t="str">
        <f>INDEX('Data Employee'!$B$2:$B$1000, MATCH(A141, 'Data Employee'!$A$2:$A$1000, 0))</f>
        <v>Putri Saputra</v>
      </c>
      <c r="C141" t="str">
        <f>INDEX('Data Employee'!$G$2:$G$1000,MATCH(A141,'Data Employee'!$A$2:$A$1000,0))</f>
        <v>Female</v>
      </c>
      <c r="D141" s="9" t="str" cm="1">
        <f t="array" aca="1" ref="D141" ca="1">IF(J141="","",_xlfn.IFS(DATEDIF(J141,TODAY(),"M")&lt;12,"Contract 1",DATEDIF(J141,TODAY(),"M")&lt;36,"Contract 2",DATEDIF(J141,TODAY(),"M")&lt;60,"Contract 3",DATEDIF(J141,TODAY(),"M")&lt;63,"Probation",TRUE,"Permanent"))</f>
        <v>Contract 2</v>
      </c>
      <c r="E141" s="9" t="str">
        <f t="shared" ca="1" si="6"/>
        <v>24 Month</v>
      </c>
      <c r="F141" s="9" t="str">
        <f>VLOOKUP(A141, 'Data Employee'!$A$2:$U$1000, 19, FALSE)</f>
        <v>Electrical Engineering</v>
      </c>
      <c r="G141" s="9" t="str">
        <f>VLOOKUP(A141, 'Data Employee'!$A$2:$U$1000, 20, FALSE)</f>
        <v>Manufacturing</v>
      </c>
      <c r="H141" s="9" t="str">
        <f>INDEX('Data Employee'!$W$2:$W$1000, MATCH(A141, 'Data Employee'!$A$2:$A$1000, 0))</f>
        <v>Production Administrator</v>
      </c>
      <c r="I141" t="str">
        <f>INDEX('Data Employee'!$V$2:$V$1000,MATCH(A141,'Data Employee'!$A$2:$A$1000,0))</f>
        <v>Administrator</v>
      </c>
      <c r="J141" s="18">
        <f>INDEX('Data Employee'!$L$2:$L$1000, MATCH(A141, 'Data Employee'!$A$2:$A$1000, 0))</f>
        <v>45685</v>
      </c>
      <c r="K141" s="19">
        <f>IFERROR(IF(INDEX('Data Employee'!M:M,MATCH(A141,'Data Employee'!A:A,0))="","",INDEX('Data Employee'!M:M,MATCH(A141,'Data Employee'!A:A,0))),"")</f>
        <v>46415</v>
      </c>
      <c r="L141" s="11" t="str">
        <f t="shared" ca="1" si="7"/>
        <v>179 Days</v>
      </c>
      <c r="M141" s="11" t="str">
        <f t="shared" ca="1" si="8"/>
        <v>Active</v>
      </c>
    </row>
    <row r="142" spans="1:13" x14ac:dyDescent="0.35">
      <c r="A142">
        <v>202345000</v>
      </c>
      <c r="B142" t="str">
        <f>INDEX('Data Employee'!$B$2:$B$1000, MATCH(A142, 'Data Employee'!$A$2:$A$1000, 0))</f>
        <v>Siti Santoso</v>
      </c>
      <c r="C142" t="str">
        <f>INDEX('Data Employee'!$G$2:$G$1000,MATCH(A142,'Data Employee'!$A$2:$A$1000,0))</f>
        <v>Female</v>
      </c>
      <c r="D142" s="9" t="str" cm="1">
        <f t="array" aca="1" ref="D142" ca="1">IF(J142="","",_xlfn.IFS(DATEDIF(J142,TODAY(),"M")&lt;12,"Contract 1",DATEDIF(J142,TODAY(),"M")&lt;36,"Contract 2",DATEDIF(J142,TODAY(),"M")&lt;60,"Contract 3",DATEDIF(J142,TODAY(),"M")&lt;63,"Probation",TRUE,"Permanent"))</f>
        <v>Contract 2</v>
      </c>
      <c r="E142" s="9" t="str">
        <f t="shared" ca="1" si="6"/>
        <v>24 Month</v>
      </c>
      <c r="F142" s="9" t="str">
        <f>VLOOKUP(A142, 'Data Employee'!$A$2:$U$1000, 19, FALSE)</f>
        <v>Electrical Engineering</v>
      </c>
      <c r="G142" s="9" t="str">
        <f>VLOOKUP(A142, 'Data Employee'!$A$2:$U$1000, 20, FALSE)</f>
        <v>Manufacturing</v>
      </c>
      <c r="H142" s="9" t="str">
        <f>INDEX('Data Employee'!$W$2:$W$1000, MATCH(A142, 'Data Employee'!$A$2:$A$1000, 0))</f>
        <v>Production Administrator</v>
      </c>
      <c r="I142" t="str">
        <f>INDEX('Data Employee'!$V$2:$V$1000,MATCH(A142,'Data Employee'!$A$2:$A$1000,0))</f>
        <v>Administrator</v>
      </c>
      <c r="J142" s="18">
        <f>INDEX('Data Employee'!$L$2:$L$1000, MATCH(A142, 'Data Employee'!$A$2:$A$1000, 0))</f>
        <v>45366</v>
      </c>
      <c r="K142" s="19">
        <f>IFERROR(IF(INDEX('Data Employee'!M:M,MATCH(A142,'Data Employee'!A:A,0))="","",INDEX('Data Employee'!M:M,MATCH(A142,'Data Employee'!A:A,0))),"")</f>
        <v>47192</v>
      </c>
      <c r="L142" s="11" t="str">
        <f t="shared" ca="1" si="7"/>
        <v>956 Days</v>
      </c>
      <c r="M142" s="11" t="str">
        <f t="shared" ca="1" si="8"/>
        <v>Active</v>
      </c>
    </row>
    <row r="143" spans="1:13" x14ac:dyDescent="0.35">
      <c r="A143">
        <v>202044150</v>
      </c>
      <c r="B143" t="str">
        <f>INDEX('Data Employee'!$B$2:$B$1000, MATCH(A143, 'Data Employee'!$A$2:$A$1000, 0))</f>
        <v>Dewi Nugroho</v>
      </c>
      <c r="C143" t="str">
        <f>INDEX('Data Employee'!$G$2:$G$1000,MATCH(A143,'Data Employee'!$A$2:$A$1000,0))</f>
        <v>Female</v>
      </c>
      <c r="D143" s="9" t="str" cm="1">
        <f t="array" aca="1" ref="D143" ca="1">IF(J143="","",_xlfn.IFS(DATEDIF(J143,TODAY(),"M")&lt;12,"Contract 1",DATEDIF(J143,TODAY(),"M")&lt;36,"Contract 2",DATEDIF(J143,TODAY(),"M")&lt;60,"Contract 3",DATEDIF(J143,TODAY(),"M")&lt;63,"Probation",TRUE,"Permanent"))</f>
        <v>Contract 1</v>
      </c>
      <c r="E143" s="9" t="str">
        <f t="shared" ca="1" si="6"/>
        <v>12 Month</v>
      </c>
      <c r="F143" s="9" t="str">
        <f>VLOOKUP(A143, 'Data Employee'!$A$2:$U$1000, 19, FALSE)</f>
        <v>Electrical Engineering</v>
      </c>
      <c r="G143" s="9" t="str">
        <f>VLOOKUP(A143, 'Data Employee'!$A$2:$U$1000, 20, FALSE)</f>
        <v>Manufacturing</v>
      </c>
      <c r="H143" s="9" t="str">
        <f>INDEX('Data Employee'!$W$2:$W$1000, MATCH(A143, 'Data Employee'!$A$2:$A$1000, 0))</f>
        <v>Production Administrator</v>
      </c>
      <c r="I143" t="str">
        <f>INDEX('Data Employee'!$V$2:$V$1000,MATCH(A143,'Data Employee'!$A$2:$A$1000,0))</f>
        <v>Administrator</v>
      </c>
      <c r="J143" s="18">
        <f>INDEX('Data Employee'!$L$2:$L$1000, MATCH(A143, 'Data Employee'!$A$2:$A$1000, 0))</f>
        <v>45976</v>
      </c>
      <c r="K143" s="19">
        <f>IFERROR(IF(INDEX('Data Employee'!M:M,MATCH(A143,'Data Employee'!A:A,0))="","",INDEX('Data Employee'!M:M,MATCH(A143,'Data Employee'!A:A,0))),"")</f>
        <v>47802</v>
      </c>
      <c r="L143" s="11" t="str">
        <f t="shared" ca="1" si="7"/>
        <v>1566 Days</v>
      </c>
      <c r="M143" s="11" t="str">
        <f t="shared" ca="1" si="8"/>
        <v>Active</v>
      </c>
    </row>
    <row r="144" spans="1:13" x14ac:dyDescent="0.35">
      <c r="A144">
        <v>201843460</v>
      </c>
      <c r="B144" t="str">
        <f>INDEX('Data Employee'!$B$2:$B$1000, MATCH(A144, 'Data Employee'!$A$2:$A$1000, 0))</f>
        <v>Farhan Kusuma</v>
      </c>
      <c r="C144" t="str">
        <f>INDEX('Data Employee'!$G$2:$G$1000,MATCH(A144,'Data Employee'!$A$2:$A$1000,0))</f>
        <v>Male</v>
      </c>
      <c r="D144" s="9" t="str" cm="1">
        <f t="array" aca="1" ref="D144" ca="1">IF(J144="","",_xlfn.IFS(DATEDIF(J144,TODAY(),"M")&lt;12,"Contract 1",DATEDIF(J144,TODAY(),"M")&lt;36,"Contract 2",DATEDIF(J144,TODAY(),"M")&lt;60,"Contract 3",DATEDIF(J144,TODAY(),"M")&lt;63,"Probation",TRUE,"Permanent"))</f>
        <v>Contract 2</v>
      </c>
      <c r="E144" s="9" t="str">
        <f t="shared" ca="1" si="6"/>
        <v>24 Month</v>
      </c>
      <c r="F144" s="9" t="str">
        <f>VLOOKUP(A144, 'Data Employee'!$A$2:$U$1000, 19, FALSE)</f>
        <v>Automotive Engineering</v>
      </c>
      <c r="G144" s="9" t="str">
        <f>VLOOKUP(A144, 'Data Employee'!$A$2:$U$1000, 20, FALSE)</f>
        <v>Manufacturing</v>
      </c>
      <c r="H144" s="9" t="str">
        <f>INDEX('Data Employee'!$W$2:$W$1000, MATCH(A144, 'Data Employee'!$A$2:$A$1000, 0))</f>
        <v>Production Operator</v>
      </c>
      <c r="I144" t="str">
        <f>INDEX('Data Employee'!$V$2:$V$1000,MATCH(A144,'Data Employee'!$A$2:$A$1000,0))</f>
        <v>Operator</v>
      </c>
      <c r="J144" s="18">
        <f>INDEX('Data Employee'!$L$2:$L$1000, MATCH(A144, 'Data Employee'!$A$2:$A$1000, 0))</f>
        <v>45286</v>
      </c>
      <c r="K144" s="19">
        <f>IFERROR(IF(INDEX('Data Employee'!M:M,MATCH(A144,'Data Employee'!A:A,0))="","",INDEX('Data Employee'!M:M,MATCH(A144,'Data Employee'!A:A,0))),"")</f>
        <v>47113</v>
      </c>
      <c r="L144" s="11" t="str">
        <f t="shared" ca="1" si="7"/>
        <v>877 Days</v>
      </c>
      <c r="M144" s="11" t="str">
        <f t="shared" ca="1" si="8"/>
        <v>Active</v>
      </c>
    </row>
    <row r="145" spans="1:13" x14ac:dyDescent="0.35">
      <c r="A145">
        <v>201441771</v>
      </c>
      <c r="B145" t="str">
        <f>INDEX('Data Employee'!$B$2:$B$1000, MATCH(A145, 'Data Employee'!$A$2:$A$1000, 0))</f>
        <v>Nadia Nugroho</v>
      </c>
      <c r="C145" t="str">
        <f>INDEX('Data Employee'!$G$2:$G$1000,MATCH(A145,'Data Employee'!$A$2:$A$1000,0))</f>
        <v>Female</v>
      </c>
      <c r="D145" s="9" t="str" cm="1">
        <f t="array" aca="1" ref="D145" ca="1">IF(J145="","",_xlfn.IFS(DATEDIF(J145,TODAY(),"M")&lt;12,"Contract 1",DATEDIF(J145,TODAY(),"M")&lt;36,"Contract 2",DATEDIF(J145,TODAY(),"M")&lt;60,"Contract 3",DATEDIF(J145,TODAY(),"M")&lt;63,"Probation",TRUE,"Permanent"))</f>
        <v>Contract 1</v>
      </c>
      <c r="E145" s="9" t="str">
        <f t="shared" ca="1" si="6"/>
        <v>12 Month</v>
      </c>
      <c r="F145" s="9" t="str">
        <f>VLOOKUP(A145, 'Data Employee'!$A$2:$U$1000, 19, FALSE)</f>
        <v>Electrical Engineering</v>
      </c>
      <c r="G145" s="9" t="str">
        <f>VLOOKUP(A145, 'Data Employee'!$A$2:$U$1000, 20, FALSE)</f>
        <v>Manufacturing</v>
      </c>
      <c r="H145" s="9" t="str">
        <f>INDEX('Data Employee'!$W$2:$W$1000, MATCH(A145, 'Data Employee'!$A$2:$A$1000, 0))</f>
        <v>Production Administrator</v>
      </c>
      <c r="I145" t="str">
        <f>INDEX('Data Employee'!$V$2:$V$1000,MATCH(A145,'Data Employee'!$A$2:$A$1000,0))</f>
        <v>Administrator</v>
      </c>
      <c r="J145" s="18">
        <f>INDEX('Data Employee'!$L$2:$L$1000, MATCH(A145, 'Data Employee'!$A$2:$A$1000, 0))</f>
        <v>46154</v>
      </c>
      <c r="K145" s="19">
        <f>IFERROR(IF(INDEX('Data Employee'!M:M,MATCH(A145,'Data Employee'!A:A,0))="","",INDEX('Data Employee'!M:M,MATCH(A145,'Data Employee'!A:A,0))),"")</f>
        <v>46519</v>
      </c>
      <c r="L145" s="11" t="str">
        <f t="shared" ca="1" si="7"/>
        <v>283 Days</v>
      </c>
      <c r="M145" s="11" t="str">
        <f t="shared" ca="1" si="8"/>
        <v>Active</v>
      </c>
    </row>
    <row r="146" spans="1:13" x14ac:dyDescent="0.35">
      <c r="A146">
        <v>201943691</v>
      </c>
      <c r="B146" t="str">
        <f>INDEX('Data Employee'!$B$2:$B$1000, MATCH(A146, 'Data Employee'!$A$2:$A$1000, 0))</f>
        <v>Nadia Maulana</v>
      </c>
      <c r="C146" t="str">
        <f>INDEX('Data Employee'!$G$2:$G$1000,MATCH(A146,'Data Employee'!$A$2:$A$1000,0))</f>
        <v>Female</v>
      </c>
      <c r="D146" s="9" t="str" cm="1">
        <f t="array" aca="1" ref="D146" ca="1">IF(J146="","",_xlfn.IFS(DATEDIF(J146,TODAY(),"M")&lt;12,"Contract 1",DATEDIF(J146,TODAY(),"M")&lt;36,"Contract 2",DATEDIF(J146,TODAY(),"M")&lt;60,"Contract 3",DATEDIF(J146,TODAY(),"M")&lt;63,"Probation",TRUE,"Permanent"))</f>
        <v>Contract 1</v>
      </c>
      <c r="E146" s="9" t="str">
        <f t="shared" ca="1" si="6"/>
        <v>12 Month</v>
      </c>
      <c r="F146" s="9" t="str">
        <f>VLOOKUP(A146, 'Data Employee'!$A$2:$U$1000, 19, FALSE)</f>
        <v>Electrical Engineering</v>
      </c>
      <c r="G146" s="9" t="str">
        <f>VLOOKUP(A146, 'Data Employee'!$A$2:$U$1000, 20, FALSE)</f>
        <v>Manufacturing</v>
      </c>
      <c r="H146" s="9" t="str">
        <f>INDEX('Data Employee'!$W$2:$W$1000, MATCH(A146, 'Data Employee'!$A$2:$A$1000, 0))</f>
        <v>Production Administrator</v>
      </c>
      <c r="I146" t="str">
        <f>INDEX('Data Employee'!$V$2:$V$1000,MATCH(A146,'Data Employee'!$A$2:$A$1000,0))</f>
        <v>Administrator</v>
      </c>
      <c r="J146" s="18">
        <f>INDEX('Data Employee'!$L$2:$L$1000, MATCH(A146, 'Data Employee'!$A$2:$A$1000, 0))</f>
        <v>45883</v>
      </c>
      <c r="K146" s="19">
        <f>IFERROR(IF(INDEX('Data Employee'!M:M,MATCH(A146,'Data Employee'!A:A,0))="","",INDEX('Data Employee'!M:M,MATCH(A146,'Data Employee'!A:A,0))),"")</f>
        <v>46613</v>
      </c>
      <c r="L146" s="11" t="str">
        <f t="shared" ca="1" si="7"/>
        <v>377 Days</v>
      </c>
      <c r="M146" s="11" t="str">
        <f t="shared" ca="1" si="8"/>
        <v>Active</v>
      </c>
    </row>
    <row r="147" spans="1:13" x14ac:dyDescent="0.35">
      <c r="A147">
        <v>201642522</v>
      </c>
      <c r="B147" t="str">
        <f>INDEX('Data Employee'!$B$2:$B$1000, MATCH(A147, 'Data Employee'!$A$2:$A$1000, 0))</f>
        <v>Lina Kurniawan</v>
      </c>
      <c r="C147" t="str">
        <f>INDEX('Data Employee'!$G$2:$G$1000,MATCH(A147,'Data Employee'!$A$2:$A$1000,0))</f>
        <v>Male</v>
      </c>
      <c r="D147" s="9" t="str" cm="1">
        <f t="array" aca="1" ref="D147" ca="1">IF(J147="","",_xlfn.IFS(DATEDIF(J147,TODAY(),"M")&lt;12,"Contract 1",DATEDIF(J147,TODAY(),"M")&lt;36,"Contract 2",DATEDIF(J147,TODAY(),"M")&lt;60,"Contract 3",DATEDIF(J147,TODAY(),"M")&lt;63,"Probation",TRUE,"Permanent"))</f>
        <v>Permanent</v>
      </c>
      <c r="E147" s="9" t="str">
        <f t="shared" ca="1" si="6"/>
        <v>Permanent</v>
      </c>
      <c r="F147" s="9" t="str">
        <f>VLOOKUP(A147, 'Data Employee'!$A$2:$U$1000, 19, FALSE)</f>
        <v>Information Systems</v>
      </c>
      <c r="G147" s="9" t="str">
        <f>VLOOKUP(A147, 'Data Employee'!$A$2:$U$1000, 20, FALSE)</f>
        <v>Information Technology</v>
      </c>
      <c r="H147" s="9" t="str">
        <f>INDEX('Data Employee'!$W$2:$W$1000, MATCH(A147, 'Data Employee'!$A$2:$A$1000, 0))</f>
        <v>UI / UX Design</v>
      </c>
      <c r="I147" t="str">
        <f>INDEX('Data Employee'!$V$2:$V$1000,MATCH(A147,'Data Employee'!$A$2:$A$1000,0))</f>
        <v>Senior Professional / Engineer / Analyst</v>
      </c>
      <c r="J147" s="18">
        <f>INDEX('Data Employee'!$L$2:$L$1000, MATCH(A147, 'Data Employee'!$A$2:$A$1000, 0))</f>
        <v>42522</v>
      </c>
      <c r="K147" s="19" t="str">
        <f>IFERROR(IF(INDEX('Data Employee'!M:M,MATCH(A147,'Data Employee'!A:A,0))="","",INDEX('Data Employee'!M:M,MATCH(A147,'Data Employee'!A:A,0))),"")</f>
        <v/>
      </c>
      <c r="L147" s="11" t="str">
        <f t="shared" ca="1" si="7"/>
        <v/>
      </c>
      <c r="M147" s="11" t="str">
        <f t="shared" ca="1" si="8"/>
        <v>Active</v>
      </c>
    </row>
    <row r="148" spans="1:13" x14ac:dyDescent="0.35">
      <c r="A148">
        <v>201943641</v>
      </c>
      <c r="B148" t="str">
        <f>INDEX('Data Employee'!$B$2:$B$1000, MATCH(A148, 'Data Employee'!$A$2:$A$1000, 0))</f>
        <v>Dewi Hidayat</v>
      </c>
      <c r="C148" t="str">
        <f>INDEX('Data Employee'!$G$2:$G$1000,MATCH(A148,'Data Employee'!$A$2:$A$1000,0))</f>
        <v>Female</v>
      </c>
      <c r="D148" s="9" t="str" cm="1">
        <f t="array" aca="1" ref="D148" ca="1">IF(J148="","",_xlfn.IFS(DATEDIF(J148,TODAY(),"M")&lt;12,"Contract 1",DATEDIF(J148,TODAY(),"M")&lt;36,"Contract 2",DATEDIF(J148,TODAY(),"M")&lt;60,"Contract 3",DATEDIF(J148,TODAY(),"M")&lt;63,"Probation",TRUE,"Permanent"))</f>
        <v>Contract 2</v>
      </c>
      <c r="E148" s="9" t="str">
        <f t="shared" ca="1" si="6"/>
        <v>24 Month</v>
      </c>
      <c r="F148" s="9" t="str">
        <f>VLOOKUP(A148, 'Data Employee'!$A$2:$U$1000, 19, FALSE)</f>
        <v>Electrical Engineering</v>
      </c>
      <c r="G148" s="9" t="str">
        <f>VLOOKUP(A148, 'Data Employee'!$A$2:$U$1000, 20, FALSE)</f>
        <v>Manufacturing</v>
      </c>
      <c r="H148" s="9" t="str">
        <f>INDEX('Data Employee'!$W$2:$W$1000, MATCH(A148, 'Data Employee'!$A$2:$A$1000, 0))</f>
        <v>Production Administrator</v>
      </c>
      <c r="I148" t="str">
        <f>INDEX('Data Employee'!$V$2:$V$1000,MATCH(A148,'Data Employee'!$A$2:$A$1000,0))</f>
        <v>Administrator</v>
      </c>
      <c r="J148" s="18">
        <f>INDEX('Data Employee'!$L$2:$L$1000, MATCH(A148, 'Data Employee'!$A$2:$A$1000, 0))</f>
        <v>45833</v>
      </c>
      <c r="K148" s="19">
        <f>IFERROR(IF(INDEX('Data Employee'!M:M,MATCH(A148,'Data Employee'!A:A,0))="","",INDEX('Data Employee'!M:M,MATCH(A148,'Data Employee'!A:A,0))),"")</f>
        <v>46563</v>
      </c>
      <c r="L148" s="11" t="str">
        <f t="shared" ca="1" si="7"/>
        <v>327 Days</v>
      </c>
      <c r="M148" s="11" t="str">
        <f t="shared" ca="1" si="8"/>
        <v>Active</v>
      </c>
    </row>
    <row r="149" spans="1:13" x14ac:dyDescent="0.35">
      <c r="A149">
        <v>201843213</v>
      </c>
      <c r="B149" t="str">
        <f>INDEX('Data Employee'!$B$2:$B$1000, MATCH(A149, 'Data Employee'!$A$2:$A$1000, 0))</f>
        <v>Angel Kusuma Dewi</v>
      </c>
      <c r="C149" t="str">
        <f>INDEX('Data Employee'!$G$2:$G$1000,MATCH(A149,'Data Employee'!$A$2:$A$1000,0))</f>
        <v>Female</v>
      </c>
      <c r="D149" s="9" t="str" cm="1">
        <f t="array" aca="1" ref="D149" ca="1">IF(J149="","",_xlfn.IFS(DATEDIF(J149,TODAY(),"M")&lt;12,"Contract 1",DATEDIF(J149,TODAY(),"M")&lt;36,"Contract 2",DATEDIF(J149,TODAY(),"M")&lt;60,"Contract 3",DATEDIF(J149,TODAY(),"M")&lt;63,"Probation",TRUE,"Permanent"))</f>
        <v>Contract 2</v>
      </c>
      <c r="E149" s="9" t="str">
        <f t="shared" ca="1" si="6"/>
        <v>24 Month</v>
      </c>
      <c r="F149" s="9" t="str">
        <f>VLOOKUP(A149, 'Data Employee'!$A$2:$U$1000, 19, FALSE)</f>
        <v>Electrical Engineering</v>
      </c>
      <c r="G149" s="9" t="str">
        <f>VLOOKUP(A149, 'Data Employee'!$A$2:$U$1000, 20, FALSE)</f>
        <v>Manufacturing</v>
      </c>
      <c r="H149" s="9" t="str">
        <f>INDEX('Data Employee'!$W$2:$W$1000, MATCH(A149, 'Data Employee'!$A$2:$A$1000, 0))</f>
        <v>Production Administrator</v>
      </c>
      <c r="I149" t="str">
        <f>INDEX('Data Employee'!$V$2:$V$1000,MATCH(A149,'Data Employee'!$A$2:$A$1000,0))</f>
        <v>Administrator</v>
      </c>
      <c r="J149" s="18">
        <f>INDEX('Data Employee'!$L$2:$L$1000, MATCH(A149, 'Data Employee'!$A$2:$A$1000, 0))</f>
        <v>45770</v>
      </c>
      <c r="K149" s="19">
        <f>IFERROR(IF(INDEX('Data Employee'!M:M,MATCH(A149,'Data Employee'!A:A,0))="","",INDEX('Data Employee'!M:M,MATCH(A149,'Data Employee'!A:A,0))),"")</f>
        <v>47596</v>
      </c>
      <c r="L149" s="11" t="str">
        <f t="shared" ca="1" si="7"/>
        <v>1360 Days</v>
      </c>
      <c r="M149" s="11" t="str">
        <f t="shared" ca="1" si="8"/>
        <v>Active</v>
      </c>
    </row>
    <row r="150" spans="1:13" x14ac:dyDescent="0.35">
      <c r="A150">
        <v>202345227</v>
      </c>
      <c r="B150" t="str">
        <f>INDEX('Data Employee'!$B$2:$B$1000, MATCH(A150, 'Data Employee'!$A$2:$A$1000, 0))</f>
        <v>Putri Pratama</v>
      </c>
      <c r="C150" t="str">
        <f>INDEX('Data Employee'!$G$2:$G$1000,MATCH(A150,'Data Employee'!$A$2:$A$1000,0))</f>
        <v>Female</v>
      </c>
      <c r="D150" s="9" t="str" cm="1">
        <f t="array" aca="1" ref="D150" ca="1">IF(J150="","",_xlfn.IFS(DATEDIF(J150,TODAY(),"M")&lt;12,"Contract 1",DATEDIF(J150,TODAY(),"M")&lt;36,"Contract 2",DATEDIF(J150,TODAY(),"M")&lt;60,"Contract 3",DATEDIF(J150,TODAY(),"M")&lt;63,"Probation",TRUE,"Permanent"))</f>
        <v>Contract 2</v>
      </c>
      <c r="E150" s="9" t="str">
        <f t="shared" ca="1" si="6"/>
        <v>24 Month</v>
      </c>
      <c r="F150" s="9" t="str">
        <f>VLOOKUP(A150, 'Data Employee'!$A$2:$U$1000, 19, FALSE)</f>
        <v>Electrical Engineering</v>
      </c>
      <c r="G150" s="9" t="str">
        <f>VLOOKUP(A150, 'Data Employee'!$A$2:$U$1000, 20, FALSE)</f>
        <v>Manufacturing</v>
      </c>
      <c r="H150" s="9" t="str">
        <f>INDEX('Data Employee'!$W$2:$W$1000, MATCH(A150, 'Data Employee'!$A$2:$A$1000, 0))</f>
        <v>Production Administrator</v>
      </c>
      <c r="I150" t="str">
        <f>INDEX('Data Employee'!$V$2:$V$1000,MATCH(A150,'Data Employee'!$A$2:$A$1000,0))</f>
        <v>Administrator</v>
      </c>
      <c r="J150" s="18">
        <f>INDEX('Data Employee'!$L$2:$L$1000, MATCH(A150, 'Data Employee'!$A$2:$A$1000, 0))</f>
        <v>45593</v>
      </c>
      <c r="K150" s="19">
        <f>IFERROR(IF(INDEX('Data Employee'!M:M,MATCH(A150,'Data Employee'!A:A,0))="","",INDEX('Data Employee'!M:M,MATCH(A150,'Data Employee'!A:A,0))),"")</f>
        <v>46688</v>
      </c>
      <c r="L150" s="11" t="str">
        <f t="shared" ca="1" si="7"/>
        <v>452 Days</v>
      </c>
      <c r="M150" s="11" t="str">
        <f t="shared" ca="1" si="8"/>
        <v>Active</v>
      </c>
    </row>
    <row r="151" spans="1:13" x14ac:dyDescent="0.35">
      <c r="A151">
        <v>202244652</v>
      </c>
      <c r="B151" t="str">
        <f>INDEX('Data Employee'!$B$2:$B$1000, MATCH(A151, 'Data Employee'!$A$2:$A$1000, 0))</f>
        <v>Bayu Pratama</v>
      </c>
      <c r="C151" t="str">
        <f>INDEX('Data Employee'!$G$2:$G$1000,MATCH(A151,'Data Employee'!$A$2:$A$1000,0))</f>
        <v>Male</v>
      </c>
      <c r="D151" s="9" t="str" cm="1">
        <f t="array" aca="1" ref="D151" ca="1">IF(J151="","",_xlfn.IFS(DATEDIF(J151,TODAY(),"M")&lt;12,"Contract 1",DATEDIF(J151,TODAY(),"M")&lt;36,"Contract 2",DATEDIF(J151,TODAY(),"M")&lt;60,"Contract 3",DATEDIF(J151,TODAY(),"M")&lt;63,"Probation",TRUE,"Permanent"))</f>
        <v>Contract 1</v>
      </c>
      <c r="E151" s="9" t="str">
        <f t="shared" ca="1" si="6"/>
        <v>12 Month</v>
      </c>
      <c r="F151" s="9" t="str">
        <f>VLOOKUP(A151, 'Data Employee'!$A$2:$U$1000, 19, FALSE)</f>
        <v>Automotive Engineering</v>
      </c>
      <c r="G151" s="9" t="str">
        <f>VLOOKUP(A151, 'Data Employee'!$A$2:$U$1000, 20, FALSE)</f>
        <v>Manufacturing</v>
      </c>
      <c r="H151" s="9" t="str">
        <f>INDEX('Data Employee'!$W$2:$W$1000, MATCH(A151, 'Data Employee'!$A$2:$A$1000, 0))</f>
        <v>Production Operator</v>
      </c>
      <c r="I151" t="str">
        <f>INDEX('Data Employee'!$V$2:$V$1000,MATCH(A151,'Data Employee'!$A$2:$A$1000,0))</f>
        <v>Operator</v>
      </c>
      <c r="J151" s="18">
        <f>INDEX('Data Employee'!$L$2:$L$1000, MATCH(A151, 'Data Employee'!$A$2:$A$1000, 0))</f>
        <v>46113</v>
      </c>
      <c r="K151" s="19">
        <f>IFERROR(IF(INDEX('Data Employee'!M:M,MATCH(A151,'Data Employee'!A:A,0))="","",INDEX('Data Employee'!M:M,MATCH(A151,'Data Employee'!A:A,0))),"")</f>
        <v>47939</v>
      </c>
      <c r="L151" s="11" t="str">
        <f t="shared" ca="1" si="7"/>
        <v>1703 Days</v>
      </c>
      <c r="M151" s="11" t="str">
        <f t="shared" ca="1" si="8"/>
        <v>Active</v>
      </c>
    </row>
    <row r="152" spans="1:13" x14ac:dyDescent="0.35">
      <c r="A152">
        <v>202244764</v>
      </c>
      <c r="B152" t="str">
        <f>INDEX('Data Employee'!$B$2:$B$1000, MATCH(A152, 'Data Employee'!$A$2:$A$1000, 0))</f>
        <v>Fajar Wijaya</v>
      </c>
      <c r="C152" t="str">
        <f>INDEX('Data Employee'!$G$2:$G$1000,MATCH(A152,'Data Employee'!$A$2:$A$1000,0))</f>
        <v>Male</v>
      </c>
      <c r="D152" s="9" t="str" cm="1">
        <f t="array" aca="1" ref="D152" ca="1">IF(J152="","",_xlfn.IFS(DATEDIF(J152,TODAY(),"M")&lt;12,"Contract 1",DATEDIF(J152,TODAY(),"M")&lt;36,"Contract 2",DATEDIF(J152,TODAY(),"M")&lt;60,"Contract 3",DATEDIF(J152,TODAY(),"M")&lt;63,"Probation",TRUE,"Permanent"))</f>
        <v>Contract 1</v>
      </c>
      <c r="E152" s="9" t="str">
        <f t="shared" ca="1" si="6"/>
        <v>12 Month</v>
      </c>
      <c r="F152" s="9" t="str">
        <f>VLOOKUP(A152, 'Data Employee'!$A$2:$U$1000, 19, FALSE)</f>
        <v>Automotive Engineering</v>
      </c>
      <c r="G152" s="9" t="str">
        <f>VLOOKUP(A152, 'Data Employee'!$A$2:$U$1000, 20, FALSE)</f>
        <v>Manufacturing</v>
      </c>
      <c r="H152" s="9" t="str">
        <f>INDEX('Data Employee'!$W$2:$W$1000, MATCH(A152, 'Data Employee'!$A$2:$A$1000, 0))</f>
        <v>Production Operator</v>
      </c>
      <c r="I152" t="str">
        <f>INDEX('Data Employee'!$V$2:$V$1000,MATCH(A152,'Data Employee'!$A$2:$A$1000,0))</f>
        <v>Operator</v>
      </c>
      <c r="J152" s="18">
        <f>INDEX('Data Employee'!$L$2:$L$1000, MATCH(A152, 'Data Employee'!$A$2:$A$1000, 0))</f>
        <v>46195</v>
      </c>
      <c r="K152" s="19">
        <f>IFERROR(IF(INDEX('Data Employee'!M:M,MATCH(A152,'Data Employee'!A:A,0))="","",INDEX('Data Employee'!M:M,MATCH(A152,'Data Employee'!A:A,0))),"")</f>
        <v>46590</v>
      </c>
      <c r="L152" s="11" t="str">
        <f t="shared" ca="1" si="7"/>
        <v>354 Days</v>
      </c>
      <c r="M152" s="11" t="str">
        <f t="shared" ca="1" si="8"/>
        <v>Active</v>
      </c>
    </row>
    <row r="153" spans="1:13" x14ac:dyDescent="0.35">
      <c r="A153">
        <v>201943744</v>
      </c>
      <c r="B153" t="str">
        <f>INDEX('Data Employee'!$B$2:$B$1000, MATCH(A153, 'Data Employee'!$A$2:$A$1000, 0))</f>
        <v>Yusuf Saputra</v>
      </c>
      <c r="C153" t="str">
        <f>INDEX('Data Employee'!$G$2:$G$1000,MATCH(A153,'Data Employee'!$A$2:$A$1000,0))</f>
        <v>Male</v>
      </c>
      <c r="D153" s="9" t="str" cm="1">
        <f t="array" aca="1" ref="D153" ca="1">IF(J153="","",_xlfn.IFS(DATEDIF(J153,TODAY(),"M")&lt;12,"Contract 1",DATEDIF(J153,TODAY(),"M")&lt;36,"Contract 2",DATEDIF(J153,TODAY(),"M")&lt;60,"Contract 3",DATEDIF(J153,TODAY(),"M")&lt;63,"Probation",TRUE,"Permanent"))</f>
        <v>Permanent</v>
      </c>
      <c r="E153" s="9" t="str">
        <f t="shared" ca="1" si="6"/>
        <v>Permanent</v>
      </c>
      <c r="F153" s="9" t="str">
        <f>VLOOKUP(A153, 'Data Employee'!$A$2:$U$1000, 19, FALSE)</f>
        <v>Communication</v>
      </c>
      <c r="G153" s="9" t="str">
        <f>VLOOKUP(A153, 'Data Employee'!$A$2:$U$1000, 20, FALSE)</f>
        <v>Corporate Governance</v>
      </c>
      <c r="H153" s="9" t="str">
        <f>INDEX('Data Employee'!$W$2:$W$1000, MATCH(A153, 'Data Employee'!$A$2:$A$1000, 0))</f>
        <v>Nomination &amp; Remuneration Committee Staff</v>
      </c>
      <c r="I153" t="str">
        <f>INDEX('Data Employee'!$V$2:$V$1000,MATCH(A153,'Data Employee'!$A$2:$A$1000,0))</f>
        <v>Staff</v>
      </c>
      <c r="J153" s="18">
        <f>INDEX('Data Employee'!$L$2:$L$1000, MATCH(A153, 'Data Employee'!$A$2:$A$1000, 0))</f>
        <v>43379</v>
      </c>
      <c r="K153" s="19" t="str">
        <f>IFERROR(IF(INDEX('Data Employee'!M:M,MATCH(A153,'Data Employee'!A:A,0))="","",INDEX('Data Employee'!M:M,MATCH(A153,'Data Employee'!A:A,0))),"")</f>
        <v/>
      </c>
      <c r="L153" s="11" t="str">
        <f t="shared" ca="1" si="7"/>
        <v/>
      </c>
      <c r="M153" s="11" t="str">
        <f t="shared" ca="1" si="8"/>
        <v>Active</v>
      </c>
    </row>
    <row r="154" spans="1:13" x14ac:dyDescent="0.35">
      <c r="A154">
        <v>202345177</v>
      </c>
      <c r="B154" t="str">
        <f>INDEX('Data Employee'!$B$2:$B$1000, MATCH(A154, 'Data Employee'!$A$2:$A$1000, 0))</f>
        <v>Bayu Maulana</v>
      </c>
      <c r="C154" t="str">
        <f>INDEX('Data Employee'!$G$2:$G$1000,MATCH(A154,'Data Employee'!$A$2:$A$1000,0))</f>
        <v>Male</v>
      </c>
      <c r="D154" s="9" t="str" cm="1">
        <f t="array" aca="1" ref="D154" ca="1">IF(J154="","",_xlfn.IFS(DATEDIF(J154,TODAY(),"M")&lt;12,"Contract 1",DATEDIF(J154,TODAY(),"M")&lt;36,"Contract 2",DATEDIF(J154,TODAY(),"M")&lt;60,"Contract 3",DATEDIF(J154,TODAY(),"M")&lt;63,"Probation",TRUE,"Permanent"))</f>
        <v>Contract 2</v>
      </c>
      <c r="E154" s="9" t="str">
        <f t="shared" ca="1" si="6"/>
        <v>24 Month</v>
      </c>
      <c r="F154" s="9" t="str">
        <f>VLOOKUP(A154, 'Data Employee'!$A$2:$U$1000, 19, FALSE)</f>
        <v>Automotive Engineering</v>
      </c>
      <c r="G154" s="9" t="str">
        <f>VLOOKUP(A154, 'Data Employee'!$A$2:$U$1000, 20, FALSE)</f>
        <v>Manufacturing</v>
      </c>
      <c r="H154" s="9" t="str">
        <f>INDEX('Data Employee'!$W$2:$W$1000, MATCH(A154, 'Data Employee'!$A$2:$A$1000, 0))</f>
        <v>Production Operator</v>
      </c>
      <c r="I154" t="str">
        <f>INDEX('Data Employee'!$V$2:$V$1000,MATCH(A154,'Data Employee'!$A$2:$A$1000,0))</f>
        <v>Operator</v>
      </c>
      <c r="J154" s="18">
        <f>INDEX('Data Employee'!$L$2:$L$1000, MATCH(A154, 'Data Employee'!$A$2:$A$1000, 0))</f>
        <v>45177</v>
      </c>
      <c r="K154" s="19">
        <f>IFERROR(IF(INDEX('Data Employee'!M:M,MATCH(A154,'Data Employee'!A:A,0))="","",INDEX('Data Employee'!M:M,MATCH(A154,'Data Employee'!A:A,0))),"")</f>
        <v>46273</v>
      </c>
      <c r="L154" s="11" t="str">
        <f t="shared" ca="1" si="7"/>
        <v>37 Days</v>
      </c>
      <c r="M154" s="11" t="str">
        <f t="shared" ca="1" si="8"/>
        <v>Review Needed</v>
      </c>
    </row>
    <row r="155" spans="1:13" x14ac:dyDescent="0.35">
      <c r="A155">
        <v>201642680</v>
      </c>
      <c r="B155" t="str">
        <f>INDEX('Data Employee'!$B$2:$B$1000, MATCH(A155, 'Data Employee'!$A$2:$A$1000, 0))</f>
        <v>Rahmat Sari</v>
      </c>
      <c r="C155" t="str">
        <f>INDEX('Data Employee'!$G$2:$G$1000,MATCH(A155,'Data Employee'!$A$2:$A$1000,0))</f>
        <v>Male</v>
      </c>
      <c r="D155" s="9" t="str" cm="1">
        <f t="array" aca="1" ref="D155" ca="1">IF(J155="","",_xlfn.IFS(DATEDIF(J155,TODAY(),"M")&lt;12,"Contract 1",DATEDIF(J155,TODAY(),"M")&lt;36,"Contract 2",DATEDIF(J155,TODAY(),"M")&lt;60,"Contract 3",DATEDIF(J155,TODAY(),"M")&lt;63,"Probation",TRUE,"Permanent"))</f>
        <v>Contract 2</v>
      </c>
      <c r="E155" s="9" t="str">
        <f t="shared" ca="1" si="6"/>
        <v>24 Month</v>
      </c>
      <c r="F155" s="9" t="str">
        <f>VLOOKUP(A155, 'Data Employee'!$A$2:$U$1000, 19, FALSE)</f>
        <v>Automotive Engineering</v>
      </c>
      <c r="G155" s="9" t="str">
        <f>VLOOKUP(A155, 'Data Employee'!$A$2:$U$1000, 20, FALSE)</f>
        <v>Manufacturing</v>
      </c>
      <c r="H155" s="9" t="str">
        <f>INDEX('Data Employee'!$W$2:$W$1000, MATCH(A155, 'Data Employee'!$A$2:$A$1000, 0))</f>
        <v>Production Operator</v>
      </c>
      <c r="I155" t="str">
        <f>INDEX('Data Employee'!$V$2:$V$1000,MATCH(A155,'Data Employee'!$A$2:$A$1000,0))</f>
        <v>Operator</v>
      </c>
      <c r="J155" s="18">
        <f>INDEX('Data Employee'!$L$2:$L$1000, MATCH(A155, 'Data Employee'!$A$2:$A$1000, 0))</f>
        <v>45236</v>
      </c>
      <c r="K155" s="19">
        <f>IFERROR(IF(INDEX('Data Employee'!M:M,MATCH(A155,'Data Employee'!A:A,0))="","",INDEX('Data Employee'!M:M,MATCH(A155,'Data Employee'!A:A,0))),"")</f>
        <v>47063</v>
      </c>
      <c r="L155" s="11" t="str">
        <f t="shared" ca="1" si="7"/>
        <v>827 Days</v>
      </c>
      <c r="M155" s="11" t="str">
        <f t="shared" ca="1" si="8"/>
        <v>Active</v>
      </c>
    </row>
    <row r="156" spans="1:13" x14ac:dyDescent="0.35">
      <c r="A156">
        <v>201943797</v>
      </c>
      <c r="B156" t="str">
        <f>INDEX('Data Employee'!$B$2:$B$1000, MATCH(A156, 'Data Employee'!$A$2:$A$1000, 0))</f>
        <v>Fajar Ramadhan</v>
      </c>
      <c r="C156" t="str">
        <f>INDEX('Data Employee'!$G$2:$G$1000,MATCH(A156,'Data Employee'!$A$2:$A$1000,0))</f>
        <v>Male</v>
      </c>
      <c r="D156" s="9" t="str" cm="1">
        <f t="array" aca="1" ref="D156" ca="1">IF(J156="","",_xlfn.IFS(DATEDIF(J156,TODAY(),"M")&lt;12,"Contract 1",DATEDIF(J156,TODAY(),"M")&lt;36,"Contract 2",DATEDIF(J156,TODAY(),"M")&lt;60,"Contract 3",DATEDIF(J156,TODAY(),"M")&lt;63,"Probation",TRUE,"Permanent"))</f>
        <v>Contract 2</v>
      </c>
      <c r="E156" s="9" t="str">
        <f t="shared" ca="1" si="6"/>
        <v>24 Month</v>
      </c>
      <c r="F156" s="9" t="str">
        <f>VLOOKUP(A156, 'Data Employee'!$A$2:$U$1000, 19, FALSE)</f>
        <v>Automotive Engineering</v>
      </c>
      <c r="G156" s="9" t="str">
        <f>VLOOKUP(A156, 'Data Employee'!$A$2:$U$1000, 20, FALSE)</f>
        <v>Manufacturing</v>
      </c>
      <c r="H156" s="9" t="str">
        <f>INDEX('Data Employee'!$W$2:$W$1000, MATCH(A156, 'Data Employee'!$A$2:$A$1000, 0))</f>
        <v>Production Operator</v>
      </c>
      <c r="I156" t="str">
        <f>INDEX('Data Employee'!$V$2:$V$1000,MATCH(A156,'Data Employee'!$A$2:$A$1000,0))</f>
        <v>Operator</v>
      </c>
      <c r="J156" s="18">
        <f>INDEX('Data Employee'!$L$2:$L$1000, MATCH(A156, 'Data Employee'!$A$2:$A$1000, 0))</f>
        <v>45624</v>
      </c>
      <c r="K156" s="19">
        <f>IFERROR(IF(INDEX('Data Employee'!M:M,MATCH(A156,'Data Employee'!A:A,0))="","",INDEX('Data Employee'!M:M,MATCH(A156,'Data Employee'!A:A,0))),"")</f>
        <v>46719</v>
      </c>
      <c r="L156" s="11" t="str">
        <f t="shared" ca="1" si="7"/>
        <v>483 Days</v>
      </c>
      <c r="M156" s="11" t="str">
        <f t="shared" ca="1" si="8"/>
        <v>Active</v>
      </c>
    </row>
    <row r="157" spans="1:13" x14ac:dyDescent="0.35">
      <c r="A157">
        <v>201943729</v>
      </c>
      <c r="B157" t="str">
        <f>INDEX('Data Employee'!$B$2:$B$1000, MATCH(A157, 'Data Employee'!$A$2:$A$1000, 0))</f>
        <v>Rahmat Lestari</v>
      </c>
      <c r="C157" t="str">
        <f>INDEX('Data Employee'!$G$2:$G$1000,MATCH(A157,'Data Employee'!$A$2:$A$1000,0))</f>
        <v>Male</v>
      </c>
      <c r="D157" s="9" t="str" cm="1">
        <f t="array" aca="1" ref="D157" ca="1">IF(J157="","",_xlfn.IFS(DATEDIF(J157,TODAY(),"M")&lt;12,"Contract 1",DATEDIF(J157,TODAY(),"M")&lt;36,"Contract 2",DATEDIF(J157,TODAY(),"M")&lt;60,"Contract 3",DATEDIF(J157,TODAY(),"M")&lt;63,"Probation",TRUE,"Permanent"))</f>
        <v>Contract 2</v>
      </c>
      <c r="E157" s="9" t="str">
        <f t="shared" ca="1" si="6"/>
        <v>24 Month</v>
      </c>
      <c r="F157" s="9" t="str">
        <f>VLOOKUP(A157, 'Data Employee'!$A$2:$U$1000, 19, FALSE)</f>
        <v>Automotive Engineering</v>
      </c>
      <c r="G157" s="9" t="str">
        <f>VLOOKUP(A157, 'Data Employee'!$A$2:$U$1000, 20, FALSE)</f>
        <v>Manufacturing</v>
      </c>
      <c r="H157" s="9" t="str">
        <f>INDEX('Data Employee'!$W$2:$W$1000, MATCH(A157, 'Data Employee'!$A$2:$A$1000, 0))</f>
        <v>Production Operator</v>
      </c>
      <c r="I157" t="str">
        <f>INDEX('Data Employee'!$V$2:$V$1000,MATCH(A157,'Data Employee'!$A$2:$A$1000,0))</f>
        <v>Operator</v>
      </c>
      <c r="J157" s="18">
        <f>INDEX('Data Employee'!$L$2:$L$1000, MATCH(A157, 'Data Employee'!$A$2:$A$1000, 0))</f>
        <v>45556</v>
      </c>
      <c r="K157" s="19">
        <f>IFERROR(IF(INDEX('Data Employee'!M:M,MATCH(A157,'Data Employee'!A:A,0))="","",INDEX('Data Employee'!M:M,MATCH(A157,'Data Employee'!A:A,0))),"")</f>
        <v>46286</v>
      </c>
      <c r="L157" s="11" t="str">
        <f t="shared" ca="1" si="7"/>
        <v>50 Days</v>
      </c>
      <c r="M157" s="11" t="str">
        <f t="shared" ca="1" si="8"/>
        <v>Review Needed</v>
      </c>
    </row>
    <row r="158" spans="1:13" x14ac:dyDescent="0.35">
      <c r="A158">
        <v>201742848</v>
      </c>
      <c r="B158" t="str">
        <f>INDEX('Data Employee'!$B$2:$B$1000, MATCH(A158, 'Data Employee'!$A$2:$A$1000, 0))</f>
        <v>Yoga Ramadhan</v>
      </c>
      <c r="C158" t="str">
        <f>INDEX('Data Employee'!$G$2:$G$1000,MATCH(A158,'Data Employee'!$A$2:$A$1000,0))</f>
        <v>Male</v>
      </c>
      <c r="D158" s="9" t="str" cm="1">
        <f t="array" aca="1" ref="D158" ca="1">IF(J158="","",_xlfn.IFS(DATEDIF(J158,TODAY(),"M")&lt;12,"Contract 1",DATEDIF(J158,TODAY(),"M")&lt;36,"Contract 2",DATEDIF(J158,TODAY(),"M")&lt;60,"Contract 3",DATEDIF(J158,TODAY(),"M")&lt;63,"Probation",TRUE,"Permanent"))</f>
        <v>Contract 3</v>
      </c>
      <c r="E158" s="9" t="str">
        <f t="shared" ca="1" si="6"/>
        <v>60 Month</v>
      </c>
      <c r="F158" s="9" t="str">
        <f>VLOOKUP(A158, 'Data Employee'!$A$2:$U$1000, 19, FALSE)</f>
        <v>Automotive Engineering</v>
      </c>
      <c r="G158" s="9" t="str">
        <f>VLOOKUP(A158, 'Data Employee'!$A$2:$U$1000, 20, FALSE)</f>
        <v>Manufacturing</v>
      </c>
      <c r="H158" s="9" t="str">
        <f>INDEX('Data Employee'!$W$2:$W$1000, MATCH(A158, 'Data Employee'!$A$2:$A$1000, 0))</f>
        <v>Production Operator</v>
      </c>
      <c r="I158" t="str">
        <f>INDEX('Data Employee'!$V$2:$V$1000,MATCH(A158,'Data Employee'!$A$2:$A$1000,0))</f>
        <v>Operator</v>
      </c>
      <c r="J158" s="18">
        <f>INDEX('Data Employee'!$L$2:$L$1000, MATCH(A158, 'Data Employee'!$A$2:$A$1000, 0))</f>
        <v>45039</v>
      </c>
      <c r="K158" s="19">
        <f>IFERROR(IF(INDEX('Data Employee'!M:M,MATCH(A158,'Data Employee'!A:A,0))="","",INDEX('Data Employee'!M:M,MATCH(A158,'Data Employee'!A:A,0))),"")</f>
        <v>46866</v>
      </c>
      <c r="L158" s="11" t="str">
        <f t="shared" ca="1" si="7"/>
        <v>630 Days</v>
      </c>
      <c r="M158" s="11" t="str">
        <f t="shared" ca="1" si="8"/>
        <v>Active</v>
      </c>
    </row>
    <row r="159" spans="1:13" x14ac:dyDescent="0.35">
      <c r="A159">
        <v>201742917</v>
      </c>
      <c r="B159" t="str">
        <f>INDEX('Data Employee'!$B$2:$B$1000, MATCH(A159, 'Data Employee'!$A$2:$A$1000, 0))</f>
        <v>Rahmat Nugroho</v>
      </c>
      <c r="C159" t="str">
        <f>INDEX('Data Employee'!$G$2:$G$1000,MATCH(A159,'Data Employee'!$A$2:$A$1000,0))</f>
        <v>Male</v>
      </c>
      <c r="D159" s="9" t="str" cm="1">
        <f t="array" aca="1" ref="D159" ca="1">IF(J159="","",_xlfn.IFS(DATEDIF(J159,TODAY(),"M")&lt;12,"Contract 1",DATEDIF(J159,TODAY(),"M")&lt;36,"Contract 2",DATEDIF(J159,TODAY(),"M")&lt;60,"Contract 3",DATEDIF(J159,TODAY(),"M")&lt;63,"Probation",TRUE,"Permanent"))</f>
        <v>Contract 2</v>
      </c>
      <c r="E159" s="9" t="str">
        <f t="shared" ca="1" si="6"/>
        <v>24 Month</v>
      </c>
      <c r="F159" s="9" t="str">
        <f>VLOOKUP(A159, 'Data Employee'!$A$2:$U$1000, 19, FALSE)</f>
        <v>Automotive Engineering</v>
      </c>
      <c r="G159" s="9" t="str">
        <f>VLOOKUP(A159, 'Data Employee'!$A$2:$U$1000, 20, FALSE)</f>
        <v>Manufacturing</v>
      </c>
      <c r="H159" s="9" t="str">
        <f>INDEX('Data Employee'!$W$2:$W$1000, MATCH(A159, 'Data Employee'!$A$2:$A$1000, 0))</f>
        <v>Production Operator</v>
      </c>
      <c r="I159" t="str">
        <f>INDEX('Data Employee'!$V$2:$V$1000,MATCH(A159,'Data Employee'!$A$2:$A$1000,0))</f>
        <v>Operator</v>
      </c>
      <c r="J159" s="18">
        <f>INDEX('Data Employee'!$L$2:$L$1000, MATCH(A159, 'Data Employee'!$A$2:$A$1000, 0))</f>
        <v>45839</v>
      </c>
      <c r="K159" s="19">
        <f>IFERROR(IF(INDEX('Data Employee'!M:M,MATCH(A159,'Data Employee'!A:A,0))="","",INDEX('Data Employee'!M:M,MATCH(A159,'Data Employee'!A:A,0))),"")</f>
        <v>46569</v>
      </c>
      <c r="L159" s="11" t="str">
        <f t="shared" ca="1" si="7"/>
        <v>333 Days</v>
      </c>
      <c r="M159" s="11" t="str">
        <f t="shared" ca="1" si="8"/>
        <v>Active</v>
      </c>
    </row>
    <row r="160" spans="1:13" x14ac:dyDescent="0.35">
      <c r="A160">
        <v>202244606</v>
      </c>
      <c r="B160" t="str">
        <f>INDEX('Data Employee'!$B$2:$B$1000, MATCH(A160, 'Data Employee'!$A$2:$A$1000, 0))</f>
        <v>Yusuf Pangestu</v>
      </c>
      <c r="C160" t="str">
        <f>INDEX('Data Employee'!$G$2:$G$1000,MATCH(A160,'Data Employee'!$A$2:$A$1000,0))</f>
        <v>Male</v>
      </c>
      <c r="D160" s="9" t="str" cm="1">
        <f t="array" aca="1" ref="D160" ca="1">IF(J160="","",_xlfn.IFS(DATEDIF(J160,TODAY(),"M")&lt;12,"Contract 1",DATEDIF(J160,TODAY(),"M")&lt;36,"Contract 2",DATEDIF(J160,TODAY(),"M")&lt;60,"Contract 3",DATEDIF(J160,TODAY(),"M")&lt;63,"Probation",TRUE,"Permanent"))</f>
        <v>Contract 1</v>
      </c>
      <c r="E160" s="9" t="str">
        <f t="shared" ca="1" si="6"/>
        <v>12 Month</v>
      </c>
      <c r="F160" s="9" t="str">
        <f>VLOOKUP(A160, 'Data Employee'!$A$2:$U$1000, 19, FALSE)</f>
        <v>Automotive Engineering</v>
      </c>
      <c r="G160" s="9" t="str">
        <f>VLOOKUP(A160, 'Data Employee'!$A$2:$U$1000, 20, FALSE)</f>
        <v>Manufacturing</v>
      </c>
      <c r="H160" s="9" t="str">
        <f>INDEX('Data Employee'!$W$2:$W$1000, MATCH(A160, 'Data Employee'!$A$2:$A$1000, 0))</f>
        <v>Production Operator</v>
      </c>
      <c r="I160" t="str">
        <f>INDEX('Data Employee'!$V$2:$V$1000,MATCH(A160,'Data Employee'!$A$2:$A$1000,0))</f>
        <v>Operator</v>
      </c>
      <c r="J160" s="18">
        <f>INDEX('Data Employee'!$L$2:$L$1000, MATCH(A160, 'Data Employee'!$A$2:$A$1000, 0))</f>
        <v>46067</v>
      </c>
      <c r="K160" s="19">
        <f>IFERROR(IF(INDEX('Data Employee'!M:M,MATCH(A160,'Data Employee'!A:A,0))="","",INDEX('Data Employee'!M:M,MATCH(A160,'Data Employee'!A:A,0))),"")</f>
        <v>46797</v>
      </c>
      <c r="L160" s="11" t="str">
        <f t="shared" ca="1" si="7"/>
        <v>561 Days</v>
      </c>
      <c r="M160" s="11" t="str">
        <f t="shared" ca="1" si="8"/>
        <v>Active</v>
      </c>
    </row>
    <row r="161" spans="1:13" x14ac:dyDescent="0.35">
      <c r="A161">
        <v>201642691</v>
      </c>
      <c r="B161" t="str">
        <f>INDEX('Data Employee'!$B$2:$B$1000, MATCH(A161, 'Data Employee'!$A$2:$A$1000, 0))</f>
        <v>Raffi Kurniawan</v>
      </c>
      <c r="C161" t="str">
        <f>INDEX('Data Employee'!$G$2:$G$1000,MATCH(A161,'Data Employee'!$A$2:$A$1000,0))</f>
        <v>Male</v>
      </c>
      <c r="D161" s="9" t="str" cm="1">
        <f t="array" aca="1" ref="D161" ca="1">IF(J161="","",_xlfn.IFS(DATEDIF(J161,TODAY(),"M")&lt;12,"Contract 1",DATEDIF(J161,TODAY(),"M")&lt;36,"Contract 2",DATEDIF(J161,TODAY(),"M")&lt;60,"Contract 3",DATEDIF(J161,TODAY(),"M")&lt;63,"Probation",TRUE,"Permanent"))</f>
        <v>Contract 2</v>
      </c>
      <c r="E161" s="9" t="str">
        <f t="shared" ca="1" si="6"/>
        <v>24 Month</v>
      </c>
      <c r="F161" s="9" t="str">
        <f>VLOOKUP(A161, 'Data Employee'!$A$2:$U$1000, 19, FALSE)</f>
        <v>Automotive Engineering</v>
      </c>
      <c r="G161" s="9" t="str">
        <f>VLOOKUP(A161, 'Data Employee'!$A$2:$U$1000, 20, FALSE)</f>
        <v>Manufacturing</v>
      </c>
      <c r="H161" s="9" t="str">
        <f>INDEX('Data Employee'!$W$2:$W$1000, MATCH(A161, 'Data Employee'!$A$2:$A$1000, 0))</f>
        <v>Production Operator</v>
      </c>
      <c r="I161" t="str">
        <f>INDEX('Data Employee'!$V$2:$V$1000,MATCH(A161,'Data Employee'!$A$2:$A$1000,0))</f>
        <v>Operator</v>
      </c>
      <c r="J161" s="18">
        <f>INDEX('Data Employee'!$L$2:$L$1000, MATCH(A161, 'Data Employee'!$A$2:$A$1000, 0))</f>
        <v>45247</v>
      </c>
      <c r="K161" s="19">
        <f>IFERROR(IF(INDEX('Data Employee'!M:M,MATCH(A161,'Data Employee'!A:A,0))="","",INDEX('Data Employee'!M:M,MATCH(A161,'Data Employee'!A:A,0))),"")</f>
        <v>46343</v>
      </c>
      <c r="L161" s="11" t="str">
        <f t="shared" ca="1" si="7"/>
        <v>107 Days</v>
      </c>
      <c r="M161" s="11" t="str">
        <f t="shared" ca="1" si="8"/>
        <v>Active</v>
      </c>
    </row>
    <row r="162" spans="1:13" x14ac:dyDescent="0.35">
      <c r="A162">
        <v>201742834</v>
      </c>
      <c r="B162" t="str">
        <f>INDEX('Data Employee'!$B$2:$B$1000, MATCH(A162, 'Data Employee'!$A$2:$A$1000, 0))</f>
        <v>Rizky Santoso</v>
      </c>
      <c r="C162" t="str">
        <f>INDEX('Data Employee'!$G$2:$G$1000,MATCH(A162,'Data Employee'!$A$2:$A$1000,0))</f>
        <v>Male</v>
      </c>
      <c r="D162" s="9" t="str" cm="1">
        <f t="array" aca="1" ref="D162" ca="1">IF(J162="","",_xlfn.IFS(DATEDIF(J162,TODAY(),"M")&lt;12,"Contract 1",DATEDIF(J162,TODAY(),"M")&lt;36,"Contract 2",DATEDIF(J162,TODAY(),"M")&lt;60,"Contract 3",DATEDIF(J162,TODAY(),"M")&lt;63,"Probation",TRUE,"Permanent"))</f>
        <v>Contract 3</v>
      </c>
      <c r="E162" s="9" t="str">
        <f t="shared" ca="1" si="6"/>
        <v>60 Month</v>
      </c>
      <c r="F162" s="9" t="str">
        <f>VLOOKUP(A162, 'Data Employee'!$A$2:$U$1000, 19, FALSE)</f>
        <v>Automotive Engineering</v>
      </c>
      <c r="G162" s="9" t="str">
        <f>VLOOKUP(A162, 'Data Employee'!$A$2:$U$1000, 20, FALSE)</f>
        <v>Manufacturing</v>
      </c>
      <c r="H162" s="9" t="str">
        <f>INDEX('Data Employee'!$W$2:$W$1000, MATCH(A162, 'Data Employee'!$A$2:$A$1000, 0))</f>
        <v>Production Operator</v>
      </c>
      <c r="I162" t="str">
        <f>INDEX('Data Employee'!$V$2:$V$1000,MATCH(A162,'Data Employee'!$A$2:$A$1000,0))</f>
        <v>Operator</v>
      </c>
      <c r="J162" s="18">
        <f>INDEX('Data Employee'!$L$2:$L$1000, MATCH(A162, 'Data Employee'!$A$2:$A$1000, 0))</f>
        <v>45025</v>
      </c>
      <c r="K162" s="19">
        <f>IFERROR(IF(INDEX('Data Employee'!M:M,MATCH(A162,'Data Employee'!A:A,0))="","",INDEX('Data Employee'!M:M,MATCH(A162,'Data Employee'!A:A,0))),"")</f>
        <v>46852</v>
      </c>
      <c r="L162" s="11" t="str">
        <f t="shared" ca="1" si="7"/>
        <v>616 Days</v>
      </c>
      <c r="M162" s="11" t="str">
        <f t="shared" ca="1" si="8"/>
        <v>Active</v>
      </c>
    </row>
    <row r="163" spans="1:13" x14ac:dyDescent="0.35">
      <c r="A163">
        <v>202545795</v>
      </c>
      <c r="B163" t="str">
        <f>INDEX('Data Employee'!$B$2:$B$1000, MATCH(A163, 'Data Employee'!$A$2:$A$1000, 0))</f>
        <v>Farhan Saputra</v>
      </c>
      <c r="C163" t="str">
        <f>INDEX('Data Employee'!$G$2:$G$1000,MATCH(A163,'Data Employee'!$A$2:$A$1000,0))</f>
        <v>Male</v>
      </c>
      <c r="D163" s="9" t="str" cm="1">
        <f t="array" aca="1" ref="D163" ca="1">IF(J163="","",_xlfn.IFS(DATEDIF(J163,TODAY(),"M")&lt;12,"Contract 1",DATEDIF(J163,TODAY(),"M")&lt;36,"Contract 2",DATEDIF(J163,TODAY(),"M")&lt;60,"Contract 3",DATEDIF(J163,TODAY(),"M")&lt;63,"Probation",TRUE,"Permanent"))</f>
        <v>Contract 2</v>
      </c>
      <c r="E163" s="9" t="str">
        <f t="shared" ca="1" si="6"/>
        <v>24 Month</v>
      </c>
      <c r="F163" s="9" t="str">
        <f>VLOOKUP(A163, 'Data Employee'!$A$2:$U$1000, 19, FALSE)</f>
        <v>Automotive Engineering</v>
      </c>
      <c r="G163" s="9" t="str">
        <f>VLOOKUP(A163, 'Data Employee'!$A$2:$U$1000, 20, FALSE)</f>
        <v>Manufacturing</v>
      </c>
      <c r="H163" s="9" t="str">
        <f>INDEX('Data Employee'!$W$2:$W$1000, MATCH(A163, 'Data Employee'!$A$2:$A$1000, 0))</f>
        <v>Production Operator</v>
      </c>
      <c r="I163" t="str">
        <f>INDEX('Data Employee'!$V$2:$V$1000,MATCH(A163,'Data Employee'!$A$2:$A$1000,0))</f>
        <v>Operator</v>
      </c>
      <c r="J163" s="18">
        <f>INDEX('Data Employee'!$L$2:$L$1000, MATCH(A163, 'Data Employee'!$A$2:$A$1000, 0))</f>
        <v>45795</v>
      </c>
      <c r="K163" s="19">
        <f>IFERROR(IF(INDEX('Data Employee'!M:M,MATCH(A163,'Data Employee'!A:A,0))="","",INDEX('Data Employee'!M:M,MATCH(A163,'Data Employee'!A:A,0))),"")</f>
        <v>47621</v>
      </c>
      <c r="L163" s="11" t="str">
        <f t="shared" ca="1" si="7"/>
        <v>1385 Days</v>
      </c>
      <c r="M163" s="11" t="str">
        <f t="shared" ca="1" si="8"/>
        <v>Active</v>
      </c>
    </row>
    <row r="164" spans="1:13" x14ac:dyDescent="0.35">
      <c r="A164">
        <v>201843184</v>
      </c>
      <c r="B164" t="str">
        <f>INDEX('Data Employee'!$B$2:$B$1000, MATCH(A164, 'Data Employee'!$A$2:$A$1000, 0))</f>
        <v>Yusuf Kurniawan</v>
      </c>
      <c r="C164" t="str">
        <f>INDEX('Data Employee'!$G$2:$G$1000,MATCH(A164,'Data Employee'!$A$2:$A$1000,0))</f>
        <v>Male</v>
      </c>
      <c r="D164" s="9" t="str" cm="1">
        <f t="array" aca="1" ref="D164" ca="1">IF(J164="","",_xlfn.IFS(DATEDIF(J164,TODAY(),"M")&lt;12,"Contract 1",DATEDIF(J164,TODAY(),"M")&lt;36,"Contract 2",DATEDIF(J164,TODAY(),"M")&lt;60,"Contract 3",DATEDIF(J164,TODAY(),"M")&lt;63,"Probation",TRUE,"Permanent"))</f>
        <v>Contract 3</v>
      </c>
      <c r="E164" s="9" t="str">
        <f t="shared" ca="1" si="6"/>
        <v>60 Month</v>
      </c>
      <c r="F164" s="9" t="str">
        <f>VLOOKUP(A164, 'Data Employee'!$A$2:$U$1000, 19, FALSE)</f>
        <v>Automotive Engineering</v>
      </c>
      <c r="G164" s="9" t="str">
        <f>VLOOKUP(A164, 'Data Employee'!$A$2:$U$1000, 20, FALSE)</f>
        <v>Manufacturing</v>
      </c>
      <c r="H164" s="9" t="str">
        <f>INDEX('Data Employee'!$W$2:$W$1000, MATCH(A164, 'Data Employee'!$A$2:$A$1000, 0))</f>
        <v>Production Operator</v>
      </c>
      <c r="I164" t="str">
        <f>INDEX('Data Employee'!$V$2:$V$1000,MATCH(A164,'Data Employee'!$A$2:$A$1000,0))</f>
        <v>Operator</v>
      </c>
      <c r="J164" s="18">
        <f>INDEX('Data Employee'!$L$2:$L$1000, MATCH(A164, 'Data Employee'!$A$2:$A$1000, 0))</f>
        <v>45010</v>
      </c>
      <c r="K164" s="19">
        <f>IFERROR(IF(INDEX('Data Employee'!M:M,MATCH(A164,'Data Employee'!A:A,0))="","",INDEX('Data Employee'!M:M,MATCH(A164,'Data Employee'!A:A,0))),"")</f>
        <v>46837</v>
      </c>
      <c r="L164" s="11" t="str">
        <f t="shared" ca="1" si="7"/>
        <v>601 Days</v>
      </c>
      <c r="M164" s="11" t="str">
        <f t="shared" ca="1" si="8"/>
        <v>Active</v>
      </c>
    </row>
    <row r="165" spans="1:13" x14ac:dyDescent="0.35">
      <c r="A165">
        <v>202044036</v>
      </c>
      <c r="B165" t="str">
        <f>INDEX('Data Employee'!$B$2:$B$1000, MATCH(A165, 'Data Employee'!$A$2:$A$1000, 0))</f>
        <v>Rudi Lestari</v>
      </c>
      <c r="C165" t="str">
        <f>INDEX('Data Employee'!$G$2:$G$1000,MATCH(A165,'Data Employee'!$A$2:$A$1000,0))</f>
        <v>Male</v>
      </c>
      <c r="D165" s="9" t="str" cm="1">
        <f t="array" aca="1" ref="D165" ca="1">IF(J165="","",_xlfn.IFS(DATEDIF(J165,TODAY(),"M")&lt;12,"Contract 1",DATEDIF(J165,TODAY(),"M")&lt;36,"Contract 2",DATEDIF(J165,TODAY(),"M")&lt;60,"Contract 3",DATEDIF(J165,TODAY(),"M")&lt;63,"Probation",TRUE,"Permanent"))</f>
        <v>Contract 2</v>
      </c>
      <c r="E165" s="9" t="str">
        <f t="shared" ca="1" si="6"/>
        <v>24 Month</v>
      </c>
      <c r="F165" s="9" t="str">
        <f>VLOOKUP(A165, 'Data Employee'!$A$2:$U$1000, 19, FALSE)</f>
        <v>Automotive Engineering</v>
      </c>
      <c r="G165" s="9" t="str">
        <f>VLOOKUP(A165, 'Data Employee'!$A$2:$U$1000, 20, FALSE)</f>
        <v>Manufacturing</v>
      </c>
      <c r="H165" s="9" t="str">
        <f>INDEX('Data Employee'!$W$2:$W$1000, MATCH(A165, 'Data Employee'!$A$2:$A$1000, 0))</f>
        <v>Production Operator</v>
      </c>
      <c r="I165" t="str">
        <f>INDEX('Data Employee'!$V$2:$V$1000,MATCH(A165,'Data Employee'!$A$2:$A$1000,0))</f>
        <v>Operator</v>
      </c>
      <c r="J165" s="18">
        <f>INDEX('Data Employee'!$L$2:$L$1000, MATCH(A165, 'Data Employee'!$A$2:$A$1000, 0))</f>
        <v>45862</v>
      </c>
      <c r="K165" s="19">
        <f>IFERROR(IF(INDEX('Data Employee'!M:M,MATCH(A165,'Data Employee'!A:A,0))="","",INDEX('Data Employee'!M:M,MATCH(A165,'Data Employee'!A:A,0))),"")</f>
        <v>46227</v>
      </c>
      <c r="L165" s="11" t="str">
        <f t="shared" ca="1" si="7"/>
        <v>Expired</v>
      </c>
      <c r="M165" s="11" t="str">
        <f t="shared" ca="1" si="8"/>
        <v>Expired</v>
      </c>
    </row>
    <row r="166" spans="1:13" x14ac:dyDescent="0.35">
      <c r="A166">
        <v>202043974</v>
      </c>
      <c r="B166" t="str">
        <f>INDEX('Data Employee'!$B$2:$B$1000, MATCH(A166, 'Data Employee'!$A$2:$A$1000, 0))</f>
        <v>Bayu Saputra</v>
      </c>
      <c r="C166" t="str">
        <f>INDEX('Data Employee'!$G$2:$G$1000,MATCH(A166,'Data Employee'!$A$2:$A$1000,0))</f>
        <v>Male</v>
      </c>
      <c r="D166" s="9" t="str" cm="1">
        <f t="array" aca="1" ref="D166" ca="1">IF(J166="","",_xlfn.IFS(DATEDIF(J166,TODAY(),"M")&lt;12,"Contract 1",DATEDIF(J166,TODAY(),"M")&lt;36,"Contract 2",DATEDIF(J166,TODAY(),"M")&lt;60,"Contract 3",DATEDIF(J166,TODAY(),"M")&lt;63,"Probation",TRUE,"Permanent"))</f>
        <v>Contract 2</v>
      </c>
      <c r="E166" s="9" t="str">
        <f t="shared" ca="1" si="6"/>
        <v>24 Month</v>
      </c>
      <c r="F166" s="9" t="str">
        <f>VLOOKUP(A166, 'Data Employee'!$A$2:$U$1000, 19, FALSE)</f>
        <v>Automotive Engineering</v>
      </c>
      <c r="G166" s="9" t="str">
        <f>VLOOKUP(A166, 'Data Employee'!$A$2:$U$1000, 20, FALSE)</f>
        <v>Manufacturing</v>
      </c>
      <c r="H166" s="9" t="str">
        <f>INDEX('Data Employee'!$W$2:$W$1000, MATCH(A166, 'Data Employee'!$A$2:$A$1000, 0))</f>
        <v>Production Operator</v>
      </c>
      <c r="I166" t="str">
        <f>INDEX('Data Employee'!$V$2:$V$1000,MATCH(A166,'Data Employee'!$A$2:$A$1000,0))</f>
        <v>Operator</v>
      </c>
      <c r="J166" s="18">
        <f>INDEX('Data Employee'!$L$2:$L$1000, MATCH(A166, 'Data Employee'!$A$2:$A$1000, 0))</f>
        <v>45800</v>
      </c>
      <c r="K166" s="19">
        <f>IFERROR(IF(INDEX('Data Employee'!M:M,MATCH(A166,'Data Employee'!A:A,0))="","",INDEX('Data Employee'!M:M,MATCH(A166,'Data Employee'!A:A,0))),"")</f>
        <v>47626</v>
      </c>
      <c r="L166" s="11" t="str">
        <f t="shared" ca="1" si="7"/>
        <v>1390 Days</v>
      </c>
      <c r="M166" s="11" t="str">
        <f t="shared" ca="1" si="8"/>
        <v>Active</v>
      </c>
    </row>
    <row r="167" spans="1:13" x14ac:dyDescent="0.35">
      <c r="A167">
        <v>202345166</v>
      </c>
      <c r="B167" t="str">
        <f>INDEX('Data Employee'!$B$2:$B$1000, MATCH(A167, 'Data Employee'!$A$2:$A$1000, 0))</f>
        <v>Fajar Lestari</v>
      </c>
      <c r="C167" t="str">
        <f>INDEX('Data Employee'!$G$2:$G$1000,MATCH(A167,'Data Employee'!$A$2:$A$1000,0))</f>
        <v>Male</v>
      </c>
      <c r="D167" s="9" t="str" cm="1">
        <f t="array" aca="1" ref="D167" ca="1">IF(J167="","",_xlfn.IFS(DATEDIF(J167,TODAY(),"M")&lt;12,"Contract 1",DATEDIF(J167,TODAY(),"M")&lt;36,"Contract 2",DATEDIF(J167,TODAY(),"M")&lt;60,"Contract 3",DATEDIF(J167,TODAY(),"M")&lt;63,"Probation",TRUE,"Permanent"))</f>
        <v>Contract 2</v>
      </c>
      <c r="E167" s="9" t="str">
        <f t="shared" ca="1" si="6"/>
        <v>24 Month</v>
      </c>
      <c r="F167" s="9" t="str">
        <f>VLOOKUP(A167, 'Data Employee'!$A$2:$U$1000, 19, FALSE)</f>
        <v>Automotive Engineering</v>
      </c>
      <c r="G167" s="9" t="str">
        <f>VLOOKUP(A167, 'Data Employee'!$A$2:$U$1000, 20, FALSE)</f>
        <v>Manufacturing</v>
      </c>
      <c r="H167" s="9" t="str">
        <f>INDEX('Data Employee'!$W$2:$W$1000, MATCH(A167, 'Data Employee'!$A$2:$A$1000, 0))</f>
        <v>Production Operator</v>
      </c>
      <c r="I167" t="str">
        <f>INDEX('Data Employee'!$V$2:$V$1000,MATCH(A167,'Data Employee'!$A$2:$A$1000,0))</f>
        <v>Operator</v>
      </c>
      <c r="J167" s="18">
        <f>INDEX('Data Employee'!$L$2:$L$1000, MATCH(A167, 'Data Employee'!$A$2:$A$1000, 0))</f>
        <v>45166</v>
      </c>
      <c r="K167" s="19">
        <f>IFERROR(IF(INDEX('Data Employee'!M:M,MATCH(A167,'Data Employee'!A:A,0))="","",INDEX('Data Employee'!M:M,MATCH(A167,'Data Employee'!A:A,0))),"")</f>
        <v>46262</v>
      </c>
      <c r="L167" s="11" t="str">
        <f t="shared" ca="1" si="7"/>
        <v>26 Days</v>
      </c>
      <c r="M167" s="11" t="str">
        <f t="shared" ca="1" si="8"/>
        <v>Urgent Renewal</v>
      </c>
    </row>
    <row r="168" spans="1:13" x14ac:dyDescent="0.35">
      <c r="A168">
        <v>202244604</v>
      </c>
      <c r="B168" t="str">
        <f>INDEX('Data Employee'!$B$2:$B$1000, MATCH(A168, 'Data Employee'!$A$2:$A$1000, 0))</f>
        <v>Budi Wijaya</v>
      </c>
      <c r="C168" t="str">
        <f>INDEX('Data Employee'!$G$2:$G$1000,MATCH(A168,'Data Employee'!$A$2:$A$1000,0))</f>
        <v>Male</v>
      </c>
      <c r="D168" s="9" t="str" cm="1">
        <f t="array" aca="1" ref="D168" ca="1">IF(J168="","",_xlfn.IFS(DATEDIF(J168,TODAY(),"M")&lt;12,"Contract 1",DATEDIF(J168,TODAY(),"M")&lt;36,"Contract 2",DATEDIF(J168,TODAY(),"M")&lt;60,"Contract 3",DATEDIF(J168,TODAY(),"M")&lt;63,"Probation",TRUE,"Permanent"))</f>
        <v>Contract 1</v>
      </c>
      <c r="E168" s="9" t="str">
        <f t="shared" ca="1" si="6"/>
        <v>12 Month</v>
      </c>
      <c r="F168" s="9" t="str">
        <f>VLOOKUP(A168, 'Data Employee'!$A$2:$U$1000, 19, FALSE)</f>
        <v>Automotive Engineering</v>
      </c>
      <c r="G168" s="9" t="str">
        <f>VLOOKUP(A168, 'Data Employee'!$A$2:$U$1000, 20, FALSE)</f>
        <v>Manufacturing</v>
      </c>
      <c r="H168" s="9" t="str">
        <f>INDEX('Data Employee'!$W$2:$W$1000, MATCH(A168, 'Data Employee'!$A$2:$A$1000, 0))</f>
        <v>Production Operator</v>
      </c>
      <c r="I168" t="str">
        <f>INDEX('Data Employee'!$V$2:$V$1000,MATCH(A168,'Data Employee'!$A$2:$A$1000,0))</f>
        <v>Operator</v>
      </c>
      <c r="J168" s="18">
        <f>INDEX('Data Employee'!$L$2:$L$1000, MATCH(A168, 'Data Employee'!$A$2:$A$1000, 0))</f>
        <v>46065</v>
      </c>
      <c r="K168" s="19">
        <f>IFERROR(IF(INDEX('Data Employee'!M:M,MATCH(A168,'Data Employee'!A:A,0))="","",INDEX('Data Employee'!M:M,MATCH(A168,'Data Employee'!A:A,0))),"")</f>
        <v>46430</v>
      </c>
      <c r="L168" s="11" t="str">
        <f t="shared" ca="1" si="7"/>
        <v>194 Days</v>
      </c>
      <c r="M168" s="11" t="str">
        <f t="shared" ca="1" si="8"/>
        <v>Active</v>
      </c>
    </row>
    <row r="169" spans="1:13" x14ac:dyDescent="0.35">
      <c r="A169">
        <v>201943597</v>
      </c>
      <c r="B169" t="str">
        <f>INDEX('Data Employee'!$B$2:$B$1000, MATCH(A169, 'Data Employee'!$A$2:$A$1000, 0))</f>
        <v>Rizky Santoso</v>
      </c>
      <c r="C169" t="str">
        <f>INDEX('Data Employee'!$G$2:$G$1000,MATCH(A169,'Data Employee'!$A$2:$A$1000,0))</f>
        <v>Male</v>
      </c>
      <c r="D169" s="9" t="str" cm="1">
        <f t="array" aca="1" ref="D169" ca="1">IF(J169="","",_xlfn.IFS(DATEDIF(J169,TODAY(),"M")&lt;12,"Contract 1",DATEDIF(J169,TODAY(),"M")&lt;36,"Contract 2",DATEDIF(J169,TODAY(),"M")&lt;60,"Contract 3",DATEDIF(J169,TODAY(),"M")&lt;63,"Probation",TRUE,"Permanent"))</f>
        <v>Permanent</v>
      </c>
      <c r="E169" s="9" t="str">
        <f t="shared" ca="1" si="6"/>
        <v>Permanent</v>
      </c>
      <c r="F169" s="9" t="str">
        <f>VLOOKUP(A169, 'Data Employee'!$A$2:$U$1000, 19, FALSE)</f>
        <v>Automotive Engineering</v>
      </c>
      <c r="G169" s="9" t="str">
        <f>VLOOKUP(A169, 'Data Employee'!$A$2:$U$1000, 20, FALSE)</f>
        <v>Manufacturing</v>
      </c>
      <c r="H169" s="9" t="str">
        <f>INDEX('Data Employee'!$W$2:$W$1000, MATCH(A169, 'Data Employee'!$A$2:$A$1000, 0))</f>
        <v>Leader Line Production</v>
      </c>
      <c r="I169" t="str">
        <f>INDEX('Data Employee'!$V$2:$V$1000,MATCH(A169,'Data Employee'!$A$2:$A$1000,0))</f>
        <v>Leader</v>
      </c>
      <c r="J169" s="18">
        <f>INDEX('Data Employee'!$L$2:$L$1000, MATCH(A169, 'Data Employee'!$A$2:$A$1000, 0))</f>
        <v>43597</v>
      </c>
      <c r="K169" s="19" t="str">
        <f>IFERROR(IF(INDEX('Data Employee'!M:M,MATCH(A169,'Data Employee'!A:A,0))="","",INDEX('Data Employee'!M:M,MATCH(A169,'Data Employee'!A:A,0))),"")</f>
        <v/>
      </c>
      <c r="L169" s="11" t="str">
        <f t="shared" ca="1" si="7"/>
        <v/>
      </c>
      <c r="M169" s="11" t="str">
        <f t="shared" ca="1" si="8"/>
        <v>Active</v>
      </c>
    </row>
    <row r="170" spans="1:13" x14ac:dyDescent="0.35">
      <c r="A170">
        <v>201843265</v>
      </c>
      <c r="B170" t="str">
        <f>INDEX('Data Employee'!$B$2:$B$1000, MATCH(A170, 'Data Employee'!$A$2:$A$1000, 0))</f>
        <v>Yoga Ramadhan</v>
      </c>
      <c r="C170" t="str">
        <f>INDEX('Data Employee'!$G$2:$G$1000,MATCH(A170,'Data Employee'!$A$2:$A$1000,0))</f>
        <v>Male</v>
      </c>
      <c r="D170" s="9" t="str" cm="1">
        <f t="array" aca="1" ref="D170" ca="1">IF(J170="","",_xlfn.IFS(DATEDIF(J170,TODAY(),"M")&lt;12,"Contract 1",DATEDIF(J170,TODAY(),"M")&lt;36,"Contract 2",DATEDIF(J170,TODAY(),"M")&lt;60,"Contract 3",DATEDIF(J170,TODAY(),"M")&lt;63,"Probation",TRUE,"Permanent"))</f>
        <v>Contract 3</v>
      </c>
      <c r="E170" s="9" t="str">
        <f t="shared" ca="1" si="6"/>
        <v>60 Month</v>
      </c>
      <c r="F170" s="9" t="str">
        <f>VLOOKUP(A170, 'Data Employee'!$A$2:$U$1000, 19, FALSE)</f>
        <v>Automotive Engineering</v>
      </c>
      <c r="G170" s="9" t="str">
        <f>VLOOKUP(A170, 'Data Employee'!$A$2:$U$1000, 20, FALSE)</f>
        <v>Manufacturing</v>
      </c>
      <c r="H170" s="9" t="str">
        <f>INDEX('Data Employee'!$W$2:$W$1000, MATCH(A170, 'Data Employee'!$A$2:$A$1000, 0))</f>
        <v>Production Operator</v>
      </c>
      <c r="I170" t="str">
        <f>INDEX('Data Employee'!$V$2:$V$1000,MATCH(A170,'Data Employee'!$A$2:$A$1000,0))</f>
        <v>Operator</v>
      </c>
      <c r="J170" s="18">
        <f>INDEX('Data Employee'!$L$2:$L$1000, MATCH(A170, 'Data Employee'!$A$2:$A$1000, 0))</f>
        <v>45091</v>
      </c>
      <c r="K170" s="19">
        <f>IFERROR(IF(INDEX('Data Employee'!M:M,MATCH(A170,'Data Employee'!A:A,0))="","",INDEX('Data Employee'!M:M,MATCH(A170,'Data Employee'!A:A,0))),"")</f>
        <v>46918</v>
      </c>
      <c r="L170" s="11" t="str">
        <f t="shared" ca="1" si="7"/>
        <v>682 Days</v>
      </c>
      <c r="M170" s="11" t="str">
        <f t="shared" ca="1" si="8"/>
        <v>Active</v>
      </c>
    </row>
    <row r="171" spans="1:13" x14ac:dyDescent="0.35">
      <c r="A171">
        <v>202043910</v>
      </c>
      <c r="B171" t="str">
        <f>INDEX('Data Employee'!$B$2:$B$1000, MATCH(A171, 'Data Employee'!$A$2:$A$1000, 0))</f>
        <v>Rudi Utami</v>
      </c>
      <c r="C171" t="str">
        <f>INDEX('Data Employee'!$G$2:$G$1000,MATCH(A171,'Data Employee'!$A$2:$A$1000,0))</f>
        <v>Male</v>
      </c>
      <c r="D171" s="9" t="str" cm="1">
        <f t="array" aca="1" ref="D171" ca="1">IF(J171="","",_xlfn.IFS(DATEDIF(J171,TODAY(),"M")&lt;12,"Contract 1",DATEDIF(J171,TODAY(),"M")&lt;36,"Contract 2",DATEDIF(J171,TODAY(),"M")&lt;60,"Contract 3",DATEDIF(J171,TODAY(),"M")&lt;63,"Probation",TRUE,"Permanent"))</f>
        <v>Permanent</v>
      </c>
      <c r="E171" s="9" t="str">
        <f t="shared" ca="1" si="6"/>
        <v>Permanent</v>
      </c>
      <c r="F171" s="9" t="str">
        <f>VLOOKUP(A171, 'Data Employee'!$A$2:$U$1000, 19, FALSE)</f>
        <v>Automotive Engineering</v>
      </c>
      <c r="G171" s="9" t="str">
        <f>VLOOKUP(A171, 'Data Employee'!$A$2:$U$1000, 20, FALSE)</f>
        <v>Manufacturing</v>
      </c>
      <c r="H171" s="9" t="str">
        <f>INDEX('Data Employee'!$W$2:$W$1000, MATCH(A171, 'Data Employee'!$A$2:$A$1000, 0))</f>
        <v>Leader Line Production</v>
      </c>
      <c r="I171" t="str">
        <f>INDEX('Data Employee'!$V$2:$V$1000,MATCH(A171,'Data Employee'!$A$2:$A$1000,0))</f>
        <v>Leader</v>
      </c>
      <c r="J171" s="18">
        <f>INDEX('Data Employee'!$L$2:$L$1000, MATCH(A171, 'Data Employee'!$A$2:$A$1000, 0))</f>
        <v>42449</v>
      </c>
      <c r="K171" s="19" t="str">
        <f>IFERROR(IF(INDEX('Data Employee'!M:M,MATCH(A171,'Data Employee'!A:A,0))="","",INDEX('Data Employee'!M:M,MATCH(A171,'Data Employee'!A:A,0))),"")</f>
        <v/>
      </c>
      <c r="L171" s="11" t="str">
        <f t="shared" ca="1" si="7"/>
        <v/>
      </c>
      <c r="M171" s="11" t="str">
        <f t="shared" ca="1" si="8"/>
        <v>Active</v>
      </c>
    </row>
    <row r="172" spans="1:13" x14ac:dyDescent="0.35">
      <c r="A172">
        <v>201943816</v>
      </c>
      <c r="B172" t="str">
        <f>INDEX('Data Employee'!$B$2:$B$1000, MATCH(A172, 'Data Employee'!$A$2:$A$1000, 0))</f>
        <v>Rahmat Ramadhan</v>
      </c>
      <c r="C172" t="str">
        <f>INDEX('Data Employee'!$G$2:$G$1000,MATCH(A172,'Data Employee'!$A$2:$A$1000,0))</f>
        <v>Male</v>
      </c>
      <c r="D172" s="9" t="str" cm="1">
        <f t="array" aca="1" ref="D172" ca="1">IF(J172="","",_xlfn.IFS(DATEDIF(J172,TODAY(),"M")&lt;12,"Contract 1",DATEDIF(J172,TODAY(),"M")&lt;36,"Contract 2",DATEDIF(J172,TODAY(),"M")&lt;60,"Contract 3",DATEDIF(J172,TODAY(),"M")&lt;63,"Probation",TRUE,"Permanent"))</f>
        <v>Contract 2</v>
      </c>
      <c r="E172" s="9" t="str">
        <f t="shared" ca="1" si="6"/>
        <v>24 Month</v>
      </c>
      <c r="F172" s="9" t="str">
        <f>VLOOKUP(A172, 'Data Employee'!$A$2:$U$1000, 19, FALSE)</f>
        <v>Automotive Engineering</v>
      </c>
      <c r="G172" s="9" t="str">
        <f>VLOOKUP(A172, 'Data Employee'!$A$2:$U$1000, 20, FALSE)</f>
        <v>Manufacturing</v>
      </c>
      <c r="H172" s="9" t="str">
        <f>INDEX('Data Employee'!$W$2:$W$1000, MATCH(A172, 'Data Employee'!$A$2:$A$1000, 0))</f>
        <v>Production Operator</v>
      </c>
      <c r="I172" t="str">
        <f>INDEX('Data Employee'!$V$2:$V$1000,MATCH(A172,'Data Employee'!$A$2:$A$1000,0))</f>
        <v>Operator</v>
      </c>
      <c r="J172" s="18">
        <f>INDEX('Data Employee'!$L$2:$L$1000, MATCH(A172, 'Data Employee'!$A$2:$A$1000, 0))</f>
        <v>45643</v>
      </c>
      <c r="K172" s="19">
        <f>IFERROR(IF(INDEX('Data Employee'!M:M,MATCH(A172,'Data Employee'!A:A,0))="","",INDEX('Data Employee'!M:M,MATCH(A172,'Data Employee'!A:A,0))),"")</f>
        <v>46373</v>
      </c>
      <c r="L172" s="11" t="str">
        <f t="shared" ca="1" si="7"/>
        <v>137 Days</v>
      </c>
      <c r="M172" s="11" t="str">
        <f t="shared" ca="1" si="8"/>
        <v>Active</v>
      </c>
    </row>
    <row r="173" spans="1:13" x14ac:dyDescent="0.35">
      <c r="A173">
        <v>202144474</v>
      </c>
      <c r="B173" t="str">
        <f>INDEX('Data Employee'!$B$2:$B$1000, MATCH(A173, 'Data Employee'!$A$2:$A$1000, 0))</f>
        <v>Rahmat Sari</v>
      </c>
      <c r="C173" t="str">
        <f>INDEX('Data Employee'!$G$2:$G$1000,MATCH(A173,'Data Employee'!$A$2:$A$1000,0))</f>
        <v>Male</v>
      </c>
      <c r="D173" s="9" t="str" cm="1">
        <f t="array" aca="1" ref="D173" ca="1">IF(J173="","",_xlfn.IFS(DATEDIF(J173,TODAY(),"M")&lt;12,"Contract 1",DATEDIF(J173,TODAY(),"M")&lt;36,"Contract 2",DATEDIF(J173,TODAY(),"M")&lt;60,"Contract 3",DATEDIF(J173,TODAY(),"M")&lt;63,"Probation",TRUE,"Permanent"))</f>
        <v>Permanent</v>
      </c>
      <c r="E173" s="9" t="str">
        <f t="shared" ca="1" si="6"/>
        <v>Permanent</v>
      </c>
      <c r="F173" s="9" t="str">
        <f>VLOOKUP(A173, 'Data Employee'!$A$2:$U$1000, 19, FALSE)</f>
        <v>Automotive Engineering</v>
      </c>
      <c r="G173" s="9" t="str">
        <f>VLOOKUP(A173, 'Data Employee'!$A$2:$U$1000, 20, FALSE)</f>
        <v>Manufacturing</v>
      </c>
      <c r="H173" s="9" t="str">
        <f>INDEX('Data Employee'!$W$2:$W$1000, MATCH(A173, 'Data Employee'!$A$2:$A$1000, 0))</f>
        <v>Leader Line Production</v>
      </c>
      <c r="I173" t="str">
        <f>INDEX('Data Employee'!$V$2:$V$1000,MATCH(A173,'Data Employee'!$A$2:$A$1000,0))</f>
        <v>Leader</v>
      </c>
      <c r="J173" s="18">
        <f>INDEX('Data Employee'!$L$2:$L$1000, MATCH(A173, 'Data Employee'!$A$2:$A$1000, 0))</f>
        <v>41917</v>
      </c>
      <c r="K173" s="19" t="str">
        <f>IFERROR(IF(INDEX('Data Employee'!M:M,MATCH(A173,'Data Employee'!A:A,0))="","",INDEX('Data Employee'!M:M,MATCH(A173,'Data Employee'!A:A,0))),"")</f>
        <v/>
      </c>
      <c r="L173" s="11" t="str">
        <f t="shared" ca="1" si="7"/>
        <v/>
      </c>
      <c r="M173" s="11" t="str">
        <f t="shared" ca="1" si="8"/>
        <v>Active</v>
      </c>
    </row>
    <row r="174" spans="1:13" x14ac:dyDescent="0.35">
      <c r="A174">
        <v>202144525</v>
      </c>
      <c r="B174" t="str">
        <f>INDEX('Data Employee'!$B$2:$B$1000, MATCH(A174, 'Data Employee'!$A$2:$A$1000, 0))</f>
        <v>Yusuf Kusuma</v>
      </c>
      <c r="C174" t="str">
        <f>INDEX('Data Employee'!$G$2:$G$1000,MATCH(A174,'Data Employee'!$A$2:$A$1000,0))</f>
        <v>Male</v>
      </c>
      <c r="D174" s="9" t="str" cm="1">
        <f t="array" aca="1" ref="D174" ca="1">IF(J174="","",_xlfn.IFS(DATEDIF(J174,TODAY(),"M")&lt;12,"Contract 1",DATEDIF(J174,TODAY(),"M")&lt;36,"Contract 2",DATEDIF(J174,TODAY(),"M")&lt;60,"Contract 3",DATEDIF(J174,TODAY(),"M")&lt;63,"Probation",TRUE,"Permanent"))</f>
        <v>Permanent</v>
      </c>
      <c r="E174" s="9" t="str">
        <f t="shared" ca="1" si="6"/>
        <v>Permanent</v>
      </c>
      <c r="F174" s="9" t="str">
        <f>VLOOKUP(A174, 'Data Employee'!$A$2:$U$1000, 19, FALSE)</f>
        <v>Automotive Engineering</v>
      </c>
      <c r="G174" s="9" t="str">
        <f>VLOOKUP(A174, 'Data Employee'!$A$2:$U$1000, 20, FALSE)</f>
        <v>Manufacturing</v>
      </c>
      <c r="H174" s="9" t="str">
        <f>INDEX('Data Employee'!$W$2:$W$1000, MATCH(A174, 'Data Employee'!$A$2:$A$1000, 0))</f>
        <v>Leader Line Production</v>
      </c>
      <c r="I174" t="str">
        <f>INDEX('Data Employee'!$V$2:$V$1000,MATCH(A174,'Data Employee'!$A$2:$A$1000,0))</f>
        <v>Leader</v>
      </c>
      <c r="J174" s="18">
        <f>INDEX('Data Employee'!$L$2:$L$1000, MATCH(A174, 'Data Employee'!$A$2:$A$1000, 0))</f>
        <v>41968</v>
      </c>
      <c r="K174" s="19" t="str">
        <f>IFERROR(IF(INDEX('Data Employee'!M:M,MATCH(A174,'Data Employee'!A:A,0))="","",INDEX('Data Employee'!M:M,MATCH(A174,'Data Employee'!A:A,0))),"")</f>
        <v/>
      </c>
      <c r="L174" s="11" t="str">
        <f t="shared" ca="1" si="7"/>
        <v/>
      </c>
      <c r="M174" s="11" t="str">
        <f t="shared" ca="1" si="8"/>
        <v>Active</v>
      </c>
    </row>
    <row r="175" spans="1:13" x14ac:dyDescent="0.35">
      <c r="A175">
        <v>201843355</v>
      </c>
      <c r="B175" t="str">
        <f>INDEX('Data Employee'!$B$2:$B$1000, MATCH(A175, 'Data Employee'!$A$2:$A$1000, 0))</f>
        <v>Rudi Wijaya</v>
      </c>
      <c r="C175" t="str">
        <f>INDEX('Data Employee'!$G$2:$G$1000,MATCH(A175,'Data Employee'!$A$2:$A$1000,0))</f>
        <v>Male</v>
      </c>
      <c r="D175" s="9" t="str" cm="1">
        <f t="array" aca="1" ref="D175" ca="1">IF(J175="","",_xlfn.IFS(DATEDIF(J175,TODAY(),"M")&lt;12,"Contract 1",DATEDIF(J175,TODAY(),"M")&lt;36,"Contract 2",DATEDIF(J175,TODAY(),"M")&lt;60,"Contract 3",DATEDIF(J175,TODAY(),"M")&lt;63,"Probation",TRUE,"Permanent"))</f>
        <v>Permanent</v>
      </c>
      <c r="E175" s="9" t="str">
        <f t="shared" ca="1" si="6"/>
        <v>Permanent</v>
      </c>
      <c r="F175" s="9" t="str">
        <f>VLOOKUP(A175, 'Data Employee'!$A$2:$U$1000, 19, FALSE)</f>
        <v>Automotive Engineering</v>
      </c>
      <c r="G175" s="9" t="str">
        <f>VLOOKUP(A175, 'Data Employee'!$A$2:$U$1000, 20, FALSE)</f>
        <v>Manufacturing</v>
      </c>
      <c r="H175" s="9" t="str">
        <f>INDEX('Data Employee'!$W$2:$W$1000, MATCH(A175, 'Data Employee'!$A$2:$A$1000, 0))</f>
        <v>Leader Line Production</v>
      </c>
      <c r="I175" t="str">
        <f>INDEX('Data Employee'!$V$2:$V$1000,MATCH(A175,'Data Employee'!$A$2:$A$1000,0))</f>
        <v>Leader</v>
      </c>
      <c r="J175" s="18">
        <f>INDEX('Data Employee'!$L$2:$L$1000, MATCH(A175, 'Data Employee'!$A$2:$A$1000, 0))</f>
        <v>43355</v>
      </c>
      <c r="K175" s="19" t="str">
        <f>IFERROR(IF(INDEX('Data Employee'!M:M,MATCH(A175,'Data Employee'!A:A,0))="","",INDEX('Data Employee'!M:M,MATCH(A175,'Data Employee'!A:A,0))),"")</f>
        <v/>
      </c>
      <c r="L175" s="11" t="str">
        <f t="shared" ca="1" si="7"/>
        <v/>
      </c>
      <c r="M175" s="11" t="str">
        <f t="shared" ca="1" si="8"/>
        <v>Active</v>
      </c>
    </row>
    <row r="176" spans="1:13" x14ac:dyDescent="0.35">
      <c r="A176">
        <v>201441661</v>
      </c>
      <c r="B176" t="str">
        <f>INDEX('Data Employee'!$B$2:$B$1000, MATCH(A176, 'Data Employee'!$A$2:$A$1000, 0))</f>
        <v>Agus Wijaya</v>
      </c>
      <c r="C176" t="str">
        <f>INDEX('Data Employee'!$G$2:$G$1000,MATCH(A176,'Data Employee'!$A$2:$A$1000,0))</f>
        <v>Male</v>
      </c>
      <c r="D176" s="9" t="str" cm="1">
        <f t="array" aca="1" ref="D176" ca="1">IF(J176="","",_xlfn.IFS(DATEDIF(J176,TODAY(),"M")&lt;12,"Contract 1",DATEDIF(J176,TODAY(),"M")&lt;36,"Contract 2",DATEDIF(J176,TODAY(),"M")&lt;60,"Contract 3",DATEDIF(J176,TODAY(),"M")&lt;63,"Probation",TRUE,"Permanent"))</f>
        <v>Contract 3</v>
      </c>
      <c r="E176" s="9" t="str">
        <f t="shared" ca="1" si="6"/>
        <v>60 Month</v>
      </c>
      <c r="F176" s="9" t="str">
        <f>VLOOKUP(A176, 'Data Employee'!$A$2:$U$1000, 19, FALSE)</f>
        <v>Automotive Engineering</v>
      </c>
      <c r="G176" s="9" t="str">
        <f>VLOOKUP(A176, 'Data Employee'!$A$2:$U$1000, 20, FALSE)</f>
        <v>Manufacturing</v>
      </c>
      <c r="H176" s="9" t="str">
        <f>INDEX('Data Employee'!$W$2:$W$1000, MATCH(A176, 'Data Employee'!$A$2:$A$1000, 0))</f>
        <v>Production Operator</v>
      </c>
      <c r="I176" t="str">
        <f>INDEX('Data Employee'!$V$2:$V$1000,MATCH(A176,'Data Employee'!$A$2:$A$1000,0))</f>
        <v>Operator</v>
      </c>
      <c r="J176" s="18">
        <f>INDEX('Data Employee'!$L$2:$L$1000, MATCH(A176, 'Data Employee'!$A$2:$A$1000, 0))</f>
        <v>44948</v>
      </c>
      <c r="K176" s="19">
        <f>IFERROR(IF(INDEX('Data Employee'!M:M,MATCH(A176,'Data Employee'!A:A,0))="","",INDEX('Data Employee'!M:M,MATCH(A176,'Data Employee'!A:A,0))),"")</f>
        <v>46774</v>
      </c>
      <c r="L176" s="11" t="str">
        <f t="shared" ca="1" si="7"/>
        <v>538 Days</v>
      </c>
      <c r="M176" s="11" t="str">
        <f t="shared" ca="1" si="8"/>
        <v>Active</v>
      </c>
    </row>
    <row r="177" spans="1:13" x14ac:dyDescent="0.35">
      <c r="A177">
        <v>201943713</v>
      </c>
      <c r="B177" t="str">
        <f>INDEX('Data Employee'!$B$2:$B$1000, MATCH(A177, 'Data Employee'!$A$2:$A$1000, 0))</f>
        <v>Rudi Santoso</v>
      </c>
      <c r="C177" t="str">
        <f>INDEX('Data Employee'!$G$2:$G$1000,MATCH(A177,'Data Employee'!$A$2:$A$1000,0))</f>
        <v>Male</v>
      </c>
      <c r="D177" s="9" t="str" cm="1">
        <f t="array" aca="1" ref="D177" ca="1">IF(J177="","",_xlfn.IFS(DATEDIF(J177,TODAY(),"M")&lt;12,"Contract 1",DATEDIF(J177,TODAY(),"M")&lt;36,"Contract 2",DATEDIF(J177,TODAY(),"M")&lt;60,"Contract 3",DATEDIF(J177,TODAY(),"M")&lt;63,"Probation",TRUE,"Permanent"))</f>
        <v>Permanent</v>
      </c>
      <c r="E177" s="9" t="str">
        <f t="shared" ca="1" si="6"/>
        <v>Permanent</v>
      </c>
      <c r="F177" s="9" t="str">
        <f>VLOOKUP(A177, 'Data Employee'!$A$2:$U$1000, 19, FALSE)</f>
        <v>Automotive Engineering</v>
      </c>
      <c r="G177" s="9" t="str">
        <f>VLOOKUP(A177, 'Data Employee'!$A$2:$U$1000, 20, FALSE)</f>
        <v>Manufacturing</v>
      </c>
      <c r="H177" s="9" t="str">
        <f>INDEX('Data Employee'!$W$2:$W$1000, MATCH(A177, 'Data Employee'!$A$2:$A$1000, 0))</f>
        <v>Leader Line Production</v>
      </c>
      <c r="I177" t="str">
        <f>INDEX('Data Employee'!$V$2:$V$1000,MATCH(A177,'Data Employee'!$A$2:$A$1000,0))</f>
        <v>Leader</v>
      </c>
      <c r="J177" s="18">
        <f>INDEX('Data Employee'!$L$2:$L$1000, MATCH(A177, 'Data Employee'!$A$2:$A$1000, 0))</f>
        <v>43348</v>
      </c>
      <c r="K177" s="19" t="str">
        <f>IFERROR(IF(INDEX('Data Employee'!M:M,MATCH(A177,'Data Employee'!A:A,0))="","",INDEX('Data Employee'!M:M,MATCH(A177,'Data Employee'!A:A,0))),"")</f>
        <v/>
      </c>
      <c r="L177" s="11" t="str">
        <f t="shared" ca="1" si="7"/>
        <v/>
      </c>
      <c r="M177" s="11" t="str">
        <f t="shared" ca="1" si="8"/>
        <v>Active</v>
      </c>
    </row>
    <row r="178" spans="1:13" x14ac:dyDescent="0.35">
      <c r="A178">
        <v>201943712</v>
      </c>
      <c r="B178" t="str">
        <f>INDEX('Data Employee'!$B$2:$B$1000, MATCH(A178, 'Data Employee'!$A$2:$A$1000, 0))</f>
        <v>Bayu Pratama</v>
      </c>
      <c r="C178" t="str">
        <f>INDEX('Data Employee'!$G$2:$G$1000,MATCH(A178,'Data Employee'!$A$2:$A$1000,0))</f>
        <v>Male</v>
      </c>
      <c r="D178" s="9" t="str" cm="1">
        <f t="array" aca="1" ref="D178" ca="1">IF(J178="","",_xlfn.IFS(DATEDIF(J178,TODAY(),"M")&lt;12,"Contract 1",DATEDIF(J178,TODAY(),"M")&lt;36,"Contract 2",DATEDIF(J178,TODAY(),"M")&lt;60,"Contract 3",DATEDIF(J178,TODAY(),"M")&lt;63,"Probation",TRUE,"Permanent"))</f>
        <v>Contract 2</v>
      </c>
      <c r="E178" s="9" t="str">
        <f t="shared" ca="1" si="6"/>
        <v>24 Month</v>
      </c>
      <c r="F178" s="9" t="str">
        <f>VLOOKUP(A178, 'Data Employee'!$A$2:$U$1000, 19, FALSE)</f>
        <v>Automotive Engineering</v>
      </c>
      <c r="G178" s="9" t="str">
        <f>VLOOKUP(A178, 'Data Employee'!$A$2:$U$1000, 20, FALSE)</f>
        <v>Manufacturing</v>
      </c>
      <c r="H178" s="9" t="str">
        <f>INDEX('Data Employee'!$W$2:$W$1000, MATCH(A178, 'Data Employee'!$A$2:$A$1000, 0))</f>
        <v>Production Operator</v>
      </c>
      <c r="I178" t="str">
        <f>INDEX('Data Employee'!$V$2:$V$1000,MATCH(A178,'Data Employee'!$A$2:$A$1000,0))</f>
        <v>Operator</v>
      </c>
      <c r="J178" s="18">
        <f>INDEX('Data Employee'!$L$2:$L$1000, MATCH(A178, 'Data Employee'!$A$2:$A$1000, 0))</f>
        <v>45539</v>
      </c>
      <c r="K178" s="19">
        <f>IFERROR(IF(INDEX('Data Employee'!M:M,MATCH(A178,'Data Employee'!A:A,0))="","",INDEX('Data Employee'!M:M,MATCH(A178,'Data Employee'!A:A,0))),"")</f>
        <v>47365</v>
      </c>
      <c r="L178" s="11" t="str">
        <f t="shared" ca="1" si="7"/>
        <v>1129 Days</v>
      </c>
      <c r="M178" s="11" t="str">
        <f t="shared" ca="1" si="8"/>
        <v>Active</v>
      </c>
    </row>
    <row r="179" spans="1:13" x14ac:dyDescent="0.35">
      <c r="A179">
        <v>201642451</v>
      </c>
      <c r="B179" t="str">
        <f>INDEX('Data Employee'!$B$2:$B$1000, MATCH(A179, 'Data Employee'!$A$2:$A$1000, 0))</f>
        <v>Dedi Santoso</v>
      </c>
      <c r="C179" t="str">
        <f>INDEX('Data Employee'!$G$2:$G$1000,MATCH(A179,'Data Employee'!$A$2:$A$1000,0))</f>
        <v>Male</v>
      </c>
      <c r="D179" s="9" t="str" cm="1">
        <f t="array" aca="1" ref="D179" ca="1">IF(J179="","",_xlfn.IFS(DATEDIF(J179,TODAY(),"M")&lt;12,"Contract 1",DATEDIF(J179,TODAY(),"M")&lt;36,"Contract 2",DATEDIF(J179,TODAY(),"M")&lt;60,"Contract 3",DATEDIF(J179,TODAY(),"M")&lt;63,"Probation",TRUE,"Permanent"))</f>
        <v>Contract 3</v>
      </c>
      <c r="E179" s="9" t="str">
        <f t="shared" ca="1" si="6"/>
        <v>60 Month</v>
      </c>
      <c r="F179" s="9" t="str">
        <f>VLOOKUP(A179, 'Data Employee'!$A$2:$U$1000, 19, FALSE)</f>
        <v>Automotive Engineering</v>
      </c>
      <c r="G179" s="9" t="str">
        <f>VLOOKUP(A179, 'Data Employee'!$A$2:$U$1000, 20, FALSE)</f>
        <v>Manufacturing</v>
      </c>
      <c r="H179" s="9" t="str">
        <f>INDEX('Data Employee'!$W$2:$W$1000, MATCH(A179, 'Data Employee'!$A$2:$A$1000, 0))</f>
        <v>Production Operator</v>
      </c>
      <c r="I179" t="str">
        <f>INDEX('Data Employee'!$V$2:$V$1000,MATCH(A179,'Data Employee'!$A$2:$A$1000,0))</f>
        <v>Operator</v>
      </c>
      <c r="J179" s="18">
        <f>INDEX('Data Employee'!$L$2:$L$1000, MATCH(A179, 'Data Employee'!$A$2:$A$1000, 0))</f>
        <v>45007</v>
      </c>
      <c r="K179" s="19">
        <f>IFERROR(IF(INDEX('Data Employee'!M:M,MATCH(A179,'Data Employee'!A:A,0))="","",INDEX('Data Employee'!M:M,MATCH(A179,'Data Employee'!A:A,0))),"")</f>
        <v>46834</v>
      </c>
      <c r="L179" s="11" t="str">
        <f t="shared" ca="1" si="7"/>
        <v>598 Days</v>
      </c>
      <c r="M179" s="11" t="str">
        <f t="shared" ca="1" si="8"/>
        <v>Active</v>
      </c>
    </row>
    <row r="180" spans="1:13" x14ac:dyDescent="0.35">
      <c r="A180">
        <v>202345218</v>
      </c>
      <c r="B180" t="str">
        <f>INDEX('Data Employee'!$B$2:$B$1000, MATCH(A180, 'Data Employee'!$A$2:$A$1000, 0))</f>
        <v>Dedi Nugroho</v>
      </c>
      <c r="C180" t="str">
        <f>INDEX('Data Employee'!$G$2:$G$1000,MATCH(A180,'Data Employee'!$A$2:$A$1000,0))</f>
        <v>Male</v>
      </c>
      <c r="D180" s="9" t="str" cm="1">
        <f t="array" aca="1" ref="D180" ca="1">IF(J180="","",_xlfn.IFS(DATEDIF(J180,TODAY(),"M")&lt;12,"Contract 1",DATEDIF(J180,TODAY(),"M")&lt;36,"Contract 2",DATEDIF(J180,TODAY(),"M")&lt;60,"Contract 3",DATEDIF(J180,TODAY(),"M")&lt;63,"Probation",TRUE,"Permanent"))</f>
        <v>Contract 2</v>
      </c>
      <c r="E180" s="9" t="str">
        <f t="shared" ca="1" si="6"/>
        <v>24 Month</v>
      </c>
      <c r="F180" s="9" t="str">
        <f>VLOOKUP(A180, 'Data Employee'!$A$2:$U$1000, 19, FALSE)</f>
        <v>Automotive Engineering</v>
      </c>
      <c r="G180" s="9" t="str">
        <f>VLOOKUP(A180, 'Data Employee'!$A$2:$U$1000, 20, FALSE)</f>
        <v>Manufacturing</v>
      </c>
      <c r="H180" s="9" t="str">
        <f>INDEX('Data Employee'!$W$2:$W$1000, MATCH(A180, 'Data Employee'!$A$2:$A$1000, 0))</f>
        <v>Production Operator</v>
      </c>
      <c r="I180" t="str">
        <f>INDEX('Data Employee'!$V$2:$V$1000,MATCH(A180,'Data Employee'!$A$2:$A$1000,0))</f>
        <v>Operator</v>
      </c>
      <c r="J180" s="18">
        <f>INDEX('Data Employee'!$L$2:$L$1000, MATCH(A180, 'Data Employee'!$A$2:$A$1000, 0))</f>
        <v>45218</v>
      </c>
      <c r="K180" s="19">
        <f>IFERROR(IF(INDEX('Data Employee'!M:M,MATCH(A180,'Data Employee'!A:A,0))="","",INDEX('Data Employee'!M:M,MATCH(A180,'Data Employee'!A:A,0))),"")</f>
        <v>46314</v>
      </c>
      <c r="L180" s="11" t="str">
        <f t="shared" ca="1" si="7"/>
        <v>78 Days</v>
      </c>
      <c r="M180" s="11" t="str">
        <f t="shared" ca="1" si="8"/>
        <v>Active</v>
      </c>
    </row>
    <row r="181" spans="1:13" x14ac:dyDescent="0.35">
      <c r="A181">
        <v>202344990</v>
      </c>
      <c r="B181" t="str">
        <f>INDEX('Data Employee'!$B$2:$B$1000, MATCH(A181, 'Data Employee'!$A$2:$A$1000, 0))</f>
        <v>Yusuf Lestari</v>
      </c>
      <c r="C181" t="str">
        <f>INDEX('Data Employee'!$G$2:$G$1000,MATCH(A181,'Data Employee'!$A$2:$A$1000,0))</f>
        <v>Male</v>
      </c>
      <c r="D181" s="9" t="str" cm="1">
        <f t="array" aca="1" ref="D181" ca="1">IF(J181="","",_xlfn.IFS(DATEDIF(J181,TODAY(),"M")&lt;12,"Contract 1",DATEDIF(J181,TODAY(),"M")&lt;36,"Contract 2",DATEDIF(J181,TODAY(),"M")&lt;60,"Contract 3",DATEDIF(J181,TODAY(),"M")&lt;63,"Probation",TRUE,"Permanent"))</f>
        <v>Contract 3</v>
      </c>
      <c r="E181" s="9" t="str">
        <f t="shared" ca="1" si="6"/>
        <v>60 Month</v>
      </c>
      <c r="F181" s="9" t="str">
        <f>VLOOKUP(A181, 'Data Employee'!$A$2:$U$1000, 19, FALSE)</f>
        <v>Automotive Engineering</v>
      </c>
      <c r="G181" s="9" t="str">
        <f>VLOOKUP(A181, 'Data Employee'!$A$2:$U$1000, 20, FALSE)</f>
        <v>Manufacturing</v>
      </c>
      <c r="H181" s="9" t="str">
        <f>INDEX('Data Employee'!$W$2:$W$1000, MATCH(A181, 'Data Employee'!$A$2:$A$1000, 0))</f>
        <v>Production Operator</v>
      </c>
      <c r="I181" t="str">
        <f>INDEX('Data Employee'!$V$2:$V$1000,MATCH(A181,'Data Employee'!$A$2:$A$1000,0))</f>
        <v>Operator</v>
      </c>
      <c r="J181" s="18">
        <f>INDEX('Data Employee'!$L$2:$L$1000, MATCH(A181, 'Data Employee'!$A$2:$A$1000, 0))</f>
        <v>44990</v>
      </c>
      <c r="K181" s="19">
        <f>IFERROR(IF(INDEX('Data Employee'!M:M,MATCH(A181,'Data Employee'!A:A,0))="","",INDEX('Data Employee'!M:M,MATCH(A181,'Data Employee'!A:A,0))),"")</f>
        <v>46817</v>
      </c>
      <c r="L181" s="11" t="str">
        <f t="shared" ca="1" si="7"/>
        <v>581 Days</v>
      </c>
      <c r="M181" s="11" t="str">
        <f t="shared" ca="1" si="8"/>
        <v>Active</v>
      </c>
    </row>
    <row r="182" spans="1:13" x14ac:dyDescent="0.35">
      <c r="A182">
        <v>202345147</v>
      </c>
      <c r="B182" t="str">
        <f>INDEX('Data Employee'!$B$2:$B$1000, MATCH(A182, 'Data Employee'!$A$2:$A$1000, 0))</f>
        <v>Rizky Saputra</v>
      </c>
      <c r="C182" t="str">
        <f>INDEX('Data Employee'!$G$2:$G$1000,MATCH(A182,'Data Employee'!$A$2:$A$1000,0))</f>
        <v>Male</v>
      </c>
      <c r="D182" s="9" t="str" cm="1">
        <f t="array" aca="1" ref="D182" ca="1">IF(J182="","",_xlfn.IFS(DATEDIF(J182,TODAY(),"M")&lt;12,"Contract 1",DATEDIF(J182,TODAY(),"M")&lt;36,"Contract 2",DATEDIF(J182,TODAY(),"M")&lt;60,"Contract 3",DATEDIF(J182,TODAY(),"M")&lt;63,"Probation",TRUE,"Permanent"))</f>
        <v>Contract 2</v>
      </c>
      <c r="E182" s="9" t="str">
        <f t="shared" ca="1" si="6"/>
        <v>24 Month</v>
      </c>
      <c r="F182" s="9" t="str">
        <f>VLOOKUP(A182, 'Data Employee'!$A$2:$U$1000, 19, FALSE)</f>
        <v>Automotive Engineering</v>
      </c>
      <c r="G182" s="9" t="str">
        <f>VLOOKUP(A182, 'Data Employee'!$A$2:$U$1000, 20, FALSE)</f>
        <v>Manufacturing</v>
      </c>
      <c r="H182" s="9" t="str">
        <f>INDEX('Data Employee'!$W$2:$W$1000, MATCH(A182, 'Data Employee'!$A$2:$A$1000, 0))</f>
        <v>Production Operator</v>
      </c>
      <c r="I182" t="str">
        <f>INDEX('Data Employee'!$V$2:$V$1000,MATCH(A182,'Data Employee'!$A$2:$A$1000,0))</f>
        <v>Operator</v>
      </c>
      <c r="J182" s="18">
        <f>INDEX('Data Employee'!$L$2:$L$1000, MATCH(A182, 'Data Employee'!$A$2:$A$1000, 0))</f>
        <v>45147</v>
      </c>
      <c r="K182" s="19">
        <f>IFERROR(IF(INDEX('Data Employee'!M:M,MATCH(A182,'Data Employee'!A:A,0))="","",INDEX('Data Employee'!M:M,MATCH(A182,'Data Employee'!A:A,0))),"")</f>
        <v>46243</v>
      </c>
      <c r="L182" s="11" t="str">
        <f t="shared" ca="1" si="7"/>
        <v>7 Days</v>
      </c>
      <c r="M182" s="11" t="str">
        <f t="shared" ca="1" si="8"/>
        <v>Urgent Renewal</v>
      </c>
    </row>
    <row r="183" spans="1:13" x14ac:dyDescent="0.35">
      <c r="A183">
        <v>202244574</v>
      </c>
      <c r="B183" t="str">
        <f>INDEX('Data Employee'!$B$2:$B$1000, MATCH(A183, 'Data Employee'!$A$2:$A$1000, 0))</f>
        <v>Rudi Utami</v>
      </c>
      <c r="C183" t="str">
        <f>INDEX('Data Employee'!$G$2:$G$1000,MATCH(A183,'Data Employee'!$A$2:$A$1000,0))</f>
        <v>Male</v>
      </c>
      <c r="D183" s="9" t="str" cm="1">
        <f t="array" aca="1" ref="D183" ca="1">IF(J183="","",_xlfn.IFS(DATEDIF(J183,TODAY(),"M")&lt;12,"Contract 1",DATEDIF(J183,TODAY(),"M")&lt;36,"Contract 2",DATEDIF(J183,TODAY(),"M")&lt;60,"Contract 3",DATEDIF(J183,TODAY(),"M")&lt;63,"Probation",TRUE,"Permanent"))</f>
        <v>Contract 1</v>
      </c>
      <c r="E183" s="9" t="str">
        <f t="shared" ca="1" si="6"/>
        <v>12 Month</v>
      </c>
      <c r="F183" s="9" t="str">
        <f>VLOOKUP(A183, 'Data Employee'!$A$2:$U$1000, 19, FALSE)</f>
        <v>Automotive Engineering</v>
      </c>
      <c r="G183" s="9" t="str">
        <f>VLOOKUP(A183, 'Data Employee'!$A$2:$U$1000, 20, FALSE)</f>
        <v>Manufacturing</v>
      </c>
      <c r="H183" s="9" t="str">
        <f>INDEX('Data Employee'!$W$2:$W$1000, MATCH(A183, 'Data Employee'!$A$2:$A$1000, 0))</f>
        <v>Production Operator</v>
      </c>
      <c r="I183" t="str">
        <f>INDEX('Data Employee'!$V$2:$V$1000,MATCH(A183,'Data Employee'!$A$2:$A$1000,0))</f>
        <v>Operator</v>
      </c>
      <c r="J183" s="18">
        <f>INDEX('Data Employee'!$L$2:$L$1000, MATCH(A183, 'Data Employee'!$A$2:$A$1000, 0))</f>
        <v>46035</v>
      </c>
      <c r="K183" s="19">
        <f>IFERROR(IF(INDEX('Data Employee'!M:M,MATCH(A183,'Data Employee'!A:A,0))="","",INDEX('Data Employee'!M:M,MATCH(A183,'Data Employee'!A:A,0))),"")</f>
        <v>46765</v>
      </c>
      <c r="L183" s="11" t="str">
        <f t="shared" ca="1" si="7"/>
        <v>529 Days</v>
      </c>
      <c r="M183" s="11" t="str">
        <f t="shared" ca="1" si="8"/>
        <v>Active</v>
      </c>
    </row>
    <row r="184" spans="1:13" x14ac:dyDescent="0.35">
      <c r="A184">
        <v>201843207</v>
      </c>
      <c r="B184" t="str">
        <f>INDEX('Data Employee'!$B$2:$B$1000, MATCH(A184, 'Data Employee'!$A$2:$A$1000, 0))</f>
        <v>Rahmat Kusuma</v>
      </c>
      <c r="C184" t="str">
        <f>INDEX('Data Employee'!$G$2:$G$1000,MATCH(A184,'Data Employee'!$A$2:$A$1000,0))</f>
        <v>Male</v>
      </c>
      <c r="D184" s="9" t="str" cm="1">
        <f t="array" aca="1" ref="D184" ca="1">IF(J184="","",_xlfn.IFS(DATEDIF(J184,TODAY(),"M")&lt;12,"Contract 1",DATEDIF(J184,TODAY(),"M")&lt;36,"Contract 2",DATEDIF(J184,TODAY(),"M")&lt;60,"Contract 3",DATEDIF(J184,TODAY(),"M")&lt;63,"Probation",TRUE,"Permanent"))</f>
        <v>Contract 3</v>
      </c>
      <c r="E184" s="9" t="str">
        <f t="shared" ca="1" si="6"/>
        <v>60 Month</v>
      </c>
      <c r="F184" s="9" t="str">
        <f>VLOOKUP(A184, 'Data Employee'!$A$2:$U$1000, 19, FALSE)</f>
        <v>Automotive Engineering</v>
      </c>
      <c r="G184" s="9" t="str">
        <f>VLOOKUP(A184, 'Data Employee'!$A$2:$U$1000, 20, FALSE)</f>
        <v>Manufacturing</v>
      </c>
      <c r="H184" s="9" t="str">
        <f>INDEX('Data Employee'!$W$2:$W$1000, MATCH(A184, 'Data Employee'!$A$2:$A$1000, 0))</f>
        <v>Production Operator</v>
      </c>
      <c r="I184" t="str">
        <f>INDEX('Data Employee'!$V$2:$V$1000,MATCH(A184,'Data Employee'!$A$2:$A$1000,0))</f>
        <v>Operator</v>
      </c>
      <c r="J184" s="18">
        <f>INDEX('Data Employee'!$L$2:$L$1000, MATCH(A184, 'Data Employee'!$A$2:$A$1000, 0))</f>
        <v>45033</v>
      </c>
      <c r="K184" s="19">
        <f>IFERROR(IF(INDEX('Data Employee'!M:M,MATCH(A184,'Data Employee'!A:A,0))="","",INDEX('Data Employee'!M:M,MATCH(A184,'Data Employee'!A:A,0))),"")</f>
        <v>46860</v>
      </c>
      <c r="L184" s="11" t="str">
        <f t="shared" ca="1" si="7"/>
        <v>624 Days</v>
      </c>
      <c r="M184" s="11" t="str">
        <f t="shared" ca="1" si="8"/>
        <v>Active</v>
      </c>
    </row>
    <row r="185" spans="1:13" x14ac:dyDescent="0.35">
      <c r="A185">
        <v>201843299</v>
      </c>
      <c r="B185" t="str">
        <f>INDEX('Data Employee'!$B$2:$B$1000, MATCH(A185, 'Data Employee'!$A$2:$A$1000, 0))</f>
        <v>Farhan Santoso</v>
      </c>
      <c r="C185" t="str">
        <f>INDEX('Data Employee'!$G$2:$G$1000,MATCH(A185,'Data Employee'!$A$2:$A$1000,0))</f>
        <v>Male</v>
      </c>
      <c r="D185" s="9" t="str" cm="1">
        <f t="array" aca="1" ref="D185" ca="1">IF(J185="","",_xlfn.IFS(DATEDIF(J185,TODAY(),"M")&lt;12,"Contract 1",DATEDIF(J185,TODAY(),"M")&lt;36,"Contract 2",DATEDIF(J185,TODAY(),"M")&lt;60,"Contract 3",DATEDIF(J185,TODAY(),"M")&lt;63,"Probation",TRUE,"Permanent"))</f>
        <v>Contract 3</v>
      </c>
      <c r="E185" s="9" t="str">
        <f t="shared" ca="1" si="6"/>
        <v>60 Month</v>
      </c>
      <c r="F185" s="9" t="str">
        <f>VLOOKUP(A185, 'Data Employee'!$A$2:$U$1000, 19, FALSE)</f>
        <v>Automotive Engineering</v>
      </c>
      <c r="G185" s="9" t="str">
        <f>VLOOKUP(A185, 'Data Employee'!$A$2:$U$1000, 20, FALSE)</f>
        <v>Manufacturing</v>
      </c>
      <c r="H185" s="9" t="str">
        <f>INDEX('Data Employee'!$W$2:$W$1000, MATCH(A185, 'Data Employee'!$A$2:$A$1000, 0))</f>
        <v>Production Operator</v>
      </c>
      <c r="I185" t="str">
        <f>INDEX('Data Employee'!$V$2:$V$1000,MATCH(A185,'Data Employee'!$A$2:$A$1000,0))</f>
        <v>Operator</v>
      </c>
      <c r="J185" s="18">
        <f>INDEX('Data Employee'!$L$2:$L$1000, MATCH(A185, 'Data Employee'!$A$2:$A$1000, 0))</f>
        <v>45125</v>
      </c>
      <c r="K185" s="19">
        <f>IFERROR(IF(INDEX('Data Employee'!M:M,MATCH(A185,'Data Employee'!A:A,0))="","",INDEX('Data Employee'!M:M,MATCH(A185,'Data Employee'!A:A,0))),"")</f>
        <v>46952</v>
      </c>
      <c r="L185" s="11" t="str">
        <f t="shared" ca="1" si="7"/>
        <v>716 Days</v>
      </c>
      <c r="M185" s="11" t="str">
        <f t="shared" ca="1" si="8"/>
        <v>Active</v>
      </c>
    </row>
    <row r="186" spans="1:13" x14ac:dyDescent="0.35">
      <c r="A186">
        <v>201843266</v>
      </c>
      <c r="B186" t="str">
        <f>INDEX('Data Employee'!$B$2:$B$1000, MATCH(A186, 'Data Employee'!$A$2:$A$1000, 0))</f>
        <v>Bayu Maulana</v>
      </c>
      <c r="C186" t="str">
        <f>INDEX('Data Employee'!$G$2:$G$1000,MATCH(A186,'Data Employee'!$A$2:$A$1000,0))</f>
        <v>Male</v>
      </c>
      <c r="D186" s="9" t="str" cm="1">
        <f t="array" aca="1" ref="D186" ca="1">IF(J186="","",_xlfn.IFS(DATEDIF(J186,TODAY(),"M")&lt;12,"Contract 1",DATEDIF(J186,TODAY(),"M")&lt;36,"Contract 2",DATEDIF(J186,TODAY(),"M")&lt;60,"Contract 3",DATEDIF(J186,TODAY(),"M")&lt;63,"Probation",TRUE,"Permanent"))</f>
        <v>Contract 3</v>
      </c>
      <c r="E186" s="9" t="str">
        <f t="shared" ca="1" si="6"/>
        <v>60 Month</v>
      </c>
      <c r="F186" s="9" t="str">
        <f>VLOOKUP(A186, 'Data Employee'!$A$2:$U$1000, 19, FALSE)</f>
        <v>Automotive Engineering</v>
      </c>
      <c r="G186" s="9" t="str">
        <f>VLOOKUP(A186, 'Data Employee'!$A$2:$U$1000, 20, FALSE)</f>
        <v>Manufacturing</v>
      </c>
      <c r="H186" s="9" t="str">
        <f>INDEX('Data Employee'!$W$2:$W$1000, MATCH(A186, 'Data Employee'!$A$2:$A$1000, 0))</f>
        <v>Production Operator</v>
      </c>
      <c r="I186" t="str">
        <f>INDEX('Data Employee'!$V$2:$V$1000,MATCH(A186,'Data Employee'!$A$2:$A$1000,0))</f>
        <v>Operator</v>
      </c>
      <c r="J186" s="18">
        <f>INDEX('Data Employee'!$L$2:$L$1000, MATCH(A186, 'Data Employee'!$A$2:$A$1000, 0))</f>
        <v>45092</v>
      </c>
      <c r="K186" s="19">
        <f>IFERROR(IF(INDEX('Data Employee'!M:M,MATCH(A186,'Data Employee'!A:A,0))="","",INDEX('Data Employee'!M:M,MATCH(A186,'Data Employee'!A:A,0))),"")</f>
        <v>46919</v>
      </c>
      <c r="L186" s="11" t="str">
        <f t="shared" ca="1" si="7"/>
        <v>683 Days</v>
      </c>
      <c r="M186" s="11" t="str">
        <f t="shared" ca="1" si="8"/>
        <v>Active</v>
      </c>
    </row>
    <row r="187" spans="1:13" x14ac:dyDescent="0.35">
      <c r="A187">
        <v>201642487</v>
      </c>
      <c r="B187" t="str">
        <f>INDEX('Data Employee'!$B$2:$B$1000, MATCH(A187, 'Data Employee'!$A$2:$A$1000, 0))</f>
        <v>Rudi Lestari</v>
      </c>
      <c r="C187" t="str">
        <f>INDEX('Data Employee'!$G$2:$G$1000,MATCH(A187,'Data Employee'!$A$2:$A$1000,0))</f>
        <v>Male</v>
      </c>
      <c r="D187" s="9" t="str" cm="1">
        <f t="array" aca="1" ref="D187" ca="1">IF(J187="","",_xlfn.IFS(DATEDIF(J187,TODAY(),"M")&lt;12,"Contract 1",DATEDIF(J187,TODAY(),"M")&lt;36,"Contract 2",DATEDIF(J187,TODAY(),"M")&lt;60,"Contract 3",DATEDIF(J187,TODAY(),"M")&lt;63,"Probation",TRUE,"Permanent"))</f>
        <v>Contract 3</v>
      </c>
      <c r="E187" s="9" t="str">
        <f t="shared" ca="1" si="6"/>
        <v>60 Month</v>
      </c>
      <c r="F187" s="9" t="str">
        <f>VLOOKUP(A187, 'Data Employee'!$A$2:$U$1000, 19, FALSE)</f>
        <v>Automotive Engineering</v>
      </c>
      <c r="G187" s="9" t="str">
        <f>VLOOKUP(A187, 'Data Employee'!$A$2:$U$1000, 20, FALSE)</f>
        <v>Manufacturing</v>
      </c>
      <c r="H187" s="9" t="str">
        <f>INDEX('Data Employee'!$W$2:$W$1000, MATCH(A187, 'Data Employee'!$A$2:$A$1000, 0))</f>
        <v>Production Operator</v>
      </c>
      <c r="I187" t="str">
        <f>INDEX('Data Employee'!$V$2:$V$1000,MATCH(A187,'Data Employee'!$A$2:$A$1000,0))</f>
        <v>Operator</v>
      </c>
      <c r="J187" s="18">
        <f>INDEX('Data Employee'!$L$2:$L$1000, MATCH(A187, 'Data Employee'!$A$2:$A$1000, 0))</f>
        <v>45043</v>
      </c>
      <c r="K187" s="19">
        <f>IFERROR(IF(INDEX('Data Employee'!M:M,MATCH(A187,'Data Employee'!A:A,0))="","",INDEX('Data Employee'!M:M,MATCH(A187,'Data Employee'!A:A,0))),"")</f>
        <v>46870</v>
      </c>
      <c r="L187" s="11" t="str">
        <f t="shared" ca="1" si="7"/>
        <v>634 Days</v>
      </c>
      <c r="M187" s="11" t="str">
        <f t="shared" ca="1" si="8"/>
        <v>Active</v>
      </c>
    </row>
    <row r="188" spans="1:13" x14ac:dyDescent="0.35">
      <c r="A188">
        <v>202244719</v>
      </c>
      <c r="B188" t="str">
        <f>INDEX('Data Employee'!$B$2:$B$1000, MATCH(A188, 'Data Employee'!$A$2:$A$1000, 0))</f>
        <v>Bayu Hidayat</v>
      </c>
      <c r="C188" t="str">
        <f>INDEX('Data Employee'!$G$2:$G$1000,MATCH(A188,'Data Employee'!$A$2:$A$1000,0))</f>
        <v>Male</v>
      </c>
      <c r="D188" s="9" t="str" cm="1">
        <f t="array" aca="1" ref="D188" ca="1">IF(J188="","",_xlfn.IFS(DATEDIF(J188,TODAY(),"M")&lt;12,"Contract 1",DATEDIF(J188,TODAY(),"M")&lt;36,"Contract 2",DATEDIF(J188,TODAY(),"M")&lt;60,"Contract 3",DATEDIF(J188,TODAY(),"M")&lt;63,"Probation",TRUE,"Permanent"))</f>
        <v>Contract 1</v>
      </c>
      <c r="E188" s="9" t="str">
        <f t="shared" ca="1" si="6"/>
        <v>12 Month</v>
      </c>
      <c r="F188" s="9" t="str">
        <f>VLOOKUP(A188, 'Data Employee'!$A$2:$U$1000, 19, FALSE)</f>
        <v>Automotive Engineering</v>
      </c>
      <c r="G188" s="9" t="str">
        <f>VLOOKUP(A188, 'Data Employee'!$A$2:$U$1000, 20, FALSE)</f>
        <v>Manufacturing</v>
      </c>
      <c r="H188" s="9" t="str">
        <f>INDEX('Data Employee'!$W$2:$W$1000, MATCH(A188, 'Data Employee'!$A$2:$A$1000, 0))</f>
        <v>Production Operator</v>
      </c>
      <c r="I188" t="str">
        <f>INDEX('Data Employee'!$V$2:$V$1000,MATCH(A188,'Data Employee'!$A$2:$A$1000,0))</f>
        <v>Operator</v>
      </c>
      <c r="J188" s="18">
        <f>INDEX('Data Employee'!$L$2:$L$1000, MATCH(A188, 'Data Employee'!$A$2:$A$1000, 0))</f>
        <v>46180</v>
      </c>
      <c r="K188" s="19">
        <f>IFERROR(IF(INDEX('Data Employee'!M:M,MATCH(A188,'Data Employee'!A:A,0))="","",INDEX('Data Employee'!M:M,MATCH(A188,'Data Employee'!A:A,0))),"")</f>
        <v>46545</v>
      </c>
      <c r="L188" s="11" t="str">
        <f t="shared" ca="1" si="7"/>
        <v>309 Days</v>
      </c>
      <c r="M188" s="11" t="str">
        <f t="shared" ca="1" si="8"/>
        <v>Active</v>
      </c>
    </row>
    <row r="189" spans="1:13" x14ac:dyDescent="0.35">
      <c r="A189">
        <v>201642693</v>
      </c>
      <c r="B189" t="str">
        <f>INDEX('Data Employee'!$B$2:$B$1000, MATCH(A189, 'Data Employee'!$A$2:$A$1000, 0))</f>
        <v>Fajar Utami</v>
      </c>
      <c r="C189" t="str">
        <f>INDEX('Data Employee'!$G$2:$G$1000,MATCH(A189,'Data Employee'!$A$2:$A$1000,0))</f>
        <v>Male</v>
      </c>
      <c r="D189" s="9" t="str" cm="1">
        <f t="array" aca="1" ref="D189" ca="1">IF(J189="","",_xlfn.IFS(DATEDIF(J189,TODAY(),"M")&lt;12,"Contract 1",DATEDIF(J189,TODAY(),"M")&lt;36,"Contract 2",DATEDIF(J189,TODAY(),"M")&lt;60,"Contract 3",DATEDIF(J189,TODAY(),"M")&lt;63,"Probation",TRUE,"Permanent"))</f>
        <v>Contract 2</v>
      </c>
      <c r="E189" s="9" t="str">
        <f t="shared" ca="1" si="6"/>
        <v>24 Month</v>
      </c>
      <c r="F189" s="9" t="str">
        <f>VLOOKUP(A189, 'Data Employee'!$A$2:$U$1000, 19, FALSE)</f>
        <v>Automotive Engineering</v>
      </c>
      <c r="G189" s="9" t="str">
        <f>VLOOKUP(A189, 'Data Employee'!$A$2:$U$1000, 20, FALSE)</f>
        <v>Manufacturing</v>
      </c>
      <c r="H189" s="9" t="str">
        <f>INDEX('Data Employee'!$W$2:$W$1000, MATCH(A189, 'Data Employee'!$A$2:$A$1000, 0))</f>
        <v>Production Operator</v>
      </c>
      <c r="I189" t="str">
        <f>INDEX('Data Employee'!$V$2:$V$1000,MATCH(A189,'Data Employee'!$A$2:$A$1000,0))</f>
        <v>Operator</v>
      </c>
      <c r="J189" s="18">
        <f>INDEX('Data Employee'!$L$2:$L$1000, MATCH(A189, 'Data Employee'!$A$2:$A$1000, 0))</f>
        <v>45249</v>
      </c>
      <c r="K189" s="19">
        <f>IFERROR(IF(INDEX('Data Employee'!M:M,MATCH(A189,'Data Employee'!A:A,0))="","",INDEX('Data Employee'!M:M,MATCH(A189,'Data Employee'!A:A,0))),"")</f>
        <v>47076</v>
      </c>
      <c r="L189" s="11" t="str">
        <f t="shared" ca="1" si="7"/>
        <v>840 Days</v>
      </c>
      <c r="M189" s="11" t="str">
        <f t="shared" ca="1" si="8"/>
        <v>Active</v>
      </c>
    </row>
    <row r="190" spans="1:13" x14ac:dyDescent="0.35">
      <c r="A190">
        <v>201542187</v>
      </c>
      <c r="B190" t="str">
        <f>INDEX('Data Employee'!$B$2:$B$1000, MATCH(A190, 'Data Employee'!$A$2:$A$1000, 0))</f>
        <v>Rudi Lestari</v>
      </c>
      <c r="C190" t="str">
        <f>INDEX('Data Employee'!$G$2:$G$1000,MATCH(A190,'Data Employee'!$A$2:$A$1000,0))</f>
        <v>Male</v>
      </c>
      <c r="D190" s="9" t="str" cm="1">
        <f t="array" aca="1" ref="D190" ca="1">IF(J190="","",_xlfn.IFS(DATEDIF(J190,TODAY(),"M")&lt;12,"Contract 1",DATEDIF(J190,TODAY(),"M")&lt;36,"Contract 2",DATEDIF(J190,TODAY(),"M")&lt;60,"Contract 3",DATEDIF(J190,TODAY(),"M")&lt;63,"Probation",TRUE,"Permanent"))</f>
        <v>Contract 3</v>
      </c>
      <c r="E190" s="9" t="str">
        <f t="shared" ca="1" si="6"/>
        <v>60 Month</v>
      </c>
      <c r="F190" s="9" t="str">
        <f>VLOOKUP(A190, 'Data Employee'!$A$2:$U$1000, 19, FALSE)</f>
        <v>Automotive Engineering</v>
      </c>
      <c r="G190" s="9" t="str">
        <f>VLOOKUP(A190, 'Data Employee'!$A$2:$U$1000, 20, FALSE)</f>
        <v>Manufacturing</v>
      </c>
      <c r="H190" s="9" t="str">
        <f>INDEX('Data Employee'!$W$2:$W$1000, MATCH(A190, 'Data Employee'!$A$2:$A$1000, 0))</f>
        <v>Production Operator</v>
      </c>
      <c r="I190" t="str">
        <f>INDEX('Data Employee'!$V$2:$V$1000,MATCH(A190,'Data Employee'!$A$2:$A$1000,0))</f>
        <v>Operator</v>
      </c>
      <c r="J190" s="18">
        <f>INDEX('Data Employee'!$L$2:$L$1000, MATCH(A190, 'Data Employee'!$A$2:$A$1000, 0))</f>
        <v>45109</v>
      </c>
      <c r="K190" s="19">
        <f>IFERROR(IF(INDEX('Data Employee'!M:M,MATCH(A190,'Data Employee'!A:A,0))="","",INDEX('Data Employee'!M:M,MATCH(A190,'Data Employee'!A:A,0))),"")</f>
        <v>46936</v>
      </c>
      <c r="L190" s="11" t="str">
        <f t="shared" ca="1" si="7"/>
        <v>700 Days</v>
      </c>
      <c r="M190" s="11" t="str">
        <f t="shared" ca="1" si="8"/>
        <v>Active</v>
      </c>
    </row>
    <row r="191" spans="1:13" x14ac:dyDescent="0.35">
      <c r="A191">
        <v>202144520</v>
      </c>
      <c r="B191" t="str">
        <f>INDEX('Data Employee'!$B$2:$B$1000, MATCH(A191, 'Data Employee'!$A$2:$A$1000, 0))</f>
        <v>Dedi Nugroho</v>
      </c>
      <c r="C191" t="str">
        <f>INDEX('Data Employee'!$G$2:$G$1000,MATCH(A191,'Data Employee'!$A$2:$A$1000,0))</f>
        <v>Male</v>
      </c>
      <c r="D191" s="9" t="str" cm="1">
        <f t="array" aca="1" ref="D191" ca="1">IF(J191="","",_xlfn.IFS(DATEDIF(J191,TODAY(),"M")&lt;12,"Contract 1",DATEDIF(J191,TODAY(),"M")&lt;36,"Contract 2",DATEDIF(J191,TODAY(),"M")&lt;60,"Contract 3",DATEDIF(J191,TODAY(),"M")&lt;63,"Probation",TRUE,"Permanent"))</f>
        <v>Contract 1</v>
      </c>
      <c r="E191" s="9" t="str">
        <f t="shared" ca="1" si="6"/>
        <v>12 Month</v>
      </c>
      <c r="F191" s="9" t="str">
        <f>VLOOKUP(A191, 'Data Employee'!$A$2:$U$1000, 19, FALSE)</f>
        <v>Automotive Engineering</v>
      </c>
      <c r="G191" s="9" t="str">
        <f>VLOOKUP(A191, 'Data Employee'!$A$2:$U$1000, 20, FALSE)</f>
        <v>Manufacturing</v>
      </c>
      <c r="H191" s="9" t="str">
        <f>INDEX('Data Employee'!$W$2:$W$1000, MATCH(A191, 'Data Employee'!$A$2:$A$1000, 0))</f>
        <v>Production Operator</v>
      </c>
      <c r="I191" t="str">
        <f>INDEX('Data Employee'!$V$2:$V$1000,MATCH(A191,'Data Employee'!$A$2:$A$1000,0))</f>
        <v>Operator</v>
      </c>
      <c r="J191" s="18">
        <f>INDEX('Data Employee'!$L$2:$L$1000, MATCH(A191, 'Data Employee'!$A$2:$A$1000, 0))</f>
        <v>45981</v>
      </c>
      <c r="K191" s="19">
        <f>IFERROR(IF(INDEX('Data Employee'!M:M,MATCH(A191,'Data Employee'!A:A,0))="","",INDEX('Data Employee'!M:M,MATCH(A191,'Data Employee'!A:A,0))),"")</f>
        <v>46711</v>
      </c>
      <c r="L191" s="11" t="str">
        <f t="shared" ca="1" si="7"/>
        <v>475 Days</v>
      </c>
      <c r="M191" s="11" t="str">
        <f t="shared" ca="1" si="8"/>
        <v>Active</v>
      </c>
    </row>
    <row r="192" spans="1:13" x14ac:dyDescent="0.35">
      <c r="A192">
        <v>201943535</v>
      </c>
      <c r="B192" t="str">
        <f>INDEX('Data Employee'!$B$2:$B$1000, MATCH(A192, 'Data Employee'!$A$2:$A$1000, 0))</f>
        <v>Andi Utami</v>
      </c>
      <c r="C192" t="str">
        <f>INDEX('Data Employee'!$G$2:$G$1000,MATCH(A192,'Data Employee'!$A$2:$A$1000,0))</f>
        <v>Male</v>
      </c>
      <c r="D192" s="9" t="str" cm="1">
        <f t="array" aca="1" ref="D192" ca="1">IF(J192="","",_xlfn.IFS(DATEDIF(J192,TODAY(),"M")&lt;12,"Contract 1",DATEDIF(J192,TODAY(),"M")&lt;36,"Contract 2",DATEDIF(J192,TODAY(),"M")&lt;60,"Contract 3",DATEDIF(J192,TODAY(),"M")&lt;63,"Probation",TRUE,"Permanent"))</f>
        <v>Contract 2</v>
      </c>
      <c r="E192" s="9" t="str">
        <f t="shared" ca="1" si="6"/>
        <v>24 Month</v>
      </c>
      <c r="F192" s="9" t="str">
        <f>VLOOKUP(A192, 'Data Employee'!$A$2:$U$1000, 19, FALSE)</f>
        <v>Automotive Engineering</v>
      </c>
      <c r="G192" s="9" t="str">
        <f>VLOOKUP(A192, 'Data Employee'!$A$2:$U$1000, 20, FALSE)</f>
        <v>Manufacturing</v>
      </c>
      <c r="H192" s="9" t="str">
        <f>INDEX('Data Employee'!$W$2:$W$1000, MATCH(A192, 'Data Employee'!$A$2:$A$1000, 0))</f>
        <v>Production Operator</v>
      </c>
      <c r="I192" t="str">
        <f>INDEX('Data Employee'!$V$2:$V$1000,MATCH(A192,'Data Employee'!$A$2:$A$1000,0))</f>
        <v>Operator</v>
      </c>
      <c r="J192" s="18">
        <f>INDEX('Data Employee'!$L$2:$L$1000, MATCH(A192, 'Data Employee'!$A$2:$A$1000, 0))</f>
        <v>45362</v>
      </c>
      <c r="K192" s="19">
        <f>IFERROR(IF(INDEX('Data Employee'!M:M,MATCH(A192,'Data Employee'!A:A,0))="","",INDEX('Data Employee'!M:M,MATCH(A192,'Data Employee'!A:A,0))),"")</f>
        <v>46457</v>
      </c>
      <c r="L192" s="11" t="str">
        <f t="shared" ca="1" si="7"/>
        <v>221 Days</v>
      </c>
      <c r="M192" s="11" t="str">
        <f t="shared" ca="1" si="8"/>
        <v>Active</v>
      </c>
    </row>
    <row r="193" spans="1:13" x14ac:dyDescent="0.35">
      <c r="A193">
        <v>201843395</v>
      </c>
      <c r="B193" t="str">
        <f>INDEX('Data Employee'!$B$2:$B$1000, MATCH(A193, 'Data Employee'!$A$2:$A$1000, 0))</f>
        <v>Budi Wijaya</v>
      </c>
      <c r="C193" t="str">
        <f>INDEX('Data Employee'!$G$2:$G$1000,MATCH(A193,'Data Employee'!$A$2:$A$1000,0))</f>
        <v>Male</v>
      </c>
      <c r="D193" s="9" t="str" cm="1">
        <f t="array" aca="1" ref="D193" ca="1">IF(J193="","",_xlfn.IFS(DATEDIF(J193,TODAY(),"M")&lt;12,"Contract 1",DATEDIF(J193,TODAY(),"M")&lt;36,"Contract 2",DATEDIF(J193,TODAY(),"M")&lt;60,"Contract 3",DATEDIF(J193,TODAY(),"M")&lt;63,"Probation",TRUE,"Permanent"))</f>
        <v>Contract 2</v>
      </c>
      <c r="E193" s="9" t="str">
        <f t="shared" ca="1" si="6"/>
        <v>24 Month</v>
      </c>
      <c r="F193" s="9" t="str">
        <f>VLOOKUP(A193, 'Data Employee'!$A$2:$U$1000, 19, FALSE)</f>
        <v>Automotive Engineering</v>
      </c>
      <c r="G193" s="9" t="str">
        <f>VLOOKUP(A193, 'Data Employee'!$A$2:$U$1000, 20, FALSE)</f>
        <v>Manufacturing</v>
      </c>
      <c r="H193" s="9" t="str">
        <f>INDEX('Data Employee'!$W$2:$W$1000, MATCH(A193, 'Data Employee'!$A$2:$A$1000, 0))</f>
        <v>Production Operator</v>
      </c>
      <c r="I193" t="str">
        <f>INDEX('Data Employee'!$V$2:$V$1000,MATCH(A193,'Data Employee'!$A$2:$A$1000,0))</f>
        <v>Operator</v>
      </c>
      <c r="J193" s="18">
        <f>INDEX('Data Employee'!$L$2:$L$1000, MATCH(A193, 'Data Employee'!$A$2:$A$1000, 0))</f>
        <v>45221</v>
      </c>
      <c r="K193" s="19">
        <f>IFERROR(IF(INDEX('Data Employee'!M:M,MATCH(A193,'Data Employee'!A:A,0))="","",INDEX('Data Employee'!M:M,MATCH(A193,'Data Employee'!A:A,0))),"")</f>
        <v>46317</v>
      </c>
      <c r="L193" s="11" t="str">
        <f t="shared" ca="1" si="7"/>
        <v>81 Days</v>
      </c>
      <c r="M193" s="11" t="str">
        <f t="shared" ca="1" si="8"/>
        <v>Active</v>
      </c>
    </row>
    <row r="194" spans="1:13" x14ac:dyDescent="0.35">
      <c r="A194">
        <v>202545977</v>
      </c>
      <c r="B194" t="str">
        <f>INDEX('Data Employee'!$B$2:$B$1000, MATCH(A194, 'Data Employee'!$A$2:$A$1000, 0))</f>
        <v>Yoga Permata</v>
      </c>
      <c r="C194" t="str">
        <f>INDEX('Data Employee'!$G$2:$G$1000,MATCH(A194,'Data Employee'!$A$2:$A$1000,0))</f>
        <v>Male</v>
      </c>
      <c r="D194" s="9" t="str" cm="1">
        <f t="array" aca="1" ref="D194" ca="1">IF(J194="","",_xlfn.IFS(DATEDIF(J194,TODAY(),"M")&lt;12,"Contract 1",DATEDIF(J194,TODAY(),"M")&lt;36,"Contract 2",DATEDIF(J194,TODAY(),"M")&lt;60,"Contract 3",DATEDIF(J194,TODAY(),"M")&lt;63,"Probation",TRUE,"Permanent"))</f>
        <v>Contract 1</v>
      </c>
      <c r="E194" s="9" t="str">
        <f t="shared" ref="E194:E257" ca="1" si="9">IF(D194="Permanent","Permanent",IF(D194="Contract 1","12 Month",IF(D194="Contract 2","24 Month",IF(D194="Contract 3","60 Month",IF(D194="Probation","63 Month","")))))</f>
        <v>12 Month</v>
      </c>
      <c r="F194" s="9" t="str">
        <f>VLOOKUP(A194, 'Data Employee'!$A$2:$U$1000, 19, FALSE)</f>
        <v>Automotive Engineering</v>
      </c>
      <c r="G194" s="9" t="str">
        <f>VLOOKUP(A194, 'Data Employee'!$A$2:$U$1000, 20, FALSE)</f>
        <v>Manufacturing</v>
      </c>
      <c r="H194" s="9" t="str">
        <f>INDEX('Data Employee'!$W$2:$W$1000, MATCH(A194, 'Data Employee'!$A$2:$A$1000, 0))</f>
        <v>Production Operator</v>
      </c>
      <c r="I194" t="str">
        <f>INDEX('Data Employee'!$V$2:$V$1000,MATCH(A194,'Data Employee'!$A$2:$A$1000,0))</f>
        <v>Operator</v>
      </c>
      <c r="J194" s="18">
        <f>INDEX('Data Employee'!$L$2:$L$1000, MATCH(A194, 'Data Employee'!$A$2:$A$1000, 0))</f>
        <v>45977</v>
      </c>
      <c r="K194" s="19">
        <f>IFERROR(IF(INDEX('Data Employee'!M:M,MATCH(A194,'Data Employee'!A:A,0))="","",INDEX('Data Employee'!M:M,MATCH(A194,'Data Employee'!A:A,0))),"")</f>
        <v>47803</v>
      </c>
      <c r="L194" s="11" t="str">
        <f t="shared" ref="L194:L257" ca="1" si="10">IF(OR(K194="",K194&lt;TODAY()),IF(K194="","","Expired"),DATEDIF(TODAY(),K194,"D")&amp;" Days")</f>
        <v>1567 Days</v>
      </c>
      <c r="M194" s="11" t="str">
        <f t="shared" ref="M194:M257" ca="1" si="11">IF(OR(K194="", D194="Permanent", NOT(ISNUMBER(K194))), "Active", IF(K194&lt;TODAY(), "Expired", IF(K194-TODAY()&lt;=30, "Urgent Renewal", IF(K194-TODAY()&lt;=60, "Review Needed", "Active"))))</f>
        <v>Active</v>
      </c>
    </row>
    <row r="195" spans="1:13" x14ac:dyDescent="0.35">
      <c r="A195">
        <v>201441987</v>
      </c>
      <c r="B195" t="str">
        <f>INDEX('Data Employee'!$B$2:$B$1000, MATCH(A195, 'Data Employee'!$A$2:$A$1000, 0))</f>
        <v>Rudi Maulana</v>
      </c>
      <c r="C195" t="str">
        <f>INDEX('Data Employee'!$G$2:$G$1000,MATCH(A195,'Data Employee'!$A$2:$A$1000,0))</f>
        <v>Male</v>
      </c>
      <c r="D195" s="9" t="str" cm="1">
        <f t="array" aca="1" ref="D195" ca="1">IF(J195="","",_xlfn.IFS(DATEDIF(J195,TODAY(),"M")&lt;12,"Contract 1",DATEDIF(J195,TODAY(),"M")&lt;36,"Contract 2",DATEDIF(J195,TODAY(),"M")&lt;60,"Contract 3",DATEDIF(J195,TODAY(),"M")&lt;63,"Probation",TRUE,"Permanent"))</f>
        <v>Contract 2</v>
      </c>
      <c r="E195" s="9" t="str">
        <f t="shared" ca="1" si="9"/>
        <v>24 Month</v>
      </c>
      <c r="F195" s="9" t="str">
        <f>VLOOKUP(A195, 'Data Employee'!$A$2:$U$1000, 19, FALSE)</f>
        <v>Automotive Engineering</v>
      </c>
      <c r="G195" s="9" t="str">
        <f>VLOOKUP(A195, 'Data Employee'!$A$2:$U$1000, 20, FALSE)</f>
        <v>Manufacturing</v>
      </c>
      <c r="H195" s="9" t="str">
        <f>INDEX('Data Employee'!$W$2:$W$1000, MATCH(A195, 'Data Employee'!$A$2:$A$1000, 0))</f>
        <v>Production Operator</v>
      </c>
      <c r="I195" t="str">
        <f>INDEX('Data Employee'!$V$2:$V$1000,MATCH(A195,'Data Employee'!$A$2:$A$1000,0))</f>
        <v>Operator</v>
      </c>
      <c r="J195" s="18">
        <f>INDEX('Data Employee'!$L$2:$L$1000, MATCH(A195, 'Data Employee'!$A$2:$A$1000, 0))</f>
        <v>45274</v>
      </c>
      <c r="K195" s="19">
        <f>IFERROR(IF(INDEX('Data Employee'!M:M,MATCH(A195,'Data Employee'!A:A,0))="","",INDEX('Data Employee'!M:M,MATCH(A195,'Data Employee'!A:A,0))),"")</f>
        <v>46370</v>
      </c>
      <c r="L195" s="11" t="str">
        <f t="shared" ca="1" si="10"/>
        <v>134 Days</v>
      </c>
      <c r="M195" s="11" t="str">
        <f t="shared" ca="1" si="11"/>
        <v>Active</v>
      </c>
    </row>
    <row r="196" spans="1:13" x14ac:dyDescent="0.35">
      <c r="A196">
        <v>201843418</v>
      </c>
      <c r="B196" t="str">
        <f>INDEX('Data Employee'!$B$2:$B$1000, MATCH(A196, 'Data Employee'!$A$2:$A$1000, 0))</f>
        <v>Yusuf Maulana</v>
      </c>
      <c r="C196" t="str">
        <f>INDEX('Data Employee'!$G$2:$G$1000,MATCH(A196,'Data Employee'!$A$2:$A$1000,0))</f>
        <v>Male</v>
      </c>
      <c r="D196" s="9" t="str" cm="1">
        <f t="array" aca="1" ref="D196" ca="1">IF(J196="","",_xlfn.IFS(DATEDIF(J196,TODAY(),"M")&lt;12,"Contract 1",DATEDIF(J196,TODAY(),"M")&lt;36,"Contract 2",DATEDIF(J196,TODAY(),"M")&lt;60,"Contract 3",DATEDIF(J196,TODAY(),"M")&lt;63,"Probation",TRUE,"Permanent"))</f>
        <v>Contract 2</v>
      </c>
      <c r="E196" s="9" t="str">
        <f t="shared" ca="1" si="9"/>
        <v>24 Month</v>
      </c>
      <c r="F196" s="9" t="str">
        <f>VLOOKUP(A196, 'Data Employee'!$A$2:$U$1000, 19, FALSE)</f>
        <v>Automotive Engineering</v>
      </c>
      <c r="G196" s="9" t="str">
        <f>VLOOKUP(A196, 'Data Employee'!$A$2:$U$1000, 20, FALSE)</f>
        <v>Manufacturing</v>
      </c>
      <c r="H196" s="9" t="str">
        <f>INDEX('Data Employee'!$W$2:$W$1000, MATCH(A196, 'Data Employee'!$A$2:$A$1000, 0))</f>
        <v>Production Operator</v>
      </c>
      <c r="I196" t="str">
        <f>INDEX('Data Employee'!$V$2:$V$1000,MATCH(A196,'Data Employee'!$A$2:$A$1000,0))</f>
        <v>Operator</v>
      </c>
      <c r="J196" s="18">
        <f>INDEX('Data Employee'!$L$2:$L$1000, MATCH(A196, 'Data Employee'!$A$2:$A$1000, 0))</f>
        <v>45244</v>
      </c>
      <c r="K196" s="19">
        <f>IFERROR(IF(INDEX('Data Employee'!M:M,MATCH(A196,'Data Employee'!A:A,0))="","",INDEX('Data Employee'!M:M,MATCH(A196,'Data Employee'!A:A,0))),"")</f>
        <v>46340</v>
      </c>
      <c r="L196" s="11" t="str">
        <f t="shared" ca="1" si="10"/>
        <v>104 Days</v>
      </c>
      <c r="M196" s="11" t="str">
        <f t="shared" ca="1" si="11"/>
        <v>Active</v>
      </c>
    </row>
    <row r="197" spans="1:13" x14ac:dyDescent="0.35">
      <c r="A197">
        <v>202344945</v>
      </c>
      <c r="B197" t="str">
        <f>INDEX('Data Employee'!$B$2:$B$1000, MATCH(A197, 'Data Employee'!$A$2:$A$1000, 0))</f>
        <v>Rudi Kurniawan</v>
      </c>
      <c r="C197" t="str">
        <f>INDEX('Data Employee'!$G$2:$G$1000,MATCH(A197,'Data Employee'!$A$2:$A$1000,0))</f>
        <v>Male</v>
      </c>
      <c r="D197" s="9" t="str" cm="1">
        <f t="array" aca="1" ref="D197" ca="1">IF(J197="","",_xlfn.IFS(DATEDIF(J197,TODAY(),"M")&lt;12,"Contract 1",DATEDIF(J197,TODAY(),"M")&lt;36,"Contract 2",DATEDIF(J197,TODAY(),"M")&lt;60,"Contract 3",DATEDIF(J197,TODAY(),"M")&lt;63,"Probation",TRUE,"Permanent"))</f>
        <v>Contract 3</v>
      </c>
      <c r="E197" s="9" t="str">
        <f t="shared" ca="1" si="9"/>
        <v>60 Month</v>
      </c>
      <c r="F197" s="9" t="str">
        <f>VLOOKUP(A197, 'Data Employee'!$A$2:$U$1000, 19, FALSE)</f>
        <v>Automotive Engineering</v>
      </c>
      <c r="G197" s="9" t="str">
        <f>VLOOKUP(A197, 'Data Employee'!$A$2:$U$1000, 20, FALSE)</f>
        <v>Manufacturing</v>
      </c>
      <c r="H197" s="9" t="str">
        <f>INDEX('Data Employee'!$W$2:$W$1000, MATCH(A197, 'Data Employee'!$A$2:$A$1000, 0))</f>
        <v>Production Operator</v>
      </c>
      <c r="I197" t="str">
        <f>INDEX('Data Employee'!$V$2:$V$1000,MATCH(A197,'Data Employee'!$A$2:$A$1000,0))</f>
        <v>Operator</v>
      </c>
      <c r="J197" s="18">
        <f>INDEX('Data Employee'!$L$2:$L$1000, MATCH(A197, 'Data Employee'!$A$2:$A$1000, 0))</f>
        <v>44945</v>
      </c>
      <c r="K197" s="19">
        <f>IFERROR(IF(INDEX('Data Employee'!M:M,MATCH(A197,'Data Employee'!A:A,0))="","",INDEX('Data Employee'!M:M,MATCH(A197,'Data Employee'!A:A,0))),"")</f>
        <v>46771</v>
      </c>
      <c r="L197" s="11" t="str">
        <f t="shared" ca="1" si="10"/>
        <v>535 Days</v>
      </c>
      <c r="M197" s="11" t="str">
        <f t="shared" ca="1" si="11"/>
        <v>Active</v>
      </c>
    </row>
    <row r="198" spans="1:13" x14ac:dyDescent="0.35">
      <c r="A198">
        <v>201843419</v>
      </c>
      <c r="B198" t="str">
        <f>INDEX('Data Employee'!$B$2:$B$1000, MATCH(A198, 'Data Employee'!$A$2:$A$1000, 0))</f>
        <v>Dwi Pratama</v>
      </c>
      <c r="C198" t="str">
        <f>INDEX('Data Employee'!$G$2:$G$1000,MATCH(A198,'Data Employee'!$A$2:$A$1000,0))</f>
        <v>Male</v>
      </c>
      <c r="D198" s="9" t="str" cm="1">
        <f t="array" aca="1" ref="D198" ca="1">IF(J198="","",_xlfn.IFS(DATEDIF(J198,TODAY(),"M")&lt;12,"Contract 1",DATEDIF(J198,TODAY(),"M")&lt;36,"Contract 2",DATEDIF(J198,TODAY(),"M")&lt;60,"Contract 3",DATEDIF(J198,TODAY(),"M")&lt;63,"Probation",TRUE,"Permanent"))</f>
        <v>Contract 1</v>
      </c>
      <c r="E198" s="9" t="str">
        <f t="shared" ca="1" si="9"/>
        <v>12 Month</v>
      </c>
      <c r="F198" s="9" t="str">
        <f>VLOOKUP(A198, 'Data Employee'!$A$2:$U$1000, 19, FALSE)</f>
        <v>Metal Engineering</v>
      </c>
      <c r="G198" s="9" t="str">
        <f>VLOOKUP(A198, 'Data Employee'!$A$2:$U$1000, 20, FALSE)</f>
        <v>Manufacturing</v>
      </c>
      <c r="H198" s="9" t="str">
        <f>INDEX('Data Employee'!$W$2:$W$1000, MATCH(A198, 'Data Employee'!$A$2:$A$1000, 0))</f>
        <v>Procution Intern</v>
      </c>
      <c r="I198" t="str">
        <f>INDEX('Data Employee'!$V$2:$V$1000,MATCH(A198,'Data Employee'!$A$2:$A$1000,0))</f>
        <v>Internship</v>
      </c>
      <c r="J198" s="18">
        <f>INDEX('Data Employee'!$L$2:$L$1000, MATCH(A198, 'Data Employee'!$A$2:$A$1000, 0))</f>
        <v>45976</v>
      </c>
      <c r="K198" s="19">
        <f>IFERROR(IF(INDEX('Data Employee'!M:M,MATCH(A198,'Data Employee'!A:A,0))="","",INDEX('Data Employee'!M:M,MATCH(A198,'Data Employee'!A:A,0))),"")</f>
        <v>46341</v>
      </c>
      <c r="L198" s="11" t="str">
        <f t="shared" ca="1" si="10"/>
        <v>105 Days</v>
      </c>
      <c r="M198" s="11" t="str">
        <f t="shared" ca="1" si="11"/>
        <v>Active</v>
      </c>
    </row>
    <row r="199" spans="1:13" x14ac:dyDescent="0.35">
      <c r="A199">
        <v>202144522</v>
      </c>
      <c r="B199" t="str">
        <f>INDEX('Data Employee'!$B$2:$B$1000, MATCH(A199, 'Data Employee'!$A$2:$A$1000, 0))</f>
        <v>Budi Maulana</v>
      </c>
      <c r="C199" t="str">
        <f>INDEX('Data Employee'!$G$2:$G$1000,MATCH(A199,'Data Employee'!$A$2:$A$1000,0))</f>
        <v>Male</v>
      </c>
      <c r="D199" s="9" t="str" cm="1">
        <f t="array" aca="1" ref="D199" ca="1">IF(J199="","",_xlfn.IFS(DATEDIF(J199,TODAY(),"M")&lt;12,"Contract 1",DATEDIF(J199,TODAY(),"M")&lt;36,"Contract 2",DATEDIF(J199,TODAY(),"M")&lt;60,"Contract 3",DATEDIF(J199,TODAY(),"M")&lt;63,"Probation",TRUE,"Permanent"))</f>
        <v>Contract 1</v>
      </c>
      <c r="E199" s="9" t="str">
        <f t="shared" ca="1" si="9"/>
        <v>12 Month</v>
      </c>
      <c r="F199" s="9" t="str">
        <f>VLOOKUP(A199, 'Data Employee'!$A$2:$U$1000, 19, FALSE)</f>
        <v>Automotive Engineering</v>
      </c>
      <c r="G199" s="9" t="str">
        <f>VLOOKUP(A199, 'Data Employee'!$A$2:$U$1000, 20, FALSE)</f>
        <v>Manufacturing</v>
      </c>
      <c r="H199" s="9" t="str">
        <f>INDEX('Data Employee'!$W$2:$W$1000, MATCH(A199, 'Data Employee'!$A$2:$A$1000, 0))</f>
        <v>Production Operator</v>
      </c>
      <c r="I199" t="str">
        <f>INDEX('Data Employee'!$V$2:$V$1000,MATCH(A199,'Data Employee'!$A$2:$A$1000,0))</f>
        <v>Operator</v>
      </c>
      <c r="J199" s="18">
        <f>INDEX('Data Employee'!$L$2:$L$1000, MATCH(A199, 'Data Employee'!$A$2:$A$1000, 0))</f>
        <v>45983</v>
      </c>
      <c r="K199" s="19">
        <f>IFERROR(IF(INDEX('Data Employee'!M:M,MATCH(A199,'Data Employee'!A:A,0))="","",INDEX('Data Employee'!M:M,MATCH(A199,'Data Employee'!A:A,0))),"")</f>
        <v>47809</v>
      </c>
      <c r="L199" s="11" t="str">
        <f t="shared" ca="1" si="10"/>
        <v>1573 Days</v>
      </c>
      <c r="M199" s="11" t="str">
        <f t="shared" ca="1" si="11"/>
        <v>Active</v>
      </c>
    </row>
    <row r="200" spans="1:13" x14ac:dyDescent="0.35">
      <c r="A200">
        <v>201943796</v>
      </c>
      <c r="B200" t="str">
        <f>INDEX('Data Employee'!$B$2:$B$1000, MATCH(A200, 'Data Employee'!$A$2:$A$1000, 0))</f>
        <v>Sapri Maulana</v>
      </c>
      <c r="C200" t="str">
        <f>INDEX('Data Employee'!$G$2:$G$1000,MATCH(A200,'Data Employee'!$A$2:$A$1000,0))</f>
        <v>Male</v>
      </c>
      <c r="D200" s="9" t="str" cm="1">
        <f t="array" aca="1" ref="D200" ca="1">IF(J200="","",_xlfn.IFS(DATEDIF(J200,TODAY(),"M")&lt;12,"Contract 1",DATEDIF(J200,TODAY(),"M")&lt;36,"Contract 2",DATEDIF(J200,TODAY(),"M")&lt;60,"Contract 3",DATEDIF(J200,TODAY(),"M")&lt;63,"Probation",TRUE,"Permanent"))</f>
        <v>Contract 1</v>
      </c>
      <c r="E200" s="9" t="str">
        <f t="shared" ca="1" si="9"/>
        <v>12 Month</v>
      </c>
      <c r="F200" s="9" t="str">
        <f>VLOOKUP(A200, 'Data Employee'!$A$2:$U$1000, 19, FALSE)</f>
        <v>Metal Engineering</v>
      </c>
      <c r="G200" s="9" t="str">
        <f>VLOOKUP(A200, 'Data Employee'!$A$2:$U$1000, 20, FALSE)</f>
        <v>Manufacturing</v>
      </c>
      <c r="H200" s="9" t="str">
        <f>INDEX('Data Employee'!$W$2:$W$1000, MATCH(A200, 'Data Employee'!$A$2:$A$1000, 0))</f>
        <v>Procution Intern</v>
      </c>
      <c r="I200" t="str">
        <f>INDEX('Data Employee'!$V$2:$V$1000,MATCH(A200,'Data Employee'!$A$2:$A$1000,0))</f>
        <v>Internship</v>
      </c>
      <c r="J200" s="18">
        <f>INDEX('Data Employee'!$L$2:$L$1000, MATCH(A200, 'Data Employee'!$A$2:$A$1000, 0))</f>
        <v>45988</v>
      </c>
      <c r="K200" s="19">
        <f>IFERROR(IF(INDEX('Data Employee'!M:M,MATCH(A200,'Data Employee'!A:A,0))="","",INDEX('Data Employee'!M:M,MATCH(A200,'Data Employee'!A:A,0))),"")</f>
        <v>46353</v>
      </c>
      <c r="L200" s="11" t="str">
        <f t="shared" ca="1" si="10"/>
        <v>117 Days</v>
      </c>
      <c r="M200" s="11" t="str">
        <f t="shared" ca="1" si="11"/>
        <v>Active</v>
      </c>
    </row>
    <row r="201" spans="1:13" x14ac:dyDescent="0.35">
      <c r="A201">
        <v>201843252</v>
      </c>
      <c r="B201" t="str">
        <f>INDEX('Data Employee'!$B$2:$B$1000, MATCH(A201, 'Data Employee'!$A$2:$A$1000, 0))</f>
        <v>Rizky Ramadhan</v>
      </c>
      <c r="C201" t="str">
        <f>INDEX('Data Employee'!$G$2:$G$1000,MATCH(A201,'Data Employee'!$A$2:$A$1000,0))</f>
        <v>Male</v>
      </c>
      <c r="D201" s="9" t="str" cm="1">
        <f t="array" aca="1" ref="D201" ca="1">IF(J201="","",_xlfn.IFS(DATEDIF(J201,TODAY(),"M")&lt;12,"Contract 1",DATEDIF(J201,TODAY(),"M")&lt;36,"Contract 2",DATEDIF(J201,TODAY(),"M")&lt;60,"Contract 3",DATEDIF(J201,TODAY(),"M")&lt;63,"Probation",TRUE,"Permanent"))</f>
        <v>Contract 2</v>
      </c>
      <c r="E201" s="9" t="str">
        <f t="shared" ca="1" si="9"/>
        <v>24 Month</v>
      </c>
      <c r="F201" s="9" t="str">
        <f>VLOOKUP(A201, 'Data Employee'!$A$2:$U$1000, 19, FALSE)</f>
        <v>Automotive Engineering</v>
      </c>
      <c r="G201" s="9" t="str">
        <f>VLOOKUP(A201, 'Data Employee'!$A$2:$U$1000, 20, FALSE)</f>
        <v>Manufacturing</v>
      </c>
      <c r="H201" s="9" t="str">
        <f>INDEX('Data Employee'!$W$2:$W$1000, MATCH(A201, 'Data Employee'!$A$2:$A$1000, 0))</f>
        <v>Production Operator</v>
      </c>
      <c r="I201" t="str">
        <f>INDEX('Data Employee'!$V$2:$V$1000,MATCH(A201,'Data Employee'!$A$2:$A$1000,0))</f>
        <v>Operator</v>
      </c>
      <c r="J201" s="18">
        <f>INDEX('Data Employee'!$L$2:$L$1000, MATCH(A201, 'Data Employee'!$A$2:$A$1000, 0))</f>
        <v>45809</v>
      </c>
      <c r="K201" s="19">
        <f>IFERROR(IF(INDEX('Data Employee'!M:M,MATCH(A201,'Data Employee'!A:A,0))="","",INDEX('Data Employee'!M:M,MATCH(A201,'Data Employee'!A:A,0))),"")</f>
        <v>46539</v>
      </c>
      <c r="L201" s="11" t="str">
        <f t="shared" ca="1" si="10"/>
        <v>303 Days</v>
      </c>
      <c r="M201" s="11" t="str">
        <f t="shared" ca="1" si="11"/>
        <v>Active</v>
      </c>
    </row>
    <row r="202" spans="1:13" x14ac:dyDescent="0.35">
      <c r="A202">
        <v>201642471</v>
      </c>
      <c r="B202" t="str">
        <f>INDEX('Data Employee'!$B$2:$B$1000, MATCH(A202, 'Data Employee'!$A$2:$A$1000, 0))</f>
        <v>Fajar Saputra</v>
      </c>
      <c r="C202" t="str">
        <f>INDEX('Data Employee'!$G$2:$G$1000,MATCH(A202,'Data Employee'!$A$2:$A$1000,0))</f>
        <v>Male</v>
      </c>
      <c r="D202" s="9" t="str" cm="1">
        <f t="array" aca="1" ref="D202" ca="1">IF(J202="","",_xlfn.IFS(DATEDIF(J202,TODAY(),"M")&lt;12,"Contract 1",DATEDIF(J202,TODAY(),"M")&lt;36,"Contract 2",DATEDIF(J202,TODAY(),"M")&lt;60,"Contract 3",DATEDIF(J202,TODAY(),"M")&lt;63,"Probation",TRUE,"Permanent"))</f>
        <v>Contract 3</v>
      </c>
      <c r="E202" s="9" t="str">
        <f t="shared" ca="1" si="9"/>
        <v>60 Month</v>
      </c>
      <c r="F202" s="9" t="str">
        <f>VLOOKUP(A202, 'Data Employee'!$A$2:$U$1000, 19, FALSE)</f>
        <v>Automotive Engineering</v>
      </c>
      <c r="G202" s="9" t="str">
        <f>VLOOKUP(A202, 'Data Employee'!$A$2:$U$1000, 20, FALSE)</f>
        <v>Manufacturing</v>
      </c>
      <c r="H202" s="9" t="str">
        <f>INDEX('Data Employee'!$W$2:$W$1000, MATCH(A202, 'Data Employee'!$A$2:$A$1000, 0))</f>
        <v>Production Operator</v>
      </c>
      <c r="I202" t="str">
        <f>INDEX('Data Employee'!$V$2:$V$1000,MATCH(A202,'Data Employee'!$A$2:$A$1000,0))</f>
        <v>Operator</v>
      </c>
      <c r="J202" s="18">
        <f>INDEX('Data Employee'!$L$2:$L$1000, MATCH(A202, 'Data Employee'!$A$2:$A$1000, 0))</f>
        <v>45027</v>
      </c>
      <c r="K202" s="19">
        <f>IFERROR(IF(INDEX('Data Employee'!M:M,MATCH(A202,'Data Employee'!A:A,0))="","",INDEX('Data Employee'!M:M,MATCH(A202,'Data Employee'!A:A,0))),"")</f>
        <v>46854</v>
      </c>
      <c r="L202" s="11" t="str">
        <f t="shared" ca="1" si="10"/>
        <v>618 Days</v>
      </c>
      <c r="M202" s="11" t="str">
        <f t="shared" ca="1" si="11"/>
        <v>Active</v>
      </c>
    </row>
    <row r="203" spans="1:13" x14ac:dyDescent="0.35">
      <c r="A203">
        <v>202545968</v>
      </c>
      <c r="B203" t="str">
        <f>INDEX('Data Employee'!$B$2:$B$1000, MATCH(A203, 'Data Employee'!$A$2:$A$1000, 0))</f>
        <v>Nanda Nugroho</v>
      </c>
      <c r="C203" t="str">
        <f>INDEX('Data Employee'!$G$2:$G$1000,MATCH(A203,'Data Employee'!$A$2:$A$1000,0))</f>
        <v>Male</v>
      </c>
      <c r="D203" s="9" t="str" cm="1">
        <f t="array" aca="1" ref="D203" ca="1">IF(J203="","",_xlfn.IFS(DATEDIF(J203,TODAY(),"M")&lt;12,"Contract 1",DATEDIF(J203,TODAY(),"M")&lt;36,"Contract 2",DATEDIF(J203,TODAY(),"M")&lt;60,"Contract 3",DATEDIF(J203,TODAY(),"M")&lt;63,"Probation",TRUE,"Permanent"))</f>
        <v>Contract 1</v>
      </c>
      <c r="E203" s="9" t="str">
        <f t="shared" ca="1" si="9"/>
        <v>12 Month</v>
      </c>
      <c r="F203" s="9" t="str">
        <f>VLOOKUP(A203, 'Data Employee'!$A$2:$U$1000, 19, FALSE)</f>
        <v>Metal Engineering</v>
      </c>
      <c r="G203" s="9" t="str">
        <f>VLOOKUP(A203, 'Data Employee'!$A$2:$U$1000, 20, FALSE)</f>
        <v>Manufacturing</v>
      </c>
      <c r="H203" s="9" t="str">
        <f>INDEX('Data Employee'!$W$2:$W$1000, MATCH(A203, 'Data Employee'!$A$2:$A$1000, 0))</f>
        <v>Procution Intern</v>
      </c>
      <c r="I203" t="str">
        <f>INDEX('Data Employee'!$V$2:$V$1000,MATCH(A203,'Data Employee'!$A$2:$A$1000,0))</f>
        <v>Internship</v>
      </c>
      <c r="J203" s="18">
        <f>INDEX('Data Employee'!$L$2:$L$1000, MATCH(A203, 'Data Employee'!$A$2:$A$1000, 0))</f>
        <v>45968</v>
      </c>
      <c r="K203" s="19">
        <f>IFERROR(IF(INDEX('Data Employee'!M:M,MATCH(A203,'Data Employee'!A:A,0))="","",INDEX('Data Employee'!M:M,MATCH(A203,'Data Employee'!A:A,0))),"")</f>
        <v>46333</v>
      </c>
      <c r="L203" s="11" t="str">
        <f t="shared" ca="1" si="10"/>
        <v>97 Days</v>
      </c>
      <c r="M203" s="11" t="str">
        <f t="shared" ca="1" si="11"/>
        <v>Active</v>
      </c>
    </row>
    <row r="204" spans="1:13" x14ac:dyDescent="0.35">
      <c r="A204">
        <v>201742806</v>
      </c>
      <c r="B204" t="str">
        <f>INDEX('Data Employee'!$B$2:$B$1000, MATCH(A204, 'Data Employee'!$A$2:$A$1000, 0))</f>
        <v>Rizky Saputra</v>
      </c>
      <c r="C204" t="str">
        <f>INDEX('Data Employee'!$G$2:$G$1000,MATCH(A204,'Data Employee'!$A$2:$A$1000,0))</f>
        <v>Male</v>
      </c>
      <c r="D204" s="9" t="str" cm="1">
        <f t="array" aca="1" ref="D204" ca="1">IF(J204="","",_xlfn.IFS(DATEDIF(J204,TODAY(),"M")&lt;12,"Contract 1",DATEDIF(J204,TODAY(),"M")&lt;36,"Contract 2",DATEDIF(J204,TODAY(),"M")&lt;60,"Contract 3",DATEDIF(J204,TODAY(),"M")&lt;63,"Probation",TRUE,"Permanent"))</f>
        <v>Contract 3</v>
      </c>
      <c r="E204" s="9" t="str">
        <f t="shared" ca="1" si="9"/>
        <v>60 Month</v>
      </c>
      <c r="F204" s="9" t="str">
        <f>VLOOKUP(A204, 'Data Employee'!$A$2:$U$1000, 19, FALSE)</f>
        <v>Automotive Engineering</v>
      </c>
      <c r="G204" s="9" t="str">
        <f>VLOOKUP(A204, 'Data Employee'!$A$2:$U$1000, 20, FALSE)</f>
        <v>Manufacturing</v>
      </c>
      <c r="H204" s="9" t="str">
        <f>INDEX('Data Employee'!$W$2:$W$1000, MATCH(A204, 'Data Employee'!$A$2:$A$1000, 0))</f>
        <v>Production Operator</v>
      </c>
      <c r="I204" t="str">
        <f>INDEX('Data Employee'!$V$2:$V$1000,MATCH(A204,'Data Employee'!$A$2:$A$1000,0))</f>
        <v>Operator</v>
      </c>
      <c r="J204" s="18">
        <f>INDEX('Data Employee'!$L$2:$L$1000, MATCH(A204, 'Data Employee'!$A$2:$A$1000, 0))</f>
        <v>44997</v>
      </c>
      <c r="K204" s="19">
        <f>IFERROR(IF(INDEX('Data Employee'!M:M,MATCH(A204,'Data Employee'!A:A,0))="","",INDEX('Data Employee'!M:M,MATCH(A204,'Data Employee'!A:A,0))),"")</f>
        <v>46824</v>
      </c>
      <c r="L204" s="11" t="str">
        <f t="shared" ca="1" si="10"/>
        <v>588 Days</v>
      </c>
      <c r="M204" s="11" t="str">
        <f t="shared" ca="1" si="11"/>
        <v>Active</v>
      </c>
    </row>
    <row r="205" spans="1:13" x14ac:dyDescent="0.35">
      <c r="A205">
        <v>201843451</v>
      </c>
      <c r="B205" t="str">
        <f>INDEX('Data Employee'!$B$2:$B$1000, MATCH(A205, 'Data Employee'!$A$2:$A$1000, 0))</f>
        <v>Budi Kusuma</v>
      </c>
      <c r="C205" t="str">
        <f>INDEX('Data Employee'!$G$2:$G$1000,MATCH(A205,'Data Employee'!$A$2:$A$1000,0))</f>
        <v>Male</v>
      </c>
      <c r="D205" s="9" t="str" cm="1">
        <f t="array" aca="1" ref="D205" ca="1">IF(J205="","",_xlfn.IFS(DATEDIF(J205,TODAY(),"M")&lt;12,"Contract 1",DATEDIF(J205,TODAY(),"M")&lt;36,"Contract 2",DATEDIF(J205,TODAY(),"M")&lt;60,"Contract 3",DATEDIF(J205,TODAY(),"M")&lt;63,"Probation",TRUE,"Permanent"))</f>
        <v>Contract 2</v>
      </c>
      <c r="E205" s="9" t="str">
        <f t="shared" ca="1" si="9"/>
        <v>24 Month</v>
      </c>
      <c r="F205" s="9" t="str">
        <f>VLOOKUP(A205, 'Data Employee'!$A$2:$U$1000, 19, FALSE)</f>
        <v>Automotive Engineering</v>
      </c>
      <c r="G205" s="9" t="str">
        <f>VLOOKUP(A205, 'Data Employee'!$A$2:$U$1000, 20, FALSE)</f>
        <v>Manufacturing</v>
      </c>
      <c r="H205" s="9" t="str">
        <f>INDEX('Data Employee'!$W$2:$W$1000, MATCH(A205, 'Data Employee'!$A$2:$A$1000, 0))</f>
        <v>Production Operator</v>
      </c>
      <c r="I205" t="str">
        <f>INDEX('Data Employee'!$V$2:$V$1000,MATCH(A205,'Data Employee'!$A$2:$A$1000,0))</f>
        <v>Operator</v>
      </c>
      <c r="J205" s="18">
        <f>INDEX('Data Employee'!$L$2:$L$1000, MATCH(A205, 'Data Employee'!$A$2:$A$1000, 0))</f>
        <v>45277</v>
      </c>
      <c r="K205" s="19">
        <f>IFERROR(IF(INDEX('Data Employee'!M:M,MATCH(A205,'Data Employee'!A:A,0))="","",INDEX('Data Employee'!M:M,MATCH(A205,'Data Employee'!A:A,0))),"")</f>
        <v>47104</v>
      </c>
      <c r="L205" s="11" t="str">
        <f t="shared" ca="1" si="10"/>
        <v>868 Days</v>
      </c>
      <c r="M205" s="11" t="str">
        <f t="shared" ca="1" si="11"/>
        <v>Active</v>
      </c>
    </row>
    <row r="206" spans="1:13" x14ac:dyDescent="0.35">
      <c r="A206">
        <v>201943517</v>
      </c>
      <c r="B206" t="str">
        <f>INDEX('Data Employee'!$B$2:$B$1000, MATCH(A206, 'Data Employee'!$A$2:$A$1000, 0))</f>
        <v>Yoga Kusuma</v>
      </c>
      <c r="C206" t="str">
        <f>INDEX('Data Employee'!$G$2:$G$1000,MATCH(A206,'Data Employee'!$A$2:$A$1000,0))</f>
        <v>Male</v>
      </c>
      <c r="D206" s="9" t="str" cm="1">
        <f t="array" aca="1" ref="D206" ca="1">IF(J206="","",_xlfn.IFS(DATEDIF(J206,TODAY(),"M")&lt;12,"Contract 1",DATEDIF(J206,TODAY(),"M")&lt;36,"Contract 2",DATEDIF(J206,TODAY(),"M")&lt;60,"Contract 3",DATEDIF(J206,TODAY(),"M")&lt;63,"Probation",TRUE,"Permanent"))</f>
        <v>Contract 2</v>
      </c>
      <c r="E206" s="9" t="str">
        <f t="shared" ca="1" si="9"/>
        <v>24 Month</v>
      </c>
      <c r="F206" s="9" t="str">
        <f>VLOOKUP(A206, 'Data Employee'!$A$2:$U$1000, 19, FALSE)</f>
        <v>Automotive Engineering</v>
      </c>
      <c r="G206" s="9" t="str">
        <f>VLOOKUP(A206, 'Data Employee'!$A$2:$U$1000, 20, FALSE)</f>
        <v>Manufacturing</v>
      </c>
      <c r="H206" s="9" t="str">
        <f>INDEX('Data Employee'!$W$2:$W$1000, MATCH(A206, 'Data Employee'!$A$2:$A$1000, 0))</f>
        <v>Production Operator</v>
      </c>
      <c r="I206" t="str">
        <f>INDEX('Data Employee'!$V$2:$V$1000,MATCH(A206,'Data Employee'!$A$2:$A$1000,0))</f>
        <v>Operator</v>
      </c>
      <c r="J206" s="18">
        <f>INDEX('Data Employee'!$L$2:$L$1000, MATCH(A206, 'Data Employee'!$A$2:$A$1000, 0))</f>
        <v>45343</v>
      </c>
      <c r="K206" s="19">
        <f>IFERROR(IF(INDEX('Data Employee'!M:M,MATCH(A206,'Data Employee'!A:A,0))="","",INDEX('Data Employee'!M:M,MATCH(A206,'Data Employee'!A:A,0))),"")</f>
        <v>47170</v>
      </c>
      <c r="L206" s="11" t="str">
        <f t="shared" ca="1" si="10"/>
        <v>934 Days</v>
      </c>
      <c r="M206" s="11" t="str">
        <f t="shared" ca="1" si="11"/>
        <v>Active</v>
      </c>
    </row>
    <row r="207" spans="1:13" x14ac:dyDescent="0.35">
      <c r="A207">
        <v>201943725</v>
      </c>
      <c r="B207" t="str">
        <f>INDEX('Data Employee'!$B$2:$B$1000, MATCH(A207, 'Data Employee'!$A$2:$A$1000, 0))</f>
        <v>Rizky Saputra</v>
      </c>
      <c r="C207" t="str">
        <f>INDEX('Data Employee'!$G$2:$G$1000,MATCH(A207,'Data Employee'!$A$2:$A$1000,0))</f>
        <v>Male</v>
      </c>
      <c r="D207" s="9" t="str" cm="1">
        <f t="array" aca="1" ref="D207" ca="1">IF(J207="","",_xlfn.IFS(DATEDIF(J207,TODAY(),"M")&lt;12,"Contract 1",DATEDIF(J207,TODAY(),"M")&lt;36,"Contract 2",DATEDIF(J207,TODAY(),"M")&lt;60,"Contract 3",DATEDIF(J207,TODAY(),"M")&lt;63,"Probation",TRUE,"Permanent"))</f>
        <v>Contract 1</v>
      </c>
      <c r="E207" s="9" t="str">
        <f t="shared" ca="1" si="9"/>
        <v>12 Month</v>
      </c>
      <c r="F207" s="9" t="str">
        <f>VLOOKUP(A207, 'Data Employee'!$A$2:$U$1000, 19, FALSE)</f>
        <v>Metal Engineering</v>
      </c>
      <c r="G207" s="9" t="str">
        <f>VLOOKUP(A207, 'Data Employee'!$A$2:$U$1000, 20, FALSE)</f>
        <v>Manufacturing</v>
      </c>
      <c r="H207" s="9" t="str">
        <f>INDEX('Data Employee'!$W$2:$W$1000, MATCH(A207, 'Data Employee'!$A$2:$A$1000, 0))</f>
        <v>Procution Intern</v>
      </c>
      <c r="I207" t="str">
        <f>INDEX('Data Employee'!$V$2:$V$1000,MATCH(A207,'Data Employee'!$A$2:$A$1000,0))</f>
        <v>Internship</v>
      </c>
      <c r="J207" s="18">
        <f>INDEX('Data Employee'!$L$2:$L$1000, MATCH(A207, 'Data Employee'!$A$2:$A$1000, 0))</f>
        <v>45917</v>
      </c>
      <c r="K207" s="19">
        <f>IFERROR(IF(INDEX('Data Employee'!M:M,MATCH(A207,'Data Employee'!A:A,0))="","",INDEX('Data Employee'!M:M,MATCH(A207,'Data Employee'!A:A,0))),"")</f>
        <v>46282</v>
      </c>
      <c r="L207" s="11" t="str">
        <f t="shared" ca="1" si="10"/>
        <v>46 Days</v>
      </c>
      <c r="M207" s="11" t="str">
        <f t="shared" ca="1" si="11"/>
        <v>Review Needed</v>
      </c>
    </row>
    <row r="208" spans="1:13" x14ac:dyDescent="0.35">
      <c r="A208">
        <v>202646042</v>
      </c>
      <c r="B208" t="str">
        <f>INDEX('Data Employee'!$B$2:$B$1000, MATCH(A208, 'Data Employee'!$A$2:$A$1000, 0))</f>
        <v>Budi Kurniawan</v>
      </c>
      <c r="C208" t="str">
        <f>INDEX('Data Employee'!$G$2:$G$1000,MATCH(A208,'Data Employee'!$A$2:$A$1000,0))</f>
        <v>Male</v>
      </c>
      <c r="D208" s="9" t="str" cm="1">
        <f t="array" aca="1" ref="D208" ca="1">IF(J208="","",_xlfn.IFS(DATEDIF(J208,TODAY(),"M")&lt;12,"Contract 1",DATEDIF(J208,TODAY(),"M")&lt;36,"Contract 2",DATEDIF(J208,TODAY(),"M")&lt;60,"Contract 3",DATEDIF(J208,TODAY(),"M")&lt;63,"Probation",TRUE,"Permanent"))</f>
        <v>Contract 1</v>
      </c>
      <c r="E208" s="9" t="str">
        <f t="shared" ca="1" si="9"/>
        <v>12 Month</v>
      </c>
      <c r="F208" s="9" t="str">
        <f>VLOOKUP(A208, 'Data Employee'!$A$2:$U$1000, 19, FALSE)</f>
        <v>Automotive Engineering</v>
      </c>
      <c r="G208" s="9" t="str">
        <f>VLOOKUP(A208, 'Data Employee'!$A$2:$U$1000, 20, FALSE)</f>
        <v>Manufacturing</v>
      </c>
      <c r="H208" s="9" t="str">
        <f>INDEX('Data Employee'!$W$2:$W$1000, MATCH(A208, 'Data Employee'!$A$2:$A$1000, 0))</f>
        <v>Production Operator</v>
      </c>
      <c r="I208" t="str">
        <f>INDEX('Data Employee'!$V$2:$V$1000,MATCH(A208,'Data Employee'!$A$2:$A$1000,0))</f>
        <v>Operator</v>
      </c>
      <c r="J208" s="18">
        <f>INDEX('Data Employee'!$L$2:$L$1000, MATCH(A208, 'Data Employee'!$A$2:$A$1000, 0))</f>
        <v>46042</v>
      </c>
      <c r="K208" s="19">
        <f>IFERROR(IF(INDEX('Data Employee'!M:M,MATCH(A208,'Data Employee'!A:A,0))="","",INDEX('Data Employee'!M:M,MATCH(A208,'Data Employee'!A:A,0))),"")</f>
        <v>47868</v>
      </c>
      <c r="L208" s="11" t="str">
        <f t="shared" ca="1" si="10"/>
        <v>1632 Days</v>
      </c>
      <c r="M208" s="11" t="str">
        <f t="shared" ca="1" si="11"/>
        <v>Active</v>
      </c>
    </row>
    <row r="209" spans="1:13" x14ac:dyDescent="0.35">
      <c r="A209">
        <v>202044155</v>
      </c>
      <c r="B209" t="str">
        <f>INDEX('Data Employee'!$B$2:$B$1000, MATCH(A209, 'Data Employee'!$A$2:$A$1000, 0))</f>
        <v>Rizky Permata</v>
      </c>
      <c r="C209" t="str">
        <f>INDEX('Data Employee'!$G$2:$G$1000,MATCH(A209,'Data Employee'!$A$2:$A$1000,0))</f>
        <v>Male</v>
      </c>
      <c r="D209" s="9" t="str" cm="1">
        <f t="array" aca="1" ref="D209" ca="1">IF(J209="","",_xlfn.IFS(DATEDIF(J209,TODAY(),"M")&lt;12,"Contract 1",DATEDIF(J209,TODAY(),"M")&lt;36,"Contract 2",DATEDIF(J209,TODAY(),"M")&lt;60,"Contract 3",DATEDIF(J209,TODAY(),"M")&lt;63,"Probation",TRUE,"Permanent"))</f>
        <v>Contract 1</v>
      </c>
      <c r="E209" s="9" t="str">
        <f t="shared" ca="1" si="9"/>
        <v>12 Month</v>
      </c>
      <c r="F209" s="9" t="str">
        <f>VLOOKUP(A209, 'Data Employee'!$A$2:$U$1000, 19, FALSE)</f>
        <v>Automotive Engineering</v>
      </c>
      <c r="G209" s="9" t="str">
        <f>VLOOKUP(A209, 'Data Employee'!$A$2:$U$1000, 20, FALSE)</f>
        <v>Manufacturing</v>
      </c>
      <c r="H209" s="9" t="str">
        <f>INDEX('Data Employee'!$W$2:$W$1000, MATCH(A209, 'Data Employee'!$A$2:$A$1000, 0))</f>
        <v>Production Operator</v>
      </c>
      <c r="I209" t="str">
        <f>INDEX('Data Employee'!$V$2:$V$1000,MATCH(A209,'Data Employee'!$A$2:$A$1000,0))</f>
        <v>Operator</v>
      </c>
      <c r="J209" s="18">
        <f>INDEX('Data Employee'!$L$2:$L$1000, MATCH(A209, 'Data Employee'!$A$2:$A$1000, 0))</f>
        <v>45981</v>
      </c>
      <c r="K209" s="19">
        <f>IFERROR(IF(INDEX('Data Employee'!M:M,MATCH(A209,'Data Employee'!A:A,0))="","",INDEX('Data Employee'!M:M,MATCH(A209,'Data Employee'!A:A,0))),"")</f>
        <v>46346</v>
      </c>
      <c r="L209" s="11" t="str">
        <f t="shared" ca="1" si="10"/>
        <v>110 Days</v>
      </c>
      <c r="M209" s="11" t="str">
        <f t="shared" ca="1" si="11"/>
        <v>Active</v>
      </c>
    </row>
    <row r="210" spans="1:13" x14ac:dyDescent="0.35">
      <c r="A210">
        <v>201843296</v>
      </c>
      <c r="B210" t="str">
        <f>INDEX('Data Employee'!$B$2:$B$1000, MATCH(A210, 'Data Employee'!$A$2:$A$1000, 0))</f>
        <v>Dedi Maulana</v>
      </c>
      <c r="C210" t="str">
        <f>INDEX('Data Employee'!$G$2:$G$1000,MATCH(A210,'Data Employee'!$A$2:$A$1000,0))</f>
        <v>Male</v>
      </c>
      <c r="D210" s="9" t="str" cm="1">
        <f t="array" aca="1" ref="D210" ca="1">IF(J210="","",_xlfn.IFS(DATEDIF(J210,TODAY(),"M")&lt;12,"Contract 1",DATEDIF(J210,TODAY(),"M")&lt;36,"Contract 2",DATEDIF(J210,TODAY(),"M")&lt;60,"Contract 3",DATEDIF(J210,TODAY(),"M")&lt;63,"Probation",TRUE,"Permanent"))</f>
        <v>Contract 3</v>
      </c>
      <c r="E210" s="9" t="str">
        <f t="shared" ca="1" si="9"/>
        <v>60 Month</v>
      </c>
      <c r="F210" s="9" t="str">
        <f>VLOOKUP(A210, 'Data Employee'!$A$2:$U$1000, 19, FALSE)</f>
        <v>Automotive Engineering</v>
      </c>
      <c r="G210" s="9" t="str">
        <f>VLOOKUP(A210, 'Data Employee'!$A$2:$U$1000, 20, FALSE)</f>
        <v>Manufacturing</v>
      </c>
      <c r="H210" s="9" t="str">
        <f>INDEX('Data Employee'!$W$2:$W$1000, MATCH(A210, 'Data Employee'!$A$2:$A$1000, 0))</f>
        <v>Production Operator</v>
      </c>
      <c r="I210" t="str">
        <f>INDEX('Data Employee'!$V$2:$V$1000,MATCH(A210,'Data Employee'!$A$2:$A$1000,0))</f>
        <v>Operator</v>
      </c>
      <c r="J210" s="18">
        <f>INDEX('Data Employee'!$L$2:$L$1000, MATCH(A210, 'Data Employee'!$A$2:$A$1000, 0))</f>
        <v>45122</v>
      </c>
      <c r="K210" s="19">
        <f>IFERROR(IF(INDEX('Data Employee'!M:M,MATCH(A210,'Data Employee'!A:A,0))="","",INDEX('Data Employee'!M:M,MATCH(A210,'Data Employee'!A:A,0))),"")</f>
        <v>46949</v>
      </c>
      <c r="L210" s="11" t="str">
        <f t="shared" ca="1" si="10"/>
        <v>713 Days</v>
      </c>
      <c r="M210" s="11" t="str">
        <f t="shared" ca="1" si="11"/>
        <v>Active</v>
      </c>
    </row>
    <row r="211" spans="1:13" x14ac:dyDescent="0.35">
      <c r="A211">
        <v>201742836</v>
      </c>
      <c r="B211" t="str">
        <f>INDEX('Data Employee'!$B$2:$B$1000, MATCH(A211, 'Data Employee'!$A$2:$A$1000, 0))</f>
        <v>Putra Lesmana</v>
      </c>
      <c r="C211" t="str">
        <f>INDEX('Data Employee'!$G$2:$G$1000,MATCH(A211,'Data Employee'!$A$2:$A$1000,0))</f>
        <v>Male</v>
      </c>
      <c r="D211" s="9" t="str" cm="1">
        <f t="array" aca="1" ref="D211" ca="1">IF(J211="","",_xlfn.IFS(DATEDIF(J211,TODAY(),"M")&lt;12,"Contract 1",DATEDIF(J211,TODAY(),"M")&lt;36,"Contract 2",DATEDIF(J211,TODAY(),"M")&lt;60,"Contract 3",DATEDIF(J211,TODAY(),"M")&lt;63,"Probation",TRUE,"Permanent"))</f>
        <v>Contract 1</v>
      </c>
      <c r="E211" s="9" t="str">
        <f t="shared" ca="1" si="9"/>
        <v>12 Month</v>
      </c>
      <c r="F211" s="9" t="str">
        <f>VLOOKUP(A211, 'Data Employee'!$A$2:$U$1000, 19, FALSE)</f>
        <v>Automotive Engineering</v>
      </c>
      <c r="G211" s="9" t="str">
        <f>VLOOKUP(A211, 'Data Employee'!$A$2:$U$1000, 20, FALSE)</f>
        <v>Manufacturing</v>
      </c>
      <c r="H211" s="9" t="str">
        <f>INDEX('Data Employee'!$W$2:$W$1000, MATCH(A211, 'Data Employee'!$A$2:$A$1000, 0))</f>
        <v>Procution Intern</v>
      </c>
      <c r="I211" t="str">
        <f>INDEX('Data Employee'!$V$2:$V$1000,MATCH(A211,'Data Employee'!$A$2:$A$1000,0))</f>
        <v>Internship</v>
      </c>
      <c r="J211" s="18">
        <f>INDEX('Data Employee'!$L$2:$L$1000, MATCH(A211, 'Data Employee'!$A$2:$A$1000, 0))</f>
        <v>46123</v>
      </c>
      <c r="K211" s="19">
        <f>IFERROR(IF(INDEX('Data Employee'!M:M,MATCH(A211,'Data Employee'!A:A,0))="","",INDEX('Data Employee'!M:M,MATCH(A211,'Data Employee'!A:A,0))),"")</f>
        <v>46488</v>
      </c>
      <c r="L211" s="11" t="str">
        <f t="shared" ca="1" si="10"/>
        <v>252 Days</v>
      </c>
      <c r="M211" s="11" t="str">
        <f t="shared" ca="1" si="11"/>
        <v>Active</v>
      </c>
    </row>
    <row r="212" spans="1:13" x14ac:dyDescent="0.35">
      <c r="A212">
        <v>201943818</v>
      </c>
      <c r="B212" t="str">
        <f>INDEX('Data Employee'!$B$2:$B$1000, MATCH(A212, 'Data Employee'!$A$2:$A$1000, 0))</f>
        <v>Rudi Hidayat</v>
      </c>
      <c r="C212" t="str">
        <f>INDEX('Data Employee'!$G$2:$G$1000,MATCH(A212,'Data Employee'!$A$2:$A$1000,0))</f>
        <v>Male</v>
      </c>
      <c r="D212" s="9" t="str" cm="1">
        <f t="array" aca="1" ref="D212" ca="1">IF(J212="","",_xlfn.IFS(DATEDIF(J212,TODAY(),"M")&lt;12,"Contract 1",DATEDIF(J212,TODAY(),"M")&lt;36,"Contract 2",DATEDIF(J212,TODAY(),"M")&lt;60,"Contract 3",DATEDIF(J212,TODAY(),"M")&lt;63,"Probation",TRUE,"Permanent"))</f>
        <v>Contract 2</v>
      </c>
      <c r="E212" s="9" t="str">
        <f t="shared" ca="1" si="9"/>
        <v>24 Month</v>
      </c>
      <c r="F212" s="9" t="str">
        <f>VLOOKUP(A212, 'Data Employee'!$A$2:$U$1000, 19, FALSE)</f>
        <v>Automotive Engineering</v>
      </c>
      <c r="G212" s="9" t="str">
        <f>VLOOKUP(A212, 'Data Employee'!$A$2:$U$1000, 20, FALSE)</f>
        <v>Manufacturing</v>
      </c>
      <c r="H212" s="9" t="str">
        <f>INDEX('Data Employee'!$W$2:$W$1000, MATCH(A212, 'Data Employee'!$A$2:$A$1000, 0))</f>
        <v>Production Operator</v>
      </c>
      <c r="I212" t="str">
        <f>INDEX('Data Employee'!$V$2:$V$1000,MATCH(A212,'Data Employee'!$A$2:$A$1000,0))</f>
        <v>Operator</v>
      </c>
      <c r="J212" s="18">
        <f>INDEX('Data Employee'!$L$2:$L$1000, MATCH(A212, 'Data Employee'!$A$2:$A$1000, 0))</f>
        <v>45645</v>
      </c>
      <c r="K212" s="19">
        <f>IFERROR(IF(INDEX('Data Employee'!M:M,MATCH(A212,'Data Employee'!A:A,0))="","",INDEX('Data Employee'!M:M,MATCH(A212,'Data Employee'!A:A,0))),"")</f>
        <v>46375</v>
      </c>
      <c r="L212" s="11" t="str">
        <f t="shared" ca="1" si="10"/>
        <v>139 Days</v>
      </c>
      <c r="M212" s="11" t="str">
        <f t="shared" ca="1" si="11"/>
        <v>Active</v>
      </c>
    </row>
    <row r="213" spans="1:13" x14ac:dyDescent="0.35">
      <c r="A213">
        <v>201743033</v>
      </c>
      <c r="B213" t="str">
        <f>INDEX('Data Employee'!$B$2:$B$1000, MATCH(A213, 'Data Employee'!$A$2:$A$1000, 0))</f>
        <v>Yoga Pratama</v>
      </c>
      <c r="C213" t="str">
        <f>INDEX('Data Employee'!$G$2:$G$1000,MATCH(A213,'Data Employee'!$A$2:$A$1000,0))</f>
        <v>Male</v>
      </c>
      <c r="D213" s="9" t="str" cm="1">
        <f t="array" aca="1" ref="D213" ca="1">IF(J213="","",_xlfn.IFS(DATEDIF(J213,TODAY(),"M")&lt;12,"Contract 1",DATEDIF(J213,TODAY(),"M")&lt;36,"Contract 2",DATEDIF(J213,TODAY(),"M")&lt;60,"Contract 3",DATEDIF(J213,TODAY(),"M")&lt;63,"Probation",TRUE,"Permanent"))</f>
        <v>Contract 2</v>
      </c>
      <c r="E213" s="9" t="str">
        <f t="shared" ca="1" si="9"/>
        <v>24 Month</v>
      </c>
      <c r="F213" s="9" t="str">
        <f>VLOOKUP(A213, 'Data Employee'!$A$2:$U$1000, 19, FALSE)</f>
        <v>Automotive Engineering</v>
      </c>
      <c r="G213" s="9" t="str">
        <f>VLOOKUP(A213, 'Data Employee'!$A$2:$U$1000, 20, FALSE)</f>
        <v>Manufacturing</v>
      </c>
      <c r="H213" s="9" t="str">
        <f>INDEX('Data Employee'!$W$2:$W$1000, MATCH(A213, 'Data Employee'!$A$2:$A$1000, 0))</f>
        <v>Production Operator</v>
      </c>
      <c r="I213" t="str">
        <f>INDEX('Data Employee'!$V$2:$V$1000,MATCH(A213,'Data Employee'!$A$2:$A$1000,0))</f>
        <v>Operator</v>
      </c>
      <c r="J213" s="18">
        <f>INDEX('Data Employee'!$L$2:$L$1000, MATCH(A213, 'Data Employee'!$A$2:$A$1000, 0))</f>
        <v>45224</v>
      </c>
      <c r="K213" s="19">
        <f>IFERROR(IF(INDEX('Data Employee'!M:M,MATCH(A213,'Data Employee'!A:A,0))="","",INDEX('Data Employee'!M:M,MATCH(A213,'Data Employee'!A:A,0))),"")</f>
        <v>46320</v>
      </c>
      <c r="L213" s="11" t="str">
        <f t="shared" ca="1" si="10"/>
        <v>84 Days</v>
      </c>
      <c r="M213" s="11" t="str">
        <f t="shared" ca="1" si="11"/>
        <v>Active</v>
      </c>
    </row>
    <row r="214" spans="1:13" x14ac:dyDescent="0.35">
      <c r="A214">
        <v>202445407</v>
      </c>
      <c r="B214" t="str">
        <f>INDEX('Data Employee'!$B$2:$B$1000, MATCH(A214, 'Data Employee'!$A$2:$A$1000, 0))</f>
        <v>Rahmat Pangestu</v>
      </c>
      <c r="C214" t="str">
        <f>INDEX('Data Employee'!$G$2:$G$1000,MATCH(A214,'Data Employee'!$A$2:$A$1000,0))</f>
        <v>Male</v>
      </c>
      <c r="D214" s="9" t="str" cm="1">
        <f t="array" aca="1" ref="D214" ca="1">IF(J214="","",_xlfn.IFS(DATEDIF(J214,TODAY(),"M")&lt;12,"Contract 1",DATEDIF(J214,TODAY(),"M")&lt;36,"Contract 2",DATEDIF(J214,TODAY(),"M")&lt;60,"Contract 3",DATEDIF(J214,TODAY(),"M")&lt;63,"Probation",TRUE,"Permanent"))</f>
        <v>Contract 2</v>
      </c>
      <c r="E214" s="9" t="str">
        <f t="shared" ca="1" si="9"/>
        <v>24 Month</v>
      </c>
      <c r="F214" s="9" t="str">
        <f>VLOOKUP(A214, 'Data Employee'!$A$2:$U$1000, 19, FALSE)</f>
        <v>Automotive Engineering</v>
      </c>
      <c r="G214" s="9" t="str">
        <f>VLOOKUP(A214, 'Data Employee'!$A$2:$U$1000, 20, FALSE)</f>
        <v>Manufacturing</v>
      </c>
      <c r="H214" s="9" t="str">
        <f>INDEX('Data Employee'!$W$2:$W$1000, MATCH(A214, 'Data Employee'!$A$2:$A$1000, 0))</f>
        <v>Production Operator</v>
      </c>
      <c r="I214" t="str">
        <f>INDEX('Data Employee'!$V$2:$V$1000,MATCH(A214,'Data Employee'!$A$2:$A$1000,0))</f>
        <v>Operator</v>
      </c>
      <c r="J214" s="18">
        <f>INDEX('Data Employee'!$L$2:$L$1000, MATCH(A214, 'Data Employee'!$A$2:$A$1000, 0))</f>
        <v>45407</v>
      </c>
      <c r="K214" s="19">
        <f>IFERROR(IF(INDEX('Data Employee'!M:M,MATCH(A214,'Data Employee'!A:A,0))="","",INDEX('Data Employee'!M:M,MATCH(A214,'Data Employee'!A:A,0))),"")</f>
        <v>47233</v>
      </c>
      <c r="L214" s="11" t="str">
        <f t="shared" ca="1" si="10"/>
        <v>997 Days</v>
      </c>
      <c r="M214" s="11" t="str">
        <f t="shared" ca="1" si="11"/>
        <v>Active</v>
      </c>
    </row>
    <row r="215" spans="1:13" x14ac:dyDescent="0.35">
      <c r="A215">
        <v>202044056</v>
      </c>
      <c r="B215" t="str">
        <f>INDEX('Data Employee'!$B$2:$B$1000, MATCH(A215, 'Data Employee'!$A$2:$A$1000, 0))</f>
        <v>Asep Hidayat</v>
      </c>
      <c r="C215" t="str">
        <f>INDEX('Data Employee'!$G$2:$G$1000,MATCH(A215,'Data Employee'!$A$2:$A$1000,0))</f>
        <v>Male</v>
      </c>
      <c r="D215" s="9" t="str" cm="1">
        <f t="array" aca="1" ref="D215" ca="1">IF(J215="","",_xlfn.IFS(DATEDIF(J215,TODAY(),"M")&lt;12,"Contract 1",DATEDIF(J215,TODAY(),"M")&lt;36,"Contract 2",DATEDIF(J215,TODAY(),"M")&lt;60,"Contract 3",DATEDIF(J215,TODAY(),"M")&lt;63,"Probation",TRUE,"Permanent"))</f>
        <v>Contract 1</v>
      </c>
      <c r="E215" s="9" t="str">
        <f t="shared" ca="1" si="9"/>
        <v>12 Month</v>
      </c>
      <c r="F215" s="9" t="str">
        <f>VLOOKUP(A215, 'Data Employee'!$A$2:$U$1000, 19, FALSE)</f>
        <v>Automotive Engineering</v>
      </c>
      <c r="G215" s="9" t="str">
        <f>VLOOKUP(A215, 'Data Employee'!$A$2:$U$1000, 20, FALSE)</f>
        <v>Manufacturing</v>
      </c>
      <c r="H215" s="9" t="str">
        <f>INDEX('Data Employee'!$W$2:$W$1000, MATCH(A215, 'Data Employee'!$A$2:$A$1000, 0))</f>
        <v>Procution Intern</v>
      </c>
      <c r="I215" t="str">
        <f>INDEX('Data Employee'!$V$2:$V$1000,MATCH(A215,'Data Employee'!$A$2:$A$1000,0))</f>
        <v>Internship</v>
      </c>
      <c r="J215" s="18">
        <f>INDEX('Data Employee'!$L$2:$L$1000, MATCH(A215, 'Data Employee'!$A$2:$A$1000, 0))</f>
        <v>45882</v>
      </c>
      <c r="K215" s="19">
        <f>IFERROR(IF(INDEX('Data Employee'!M:M,MATCH(A215,'Data Employee'!A:A,0))="","",INDEX('Data Employee'!M:M,MATCH(A215,'Data Employee'!A:A,0))),"")</f>
        <v>46247</v>
      </c>
      <c r="L215" s="11" t="str">
        <f t="shared" ca="1" si="10"/>
        <v>11 Days</v>
      </c>
      <c r="M215" s="11" t="str">
        <f t="shared" ca="1" si="11"/>
        <v>Urgent Renewal</v>
      </c>
    </row>
    <row r="216" spans="1:13" x14ac:dyDescent="0.35">
      <c r="A216">
        <v>202345272</v>
      </c>
      <c r="B216" t="str">
        <f>INDEX('Data Employee'!$B$2:$B$1000, MATCH(A216, 'Data Employee'!$A$2:$A$1000, 0))</f>
        <v>Farhan Hidayat</v>
      </c>
      <c r="C216" t="str">
        <f>INDEX('Data Employee'!$G$2:$G$1000,MATCH(A216,'Data Employee'!$A$2:$A$1000,0))</f>
        <v>Male</v>
      </c>
      <c r="D216" s="9" t="str" cm="1">
        <f t="array" aca="1" ref="D216" ca="1">IF(J216="","",_xlfn.IFS(DATEDIF(J216,TODAY(),"M")&lt;12,"Contract 1",DATEDIF(J216,TODAY(),"M")&lt;36,"Contract 2",DATEDIF(J216,TODAY(),"M")&lt;60,"Contract 3",DATEDIF(J216,TODAY(),"M")&lt;63,"Probation",TRUE,"Permanent"))</f>
        <v>Contract 2</v>
      </c>
      <c r="E216" s="9" t="str">
        <f t="shared" ca="1" si="9"/>
        <v>24 Month</v>
      </c>
      <c r="F216" s="9" t="str">
        <f>VLOOKUP(A216, 'Data Employee'!$A$2:$U$1000, 19, FALSE)</f>
        <v>Automotive Engineering</v>
      </c>
      <c r="G216" s="9" t="str">
        <f>VLOOKUP(A216, 'Data Employee'!$A$2:$U$1000, 20, FALSE)</f>
        <v>Manufacturing</v>
      </c>
      <c r="H216" s="9" t="str">
        <f>INDEX('Data Employee'!$W$2:$W$1000, MATCH(A216, 'Data Employee'!$A$2:$A$1000, 0))</f>
        <v>Production Operator</v>
      </c>
      <c r="I216" t="str">
        <f>INDEX('Data Employee'!$V$2:$V$1000,MATCH(A216,'Data Employee'!$A$2:$A$1000,0))</f>
        <v>Operator</v>
      </c>
      <c r="J216" s="18">
        <f>INDEX('Data Employee'!$L$2:$L$1000, MATCH(A216, 'Data Employee'!$A$2:$A$1000, 0))</f>
        <v>45272</v>
      </c>
      <c r="K216" s="19">
        <f>IFERROR(IF(INDEX('Data Employee'!M:M,MATCH(A216,'Data Employee'!A:A,0))="","",INDEX('Data Employee'!M:M,MATCH(A216,'Data Employee'!A:A,0))),"")</f>
        <v>46368</v>
      </c>
      <c r="L216" s="11" t="str">
        <f t="shared" ca="1" si="10"/>
        <v>132 Days</v>
      </c>
      <c r="M216" s="11" t="str">
        <f t="shared" ca="1" si="11"/>
        <v>Active</v>
      </c>
    </row>
    <row r="217" spans="1:13" x14ac:dyDescent="0.35">
      <c r="A217">
        <v>202445398</v>
      </c>
      <c r="B217" t="str">
        <f>INDEX('Data Employee'!$B$2:$B$1000, MATCH(A217, 'Data Employee'!$A$2:$A$1000, 0))</f>
        <v>Andi Ramadhan</v>
      </c>
      <c r="C217" t="str">
        <f>INDEX('Data Employee'!$G$2:$G$1000,MATCH(A217,'Data Employee'!$A$2:$A$1000,0))</f>
        <v>Male</v>
      </c>
      <c r="D217" s="9" t="str" cm="1">
        <f t="array" aca="1" ref="D217" ca="1">IF(J217="","",_xlfn.IFS(DATEDIF(J217,TODAY(),"M")&lt;12,"Contract 1",DATEDIF(J217,TODAY(),"M")&lt;36,"Contract 2",DATEDIF(J217,TODAY(),"M")&lt;60,"Contract 3",DATEDIF(J217,TODAY(),"M")&lt;63,"Probation",TRUE,"Permanent"))</f>
        <v>Contract 2</v>
      </c>
      <c r="E217" s="9" t="str">
        <f t="shared" ca="1" si="9"/>
        <v>24 Month</v>
      </c>
      <c r="F217" s="9" t="str">
        <f>VLOOKUP(A217, 'Data Employee'!$A$2:$U$1000, 19, FALSE)</f>
        <v>Automotive Engineering</v>
      </c>
      <c r="G217" s="9" t="str">
        <f>VLOOKUP(A217, 'Data Employee'!$A$2:$U$1000, 20, FALSE)</f>
        <v>Manufacturing</v>
      </c>
      <c r="H217" s="9" t="str">
        <f>INDEX('Data Employee'!$W$2:$W$1000, MATCH(A217, 'Data Employee'!$A$2:$A$1000, 0))</f>
        <v>Production Operator</v>
      </c>
      <c r="I217" t="str">
        <f>INDEX('Data Employee'!$V$2:$V$1000,MATCH(A217,'Data Employee'!$A$2:$A$1000,0))</f>
        <v>Operator</v>
      </c>
      <c r="J217" s="18">
        <f>INDEX('Data Employee'!$L$2:$L$1000, MATCH(A217, 'Data Employee'!$A$2:$A$1000, 0))</f>
        <v>45398</v>
      </c>
      <c r="K217" s="19">
        <f>IFERROR(IF(INDEX('Data Employee'!M:M,MATCH(A217,'Data Employee'!A:A,0))="","",INDEX('Data Employee'!M:M,MATCH(A217,'Data Employee'!A:A,0))),"")</f>
        <v>46493</v>
      </c>
      <c r="L217" s="11" t="str">
        <f t="shared" ca="1" si="10"/>
        <v>257 Days</v>
      </c>
      <c r="M217" s="11" t="str">
        <f t="shared" ca="1" si="11"/>
        <v>Active</v>
      </c>
    </row>
    <row r="218" spans="1:13" x14ac:dyDescent="0.35">
      <c r="A218">
        <v>202545706</v>
      </c>
      <c r="B218" t="str">
        <f>INDEX('Data Employee'!$B$2:$B$1000, MATCH(A218, 'Data Employee'!$A$2:$A$1000, 0))</f>
        <v>Andi Maulana</v>
      </c>
      <c r="C218" t="str">
        <f>INDEX('Data Employee'!$G$2:$G$1000,MATCH(A218,'Data Employee'!$A$2:$A$1000,0))</f>
        <v>Male</v>
      </c>
      <c r="D218" s="9" t="str" cm="1">
        <f t="array" aca="1" ref="D218" ca="1">IF(J218="","",_xlfn.IFS(DATEDIF(J218,TODAY(),"M")&lt;12,"Contract 1",DATEDIF(J218,TODAY(),"M")&lt;36,"Contract 2",DATEDIF(J218,TODAY(),"M")&lt;60,"Contract 3",DATEDIF(J218,TODAY(),"M")&lt;63,"Probation",TRUE,"Permanent"))</f>
        <v>Contract 2</v>
      </c>
      <c r="E218" s="9" t="str">
        <f t="shared" ca="1" si="9"/>
        <v>24 Month</v>
      </c>
      <c r="F218" s="9" t="str">
        <f>VLOOKUP(A218, 'Data Employee'!$A$2:$U$1000, 19, FALSE)</f>
        <v>Automotive Engineering</v>
      </c>
      <c r="G218" s="9" t="str">
        <f>VLOOKUP(A218, 'Data Employee'!$A$2:$U$1000, 20, FALSE)</f>
        <v>Manufacturing</v>
      </c>
      <c r="H218" s="9" t="str">
        <f>INDEX('Data Employee'!$W$2:$W$1000, MATCH(A218, 'Data Employee'!$A$2:$A$1000, 0))</f>
        <v>Production Operator</v>
      </c>
      <c r="I218" t="str">
        <f>INDEX('Data Employee'!$V$2:$V$1000,MATCH(A218,'Data Employee'!$A$2:$A$1000,0))</f>
        <v>Operator</v>
      </c>
      <c r="J218" s="18">
        <f>INDEX('Data Employee'!$L$2:$L$1000, MATCH(A218, 'Data Employee'!$A$2:$A$1000, 0))</f>
        <v>45706</v>
      </c>
      <c r="K218" s="19">
        <f>IFERROR(IF(INDEX('Data Employee'!M:M,MATCH(A218,'Data Employee'!A:A,0))="","",INDEX('Data Employee'!M:M,MATCH(A218,'Data Employee'!A:A,0))),"")</f>
        <v>47532</v>
      </c>
      <c r="L218" s="11" t="str">
        <f t="shared" ca="1" si="10"/>
        <v>1296 Days</v>
      </c>
      <c r="M218" s="11" t="str">
        <f t="shared" ca="1" si="11"/>
        <v>Active</v>
      </c>
    </row>
    <row r="219" spans="1:13" x14ac:dyDescent="0.35">
      <c r="A219">
        <v>202646151</v>
      </c>
      <c r="B219" t="str">
        <f>INDEX('Data Employee'!$B$2:$B$1000, MATCH(A219, 'Data Employee'!$A$2:$A$1000, 0))</f>
        <v>Egi Pratama</v>
      </c>
      <c r="C219" t="str">
        <f>INDEX('Data Employee'!$G$2:$G$1000,MATCH(A219,'Data Employee'!$A$2:$A$1000,0))</f>
        <v>Male</v>
      </c>
      <c r="D219" s="9" t="str" cm="1">
        <f t="array" aca="1" ref="D219" ca="1">IF(J219="","",_xlfn.IFS(DATEDIF(J219,TODAY(),"M")&lt;12,"Contract 1",DATEDIF(J219,TODAY(),"M")&lt;36,"Contract 2",DATEDIF(J219,TODAY(),"M")&lt;60,"Contract 3",DATEDIF(J219,TODAY(),"M")&lt;63,"Probation",TRUE,"Permanent"))</f>
        <v>Contract 1</v>
      </c>
      <c r="E219" s="9" t="str">
        <f t="shared" ca="1" si="9"/>
        <v>12 Month</v>
      </c>
      <c r="F219" s="9" t="str">
        <f>VLOOKUP(A219, 'Data Employee'!$A$2:$U$1000, 19, FALSE)</f>
        <v>Automotive Engineering</v>
      </c>
      <c r="G219" s="9" t="str">
        <f>VLOOKUP(A219, 'Data Employee'!$A$2:$U$1000, 20, FALSE)</f>
        <v>Manufacturing</v>
      </c>
      <c r="H219" s="9" t="str">
        <f>INDEX('Data Employee'!$W$2:$W$1000, MATCH(A219, 'Data Employee'!$A$2:$A$1000, 0))</f>
        <v>Procution Intern</v>
      </c>
      <c r="I219" t="str">
        <f>INDEX('Data Employee'!$V$2:$V$1000,MATCH(A219,'Data Employee'!$A$2:$A$1000,0))</f>
        <v>Internship</v>
      </c>
      <c r="J219" s="18">
        <f>INDEX('Data Employee'!$L$2:$L$1000, MATCH(A219, 'Data Employee'!$A$2:$A$1000, 0))</f>
        <v>46151</v>
      </c>
      <c r="K219" s="19">
        <f>IFERROR(IF(INDEX('Data Employee'!M:M,MATCH(A219,'Data Employee'!A:A,0))="","",INDEX('Data Employee'!M:M,MATCH(A219,'Data Employee'!A:A,0))),"")</f>
        <v>46516</v>
      </c>
      <c r="L219" s="11" t="str">
        <f t="shared" ca="1" si="10"/>
        <v>280 Days</v>
      </c>
      <c r="M219" s="11" t="str">
        <f t="shared" ca="1" si="11"/>
        <v>Active</v>
      </c>
    </row>
    <row r="220" spans="1:13" x14ac:dyDescent="0.35">
      <c r="A220">
        <v>202445560</v>
      </c>
      <c r="B220" t="str">
        <f>INDEX('Data Employee'!$B$2:$B$1000, MATCH(A220, 'Data Employee'!$A$2:$A$1000, 0))</f>
        <v>Yusuf Saputra</v>
      </c>
      <c r="C220" t="str">
        <f>INDEX('Data Employee'!$G$2:$G$1000,MATCH(A220,'Data Employee'!$A$2:$A$1000,0))</f>
        <v>Male</v>
      </c>
      <c r="D220" s="9" t="str" cm="1">
        <f t="array" aca="1" ref="D220" ca="1">IF(J220="","",_xlfn.IFS(DATEDIF(J220,TODAY(),"M")&lt;12,"Contract 1",DATEDIF(J220,TODAY(),"M")&lt;36,"Contract 2",DATEDIF(J220,TODAY(),"M")&lt;60,"Contract 3",DATEDIF(J220,TODAY(),"M")&lt;63,"Probation",TRUE,"Permanent"))</f>
        <v>Contract 2</v>
      </c>
      <c r="E220" s="9" t="str">
        <f t="shared" ca="1" si="9"/>
        <v>24 Month</v>
      </c>
      <c r="F220" s="9" t="str">
        <f>VLOOKUP(A220, 'Data Employee'!$A$2:$U$1000, 19, FALSE)</f>
        <v>Automotive Engineering</v>
      </c>
      <c r="G220" s="9" t="str">
        <f>VLOOKUP(A220, 'Data Employee'!$A$2:$U$1000, 20, FALSE)</f>
        <v>Manufacturing</v>
      </c>
      <c r="H220" s="9" t="str">
        <f>INDEX('Data Employee'!$W$2:$W$1000, MATCH(A220, 'Data Employee'!$A$2:$A$1000, 0))</f>
        <v>Production Operator</v>
      </c>
      <c r="I220" t="str">
        <f>INDEX('Data Employee'!$V$2:$V$1000,MATCH(A220,'Data Employee'!$A$2:$A$1000,0))</f>
        <v>Operator</v>
      </c>
      <c r="J220" s="18">
        <f>INDEX('Data Employee'!$L$2:$L$1000, MATCH(A220, 'Data Employee'!$A$2:$A$1000, 0))</f>
        <v>45560</v>
      </c>
      <c r="K220" s="19">
        <f>IFERROR(IF(INDEX('Data Employee'!M:M,MATCH(A220,'Data Employee'!A:A,0))="","",INDEX('Data Employee'!M:M,MATCH(A220,'Data Employee'!A:A,0))),"")</f>
        <v>46290</v>
      </c>
      <c r="L220" s="11" t="str">
        <f t="shared" ca="1" si="10"/>
        <v>54 Days</v>
      </c>
      <c r="M220" s="11" t="str">
        <f t="shared" ca="1" si="11"/>
        <v>Review Needed</v>
      </c>
    </row>
    <row r="221" spans="1:13" x14ac:dyDescent="0.35">
      <c r="A221">
        <v>202044023</v>
      </c>
      <c r="B221" t="str">
        <f>INDEX('Data Employee'!$B$2:$B$1000, MATCH(A221, 'Data Employee'!$A$2:$A$1000, 0))</f>
        <v>Siti Maulana</v>
      </c>
      <c r="C221" t="str">
        <f>INDEX('Data Employee'!$G$2:$G$1000,MATCH(A221,'Data Employee'!$A$2:$A$1000,0))</f>
        <v>Female</v>
      </c>
      <c r="D221" s="9" t="str" cm="1">
        <f t="array" aca="1" ref="D221" ca="1">IF(J221="","",_xlfn.IFS(DATEDIF(J221,TODAY(),"M")&lt;12,"Contract 1",DATEDIF(J221,TODAY(),"M")&lt;36,"Contract 2",DATEDIF(J221,TODAY(),"M")&lt;60,"Contract 3",DATEDIF(J221,TODAY(),"M")&lt;63,"Probation",TRUE,"Permanent"))</f>
        <v>Contract 1</v>
      </c>
      <c r="E221" s="9" t="str">
        <f t="shared" ca="1" si="9"/>
        <v>12 Month</v>
      </c>
      <c r="F221" s="9" t="str">
        <f>VLOOKUP(A221, 'Data Employee'!$A$2:$U$1000, 19, FALSE)</f>
        <v>Automotive Engineering</v>
      </c>
      <c r="G221" s="9" t="str">
        <f>VLOOKUP(A221, 'Data Employee'!$A$2:$U$1000, 20, FALSE)</f>
        <v>Manufacturing</v>
      </c>
      <c r="H221" s="9" t="str">
        <f>INDEX('Data Employee'!$W$2:$W$1000, MATCH(A221, 'Data Employee'!$A$2:$A$1000, 0))</f>
        <v>Procution Intern</v>
      </c>
      <c r="I221" t="str">
        <f>INDEX('Data Employee'!$V$2:$V$1000,MATCH(A221,'Data Employee'!$A$2:$A$1000,0))</f>
        <v>Internship</v>
      </c>
      <c r="J221" s="18">
        <f>INDEX('Data Employee'!$L$2:$L$1000, MATCH(A221, 'Data Employee'!$A$2:$A$1000, 0))</f>
        <v>46214</v>
      </c>
      <c r="K221" s="19">
        <f>IFERROR(IF(INDEX('Data Employee'!M:M,MATCH(A221,'Data Employee'!A:A,0))="","",INDEX('Data Employee'!M:M,MATCH(A221,'Data Employee'!A:A,0))),"")</f>
        <v>46579</v>
      </c>
      <c r="L221" s="11" t="str">
        <f t="shared" ca="1" si="10"/>
        <v>343 Days</v>
      </c>
      <c r="M221" s="11" t="str">
        <f t="shared" ca="1" si="11"/>
        <v>Active</v>
      </c>
    </row>
    <row r="222" spans="1:13" x14ac:dyDescent="0.35">
      <c r="A222">
        <v>202646255</v>
      </c>
      <c r="B222" t="str">
        <f>INDEX('Data Employee'!$B$2:$B$1000, MATCH(A222, 'Data Employee'!$A$2:$A$1000, 0))</f>
        <v>Yusuf Maulana</v>
      </c>
      <c r="C222" t="str">
        <f>INDEX('Data Employee'!$G$2:$G$1000,MATCH(A222,'Data Employee'!$A$2:$A$1000,0))</f>
        <v>Male</v>
      </c>
      <c r="D222" s="9" t="str" cm="1">
        <f t="array" aca="1" ref="D222" ca="1">IF(J222="","",_xlfn.IFS(DATEDIF(J222,TODAY(),"M")&lt;12,"Contract 1",DATEDIF(J222,TODAY(),"M")&lt;36,"Contract 2",DATEDIF(J222,TODAY(),"M")&lt;60,"Contract 3",DATEDIF(J222,TODAY(),"M")&lt;63,"Probation",TRUE,"Permanent"))</f>
        <v>Contract 1</v>
      </c>
      <c r="E222" s="9" t="str">
        <f t="shared" ca="1" si="9"/>
        <v>12 Month</v>
      </c>
      <c r="F222" s="9" t="str">
        <f>VLOOKUP(A222, 'Data Employee'!$A$2:$U$1000, 19, FALSE)</f>
        <v>Automotive Engineering</v>
      </c>
      <c r="G222" s="9" t="str">
        <f>VLOOKUP(A222, 'Data Employee'!$A$2:$U$1000, 20, FALSE)</f>
        <v>Manufacturing</v>
      </c>
      <c r="H222" s="9" t="str">
        <f>INDEX('Data Employee'!$W$2:$W$1000, MATCH(A222, 'Data Employee'!$A$2:$A$1000, 0))</f>
        <v>Production Operator</v>
      </c>
      <c r="I222" t="str">
        <f>INDEX('Data Employee'!$V$2:$V$1000,MATCH(A222,'Data Employee'!$A$2:$A$1000,0))</f>
        <v>Operator</v>
      </c>
      <c r="J222" s="18">
        <f>INDEX('Data Employee'!$L$2:$L$1000, MATCH(A222, 'Data Employee'!$A$2:$A$1000, 0))</f>
        <v>45890</v>
      </c>
      <c r="K222" s="19">
        <f>IFERROR(IF(INDEX('Data Employee'!M:M,MATCH(A222,'Data Employee'!A:A,0))="","",INDEX('Data Employee'!M:M,MATCH(A222,'Data Employee'!A:A,0))),"")</f>
        <v>46620</v>
      </c>
      <c r="L222" s="11" t="str">
        <f t="shared" ca="1" si="10"/>
        <v>384 Days</v>
      </c>
      <c r="M222" s="11" t="str">
        <f t="shared" ca="1" si="11"/>
        <v>Active</v>
      </c>
    </row>
    <row r="223" spans="1:13" x14ac:dyDescent="0.35">
      <c r="A223">
        <v>202545888</v>
      </c>
      <c r="B223" t="str">
        <f>INDEX('Data Employee'!$B$2:$B$1000, MATCH(A223, 'Data Employee'!$A$2:$A$1000, 0))</f>
        <v>Farhan Utami</v>
      </c>
      <c r="C223" t="str">
        <f>INDEX('Data Employee'!$G$2:$G$1000,MATCH(A223,'Data Employee'!$A$2:$A$1000,0))</f>
        <v>Male</v>
      </c>
      <c r="D223" s="9" t="str" cm="1">
        <f t="array" aca="1" ref="D223" ca="1">IF(J223="","",_xlfn.IFS(DATEDIF(J223,TODAY(),"M")&lt;12,"Contract 1",DATEDIF(J223,TODAY(),"M")&lt;36,"Contract 2",DATEDIF(J223,TODAY(),"M")&lt;60,"Contract 3",DATEDIF(J223,TODAY(),"M")&lt;63,"Probation",TRUE,"Permanent"))</f>
        <v>Contract 1</v>
      </c>
      <c r="E223" s="9" t="str">
        <f t="shared" ca="1" si="9"/>
        <v>12 Month</v>
      </c>
      <c r="F223" s="9" t="str">
        <f>VLOOKUP(A223, 'Data Employee'!$A$2:$U$1000, 19, FALSE)</f>
        <v>Automotive Engineering</v>
      </c>
      <c r="G223" s="9" t="str">
        <f>VLOOKUP(A223, 'Data Employee'!$A$2:$U$1000, 20, FALSE)</f>
        <v>Manufacturing</v>
      </c>
      <c r="H223" s="9" t="str">
        <f>INDEX('Data Employee'!$W$2:$W$1000, MATCH(A223, 'Data Employee'!$A$2:$A$1000, 0))</f>
        <v>Production Operator</v>
      </c>
      <c r="I223" t="str">
        <f>INDEX('Data Employee'!$V$2:$V$1000,MATCH(A223,'Data Employee'!$A$2:$A$1000,0))</f>
        <v>Operator</v>
      </c>
      <c r="J223" s="18">
        <f>INDEX('Data Employee'!$L$2:$L$1000, MATCH(A223, 'Data Employee'!$A$2:$A$1000, 0))</f>
        <v>45888</v>
      </c>
      <c r="K223" s="19">
        <f>IFERROR(IF(INDEX('Data Employee'!M:M,MATCH(A223,'Data Employee'!A:A,0))="","",INDEX('Data Employee'!M:M,MATCH(A223,'Data Employee'!A:A,0))),"")</f>
        <v>46253</v>
      </c>
      <c r="L223" s="11" t="str">
        <f t="shared" ca="1" si="10"/>
        <v>17 Days</v>
      </c>
      <c r="M223" s="11" t="str">
        <f t="shared" ca="1" si="11"/>
        <v>Urgent Renewal</v>
      </c>
    </row>
    <row r="224" spans="1:13" x14ac:dyDescent="0.35">
      <c r="A224">
        <v>202144404</v>
      </c>
      <c r="B224" t="str">
        <f>INDEX('Data Employee'!$B$2:$B$1000, MATCH(A224, 'Data Employee'!$A$2:$A$1000, 0))</f>
        <v>Andi Maulana</v>
      </c>
      <c r="C224" t="str">
        <f>INDEX('Data Employee'!$G$2:$G$1000,MATCH(A224,'Data Employee'!$A$2:$A$1000,0))</f>
        <v>Male</v>
      </c>
      <c r="D224" s="9" t="str" cm="1">
        <f t="array" aca="1" ref="D224" ca="1">IF(J224="","",_xlfn.IFS(DATEDIF(J224,TODAY(),"M")&lt;12,"Contract 1",DATEDIF(J224,TODAY(),"M")&lt;36,"Contract 2",DATEDIF(J224,TODAY(),"M")&lt;60,"Contract 3",DATEDIF(J224,TODAY(),"M")&lt;63,"Probation",TRUE,"Permanent"))</f>
        <v>Contract 2</v>
      </c>
      <c r="E224" s="9" t="str">
        <f t="shared" ca="1" si="9"/>
        <v>24 Month</v>
      </c>
      <c r="F224" s="9" t="str">
        <f>VLOOKUP(A224, 'Data Employee'!$A$2:$U$1000, 19, FALSE)</f>
        <v>Automotive Engineering</v>
      </c>
      <c r="G224" s="9" t="str">
        <f>VLOOKUP(A224, 'Data Employee'!$A$2:$U$1000, 20, FALSE)</f>
        <v>Manufacturing</v>
      </c>
      <c r="H224" s="9" t="str">
        <f>INDEX('Data Employee'!$W$2:$W$1000, MATCH(A224, 'Data Employee'!$A$2:$A$1000, 0))</f>
        <v>Production Operator</v>
      </c>
      <c r="I224" t="str">
        <f>INDEX('Data Employee'!$V$2:$V$1000,MATCH(A224,'Data Employee'!$A$2:$A$1000,0))</f>
        <v>Operator</v>
      </c>
      <c r="J224" s="18">
        <f>INDEX('Data Employee'!$L$2:$L$1000, MATCH(A224, 'Data Employee'!$A$2:$A$1000, 0))</f>
        <v>45865</v>
      </c>
      <c r="K224" s="19">
        <f>IFERROR(IF(INDEX('Data Employee'!M:M,MATCH(A224,'Data Employee'!A:A,0))="","",INDEX('Data Employee'!M:M,MATCH(A224,'Data Employee'!A:A,0))),"")</f>
        <v>46230</v>
      </c>
      <c r="L224" s="11" t="str">
        <f t="shared" ca="1" si="10"/>
        <v>Expired</v>
      </c>
      <c r="M224" s="11" t="str">
        <f t="shared" ca="1" si="11"/>
        <v>Expired</v>
      </c>
    </row>
    <row r="225" spans="1:13" x14ac:dyDescent="0.35">
      <c r="A225">
        <v>202244566</v>
      </c>
      <c r="B225" t="str">
        <f>INDEX('Data Employee'!$B$2:$B$1000, MATCH(A225, 'Data Employee'!$A$2:$A$1000, 0))</f>
        <v>Budi Saputra</v>
      </c>
      <c r="C225" t="str">
        <f>INDEX('Data Employee'!$G$2:$G$1000,MATCH(A225,'Data Employee'!$A$2:$A$1000,0))</f>
        <v>Male</v>
      </c>
      <c r="D225" s="9" t="str" cm="1">
        <f t="array" aca="1" ref="D225" ca="1">IF(J225="","",_xlfn.IFS(DATEDIF(J225,TODAY(),"M")&lt;12,"Contract 1",DATEDIF(J225,TODAY(),"M")&lt;36,"Contract 2",DATEDIF(J225,TODAY(),"M")&lt;60,"Contract 3",DATEDIF(J225,TODAY(),"M")&lt;63,"Probation",TRUE,"Permanent"))</f>
        <v>Contract 1</v>
      </c>
      <c r="E225" s="9" t="str">
        <f t="shared" ca="1" si="9"/>
        <v>12 Month</v>
      </c>
      <c r="F225" s="9" t="str">
        <f>VLOOKUP(A225, 'Data Employee'!$A$2:$U$1000, 19, FALSE)</f>
        <v>Automotive Engineering</v>
      </c>
      <c r="G225" s="9" t="str">
        <f>VLOOKUP(A225, 'Data Employee'!$A$2:$U$1000, 20, FALSE)</f>
        <v>Manufacturing</v>
      </c>
      <c r="H225" s="9" t="str">
        <f>INDEX('Data Employee'!$W$2:$W$1000, MATCH(A225, 'Data Employee'!$A$2:$A$1000, 0))</f>
        <v>Production Operator</v>
      </c>
      <c r="I225" t="str">
        <f>INDEX('Data Employee'!$V$2:$V$1000,MATCH(A225,'Data Employee'!$A$2:$A$1000,0))</f>
        <v>Operator</v>
      </c>
      <c r="J225" s="18">
        <f>INDEX('Data Employee'!$L$2:$L$1000, MATCH(A225, 'Data Employee'!$A$2:$A$1000, 0))</f>
        <v>46027</v>
      </c>
      <c r="K225" s="19">
        <f>IFERROR(IF(INDEX('Data Employee'!M:M,MATCH(A225,'Data Employee'!A:A,0))="","",INDEX('Data Employee'!M:M,MATCH(A225,'Data Employee'!A:A,0))),"")</f>
        <v>46757</v>
      </c>
      <c r="L225" s="11" t="str">
        <f t="shared" ca="1" si="10"/>
        <v>521 Days</v>
      </c>
      <c r="M225" s="11" t="str">
        <f t="shared" ca="1" si="11"/>
        <v>Active</v>
      </c>
    </row>
    <row r="226" spans="1:13" x14ac:dyDescent="0.35">
      <c r="A226">
        <v>202545951</v>
      </c>
      <c r="B226" t="str">
        <f>INDEX('Data Employee'!$B$2:$B$1000, MATCH(A226, 'Data Employee'!$A$2:$A$1000, 0))</f>
        <v>Zidan Santoso</v>
      </c>
      <c r="C226" t="str">
        <f>INDEX('Data Employee'!$G$2:$G$1000,MATCH(A226,'Data Employee'!$A$2:$A$1000,0))</f>
        <v>Male</v>
      </c>
      <c r="D226" s="9" t="str" cm="1">
        <f t="array" aca="1" ref="D226" ca="1">IF(J226="","",_xlfn.IFS(DATEDIF(J226,TODAY(),"M")&lt;12,"Contract 1",DATEDIF(J226,TODAY(),"M")&lt;36,"Contract 2",DATEDIF(J226,TODAY(),"M")&lt;60,"Contract 3",DATEDIF(J226,TODAY(),"M")&lt;63,"Probation",TRUE,"Permanent"))</f>
        <v>Contract 1</v>
      </c>
      <c r="E226" s="9" t="str">
        <f t="shared" ca="1" si="9"/>
        <v>12 Month</v>
      </c>
      <c r="F226" s="9" t="str">
        <f>VLOOKUP(A226, 'Data Employee'!$A$2:$U$1000, 19, FALSE)</f>
        <v>Automotive Engineering</v>
      </c>
      <c r="G226" s="9" t="str">
        <f>VLOOKUP(A226, 'Data Employee'!$A$2:$U$1000, 20, FALSE)</f>
        <v>Manufacturing</v>
      </c>
      <c r="H226" s="9" t="str">
        <f>INDEX('Data Employee'!$W$2:$W$1000, MATCH(A226, 'Data Employee'!$A$2:$A$1000, 0))</f>
        <v>Procution Intern</v>
      </c>
      <c r="I226" t="str">
        <f>INDEX('Data Employee'!$V$2:$V$1000,MATCH(A226,'Data Employee'!$A$2:$A$1000,0))</f>
        <v>Internship</v>
      </c>
      <c r="J226" s="18">
        <f>INDEX('Data Employee'!$L$2:$L$1000, MATCH(A226, 'Data Employee'!$A$2:$A$1000, 0))</f>
        <v>45951</v>
      </c>
      <c r="K226" s="19">
        <f>IFERROR(IF(INDEX('Data Employee'!M:M,MATCH(A226,'Data Employee'!A:A,0))="","",INDEX('Data Employee'!M:M,MATCH(A226,'Data Employee'!A:A,0))),"")</f>
        <v>46316</v>
      </c>
      <c r="L226" s="11" t="str">
        <f t="shared" ca="1" si="10"/>
        <v>80 Days</v>
      </c>
      <c r="M226" s="11" t="str">
        <f t="shared" ca="1" si="11"/>
        <v>Active</v>
      </c>
    </row>
    <row r="227" spans="1:13" x14ac:dyDescent="0.35">
      <c r="A227">
        <v>202044048</v>
      </c>
      <c r="B227" t="str">
        <f>INDEX('Data Employee'!$B$2:$B$1000, MATCH(A227, 'Data Employee'!$A$2:$A$1000, 0))</f>
        <v>Budi Lestari</v>
      </c>
      <c r="C227" t="str">
        <f>INDEX('Data Employee'!$G$2:$G$1000,MATCH(A227,'Data Employee'!$A$2:$A$1000,0))</f>
        <v>Male</v>
      </c>
      <c r="D227" s="9" t="str" cm="1">
        <f t="array" aca="1" ref="D227" ca="1">IF(J227="","",_xlfn.IFS(DATEDIF(J227,TODAY(),"M")&lt;12,"Contract 1",DATEDIF(J227,TODAY(),"M")&lt;36,"Contract 2",DATEDIF(J227,TODAY(),"M")&lt;60,"Contract 3",DATEDIF(J227,TODAY(),"M")&lt;63,"Probation",TRUE,"Permanent"))</f>
        <v>Contract 1</v>
      </c>
      <c r="E227" s="9" t="str">
        <f t="shared" ca="1" si="9"/>
        <v>12 Month</v>
      </c>
      <c r="F227" s="9" t="str">
        <f>VLOOKUP(A227, 'Data Employee'!$A$2:$U$1000, 19, FALSE)</f>
        <v>Automotive Engineering</v>
      </c>
      <c r="G227" s="9" t="str">
        <f>VLOOKUP(A227, 'Data Employee'!$A$2:$U$1000, 20, FALSE)</f>
        <v>Manufacturing</v>
      </c>
      <c r="H227" s="9" t="str">
        <f>INDEX('Data Employee'!$W$2:$W$1000, MATCH(A227, 'Data Employee'!$A$2:$A$1000, 0))</f>
        <v>Production Operator</v>
      </c>
      <c r="I227" t="str">
        <f>INDEX('Data Employee'!$V$2:$V$1000,MATCH(A227,'Data Employee'!$A$2:$A$1000,0))</f>
        <v>Operator</v>
      </c>
      <c r="J227" s="18">
        <f>INDEX('Data Employee'!$L$2:$L$1000, MATCH(A227, 'Data Employee'!$A$2:$A$1000, 0))</f>
        <v>45874</v>
      </c>
      <c r="K227" s="19">
        <f>IFERROR(IF(INDEX('Data Employee'!M:M,MATCH(A227,'Data Employee'!A:A,0))="","",INDEX('Data Employee'!M:M,MATCH(A227,'Data Employee'!A:A,0))),"")</f>
        <v>46239</v>
      </c>
      <c r="L227" s="11" t="str">
        <f t="shared" ca="1" si="10"/>
        <v>3 Days</v>
      </c>
      <c r="M227" s="11" t="str">
        <f t="shared" ca="1" si="11"/>
        <v>Urgent Renewal</v>
      </c>
    </row>
    <row r="228" spans="1:13" x14ac:dyDescent="0.35">
      <c r="A228">
        <v>202345147</v>
      </c>
      <c r="B228" t="str">
        <f>INDEX('Data Employee'!$B$2:$B$1000, MATCH(A228, 'Data Employee'!$A$2:$A$1000, 0))</f>
        <v>Rizky Saputra</v>
      </c>
      <c r="C228" t="str">
        <f>INDEX('Data Employee'!$G$2:$G$1000,MATCH(A228,'Data Employee'!$A$2:$A$1000,0))</f>
        <v>Male</v>
      </c>
      <c r="D228" s="9" t="str" cm="1">
        <f t="array" aca="1" ref="D228" ca="1">IF(J228="","",_xlfn.IFS(DATEDIF(J228,TODAY(),"M")&lt;12,"Contract 1",DATEDIF(J228,TODAY(),"M")&lt;36,"Contract 2",DATEDIF(J228,TODAY(),"M")&lt;60,"Contract 3",DATEDIF(J228,TODAY(),"M")&lt;63,"Probation",TRUE,"Permanent"))</f>
        <v>Contract 2</v>
      </c>
      <c r="E228" s="9" t="str">
        <f t="shared" ca="1" si="9"/>
        <v>24 Month</v>
      </c>
      <c r="F228" s="9" t="str">
        <f>VLOOKUP(A228, 'Data Employee'!$A$2:$U$1000, 19, FALSE)</f>
        <v>Automotive Engineering</v>
      </c>
      <c r="G228" s="9" t="str">
        <f>VLOOKUP(A228, 'Data Employee'!$A$2:$U$1000, 20, FALSE)</f>
        <v>Manufacturing</v>
      </c>
      <c r="H228" s="9" t="str">
        <f>INDEX('Data Employee'!$W$2:$W$1000, MATCH(A228, 'Data Employee'!$A$2:$A$1000, 0))</f>
        <v>Production Operator</v>
      </c>
      <c r="I228" t="str">
        <f>INDEX('Data Employee'!$V$2:$V$1000,MATCH(A228,'Data Employee'!$A$2:$A$1000,0))</f>
        <v>Operator</v>
      </c>
      <c r="J228" s="18">
        <f>INDEX('Data Employee'!$L$2:$L$1000, MATCH(A228, 'Data Employee'!$A$2:$A$1000, 0))</f>
        <v>45147</v>
      </c>
      <c r="K228" s="19">
        <f>IFERROR(IF(INDEX('Data Employee'!M:M,MATCH(A228,'Data Employee'!A:A,0))="","",INDEX('Data Employee'!M:M,MATCH(A228,'Data Employee'!A:A,0))),"")</f>
        <v>46243</v>
      </c>
      <c r="L228" s="11" t="str">
        <f t="shared" ca="1" si="10"/>
        <v>7 Days</v>
      </c>
      <c r="M228" s="11" t="str">
        <f t="shared" ca="1" si="11"/>
        <v>Urgent Renewal</v>
      </c>
    </row>
    <row r="229" spans="1:13" x14ac:dyDescent="0.35">
      <c r="A229">
        <v>202043917</v>
      </c>
      <c r="B229" t="str">
        <f>INDEX('Data Employee'!$B$2:$B$1000, MATCH(A229, 'Data Employee'!$A$2:$A$1000, 0))</f>
        <v>Nadia Wijaya</v>
      </c>
      <c r="C229" t="str">
        <f>INDEX('Data Employee'!$G$2:$G$1000,MATCH(A229,'Data Employee'!$A$2:$A$1000,0))</f>
        <v>Female</v>
      </c>
      <c r="D229" s="9" t="str" cm="1">
        <f t="array" aca="1" ref="D229" ca="1">IF(J229="","",_xlfn.IFS(DATEDIF(J229,TODAY(),"M")&lt;12,"Contract 1",DATEDIF(J229,TODAY(),"M")&lt;36,"Contract 2",DATEDIF(J229,TODAY(),"M")&lt;60,"Contract 3",DATEDIF(J229,TODAY(),"M")&lt;63,"Probation",TRUE,"Permanent"))</f>
        <v>Permanent</v>
      </c>
      <c r="E229" s="9" t="str">
        <f t="shared" ca="1" si="9"/>
        <v>Permanent</v>
      </c>
      <c r="F229" s="9" t="str">
        <f>VLOOKUP(A229, 'Data Employee'!$A$2:$U$1000, 19, FALSE)</f>
        <v>Accounting</v>
      </c>
      <c r="G229" s="9" t="str">
        <f>VLOOKUP(A229, 'Data Employee'!$A$2:$U$1000, 20, FALSE)</f>
        <v>Corporate Governance</v>
      </c>
      <c r="H229" s="9" t="str">
        <f>INDEX('Data Employee'!$W$2:$W$1000, MATCH(A229, 'Data Employee'!$A$2:$A$1000, 0))</f>
        <v>Audit Committee Staff</v>
      </c>
      <c r="I229" t="str">
        <f>INDEX('Data Employee'!$V$2:$V$1000,MATCH(A229,'Data Employee'!$A$2:$A$1000,0))</f>
        <v>Staff</v>
      </c>
      <c r="J229" s="18">
        <f>INDEX('Data Employee'!$L$2:$L$1000, MATCH(A229, 'Data Employee'!$A$2:$A$1000, 0))</f>
        <v>43186</v>
      </c>
      <c r="K229" s="19" t="str">
        <f>IFERROR(IF(INDEX('Data Employee'!M:M,MATCH(A229,'Data Employee'!A:A,0))="","",INDEX('Data Employee'!M:M,MATCH(A229,'Data Employee'!A:A,0))),"")</f>
        <v/>
      </c>
      <c r="L229" s="11" t="str">
        <f t="shared" ca="1" si="10"/>
        <v/>
      </c>
      <c r="M229" s="11" t="str">
        <f t="shared" ca="1" si="11"/>
        <v>Active</v>
      </c>
    </row>
    <row r="230" spans="1:13" x14ac:dyDescent="0.35">
      <c r="A230">
        <v>202244568</v>
      </c>
      <c r="B230" t="str">
        <f>INDEX('Data Employee'!$B$2:$B$1000, MATCH(A230, 'Data Employee'!$A$2:$A$1000, 0))</f>
        <v>Rizky Maulana</v>
      </c>
      <c r="C230" t="str">
        <f>INDEX('Data Employee'!$G$2:$G$1000,MATCH(A230,'Data Employee'!$A$2:$A$1000,0))</f>
        <v>Male</v>
      </c>
      <c r="D230" s="9" t="str" cm="1">
        <f t="array" aca="1" ref="D230" ca="1">IF(J230="","",_xlfn.IFS(DATEDIF(J230,TODAY(),"M")&lt;12,"Contract 1",DATEDIF(J230,TODAY(),"M")&lt;36,"Contract 2",DATEDIF(J230,TODAY(),"M")&lt;60,"Contract 3",DATEDIF(J230,TODAY(),"M")&lt;63,"Probation",TRUE,"Permanent"))</f>
        <v>Contract 1</v>
      </c>
      <c r="E230" s="9" t="str">
        <f t="shared" ca="1" si="9"/>
        <v>12 Month</v>
      </c>
      <c r="F230" s="9" t="str">
        <f>VLOOKUP(A230, 'Data Employee'!$A$2:$U$1000, 19, FALSE)</f>
        <v>Automotive Engineering</v>
      </c>
      <c r="G230" s="9" t="str">
        <f>VLOOKUP(A230, 'Data Employee'!$A$2:$U$1000, 20, FALSE)</f>
        <v>Manufacturing</v>
      </c>
      <c r="H230" s="9" t="str">
        <f>INDEX('Data Employee'!$W$2:$W$1000, MATCH(A230, 'Data Employee'!$A$2:$A$1000, 0))</f>
        <v>Production Operator</v>
      </c>
      <c r="I230" t="str">
        <f>INDEX('Data Employee'!$V$2:$V$1000,MATCH(A230,'Data Employee'!$A$2:$A$1000,0))</f>
        <v>Operator</v>
      </c>
      <c r="J230" s="18">
        <f>INDEX('Data Employee'!$L$2:$L$1000, MATCH(A230, 'Data Employee'!$A$2:$A$1000, 0))</f>
        <v>46029</v>
      </c>
      <c r="K230" s="19">
        <f>IFERROR(IF(INDEX('Data Employee'!M:M,MATCH(A230,'Data Employee'!A:A,0))="","",INDEX('Data Employee'!M:M,MATCH(A230,'Data Employee'!A:A,0))),"")</f>
        <v>46394</v>
      </c>
      <c r="L230" s="11" t="str">
        <f t="shared" ca="1" si="10"/>
        <v>158 Days</v>
      </c>
      <c r="M230" s="11" t="str">
        <f t="shared" ca="1" si="11"/>
        <v>Active</v>
      </c>
    </row>
    <row r="231" spans="1:13" x14ac:dyDescent="0.35">
      <c r="A231">
        <v>202044149</v>
      </c>
      <c r="B231" t="str">
        <f>INDEX('Data Employee'!$B$2:$B$1000, MATCH(A231, 'Data Employee'!$A$2:$A$1000, 0))</f>
        <v>Bayu Permata</v>
      </c>
      <c r="C231" t="str">
        <f>INDEX('Data Employee'!$G$2:$G$1000,MATCH(A231,'Data Employee'!$A$2:$A$1000,0))</f>
        <v>Male</v>
      </c>
      <c r="D231" s="9" t="str" cm="1">
        <f t="array" aca="1" ref="D231" ca="1">IF(J231="","",_xlfn.IFS(DATEDIF(J231,TODAY(),"M")&lt;12,"Contract 1",DATEDIF(J231,TODAY(),"M")&lt;36,"Contract 2",DATEDIF(J231,TODAY(),"M")&lt;60,"Contract 3",DATEDIF(J231,TODAY(),"M")&lt;63,"Probation",TRUE,"Permanent"))</f>
        <v>Contract 1</v>
      </c>
      <c r="E231" s="9" t="str">
        <f t="shared" ca="1" si="9"/>
        <v>12 Month</v>
      </c>
      <c r="F231" s="9" t="str">
        <f>VLOOKUP(A231, 'Data Employee'!$A$2:$U$1000, 19, FALSE)</f>
        <v>Automotive Engineering</v>
      </c>
      <c r="G231" s="9" t="str">
        <f>VLOOKUP(A231, 'Data Employee'!$A$2:$U$1000, 20, FALSE)</f>
        <v>Manufacturing</v>
      </c>
      <c r="H231" s="9" t="str">
        <f>INDEX('Data Employee'!$W$2:$W$1000, MATCH(A231, 'Data Employee'!$A$2:$A$1000, 0))</f>
        <v>Production Operator</v>
      </c>
      <c r="I231" t="str">
        <f>INDEX('Data Employee'!$V$2:$V$1000,MATCH(A231,'Data Employee'!$A$2:$A$1000,0))</f>
        <v>Operator</v>
      </c>
      <c r="J231" s="18">
        <f>INDEX('Data Employee'!$L$2:$L$1000, MATCH(A231, 'Data Employee'!$A$2:$A$1000, 0))</f>
        <v>45975</v>
      </c>
      <c r="K231" s="19">
        <f>IFERROR(IF(INDEX('Data Employee'!M:M,MATCH(A231,'Data Employee'!A:A,0))="","",INDEX('Data Employee'!M:M,MATCH(A231,'Data Employee'!A:A,0))),"")</f>
        <v>46705</v>
      </c>
      <c r="L231" s="11" t="str">
        <f t="shared" ca="1" si="10"/>
        <v>469 Days</v>
      </c>
      <c r="M231" s="11" t="str">
        <f t="shared" ca="1" si="11"/>
        <v>Active</v>
      </c>
    </row>
    <row r="232" spans="1:13" x14ac:dyDescent="0.35">
      <c r="A232">
        <v>202445405</v>
      </c>
      <c r="B232" t="str">
        <f>INDEX('Data Employee'!$B$2:$B$1000, MATCH(A232, 'Data Employee'!$A$2:$A$1000, 0))</f>
        <v>Bayu Utami</v>
      </c>
      <c r="C232" t="str">
        <f>INDEX('Data Employee'!$G$2:$G$1000,MATCH(A232,'Data Employee'!$A$2:$A$1000,0))</f>
        <v>Male</v>
      </c>
      <c r="D232" s="9" t="str" cm="1">
        <f t="array" aca="1" ref="D232" ca="1">IF(J232="","",_xlfn.IFS(DATEDIF(J232,TODAY(),"M")&lt;12,"Contract 1",DATEDIF(J232,TODAY(),"M")&lt;36,"Contract 2",DATEDIF(J232,TODAY(),"M")&lt;60,"Contract 3",DATEDIF(J232,TODAY(),"M")&lt;63,"Probation",TRUE,"Permanent"))</f>
        <v>Contract 2</v>
      </c>
      <c r="E232" s="9" t="str">
        <f t="shared" ca="1" si="9"/>
        <v>24 Month</v>
      </c>
      <c r="F232" s="9" t="str">
        <f>VLOOKUP(A232, 'Data Employee'!$A$2:$U$1000, 19, FALSE)</f>
        <v>Automotive Engineering</v>
      </c>
      <c r="G232" s="9" t="str">
        <f>VLOOKUP(A232, 'Data Employee'!$A$2:$U$1000, 20, FALSE)</f>
        <v>Manufacturing</v>
      </c>
      <c r="H232" s="9" t="str">
        <f>INDEX('Data Employee'!$W$2:$W$1000, MATCH(A232, 'Data Employee'!$A$2:$A$1000, 0))</f>
        <v>Production Operator</v>
      </c>
      <c r="I232" t="str">
        <f>INDEX('Data Employee'!$V$2:$V$1000,MATCH(A232,'Data Employee'!$A$2:$A$1000,0))</f>
        <v>Operator</v>
      </c>
      <c r="J232" s="18">
        <f>INDEX('Data Employee'!$L$2:$L$1000, MATCH(A232, 'Data Employee'!$A$2:$A$1000, 0))</f>
        <v>45405</v>
      </c>
      <c r="K232" s="19">
        <f>IFERROR(IF(INDEX('Data Employee'!M:M,MATCH(A232,'Data Employee'!A:A,0))="","",INDEX('Data Employee'!M:M,MATCH(A232,'Data Employee'!A:A,0))),"")</f>
        <v>47231</v>
      </c>
      <c r="L232" s="11" t="str">
        <f t="shared" ca="1" si="10"/>
        <v>995 Days</v>
      </c>
      <c r="M232" s="11" t="str">
        <f t="shared" ca="1" si="11"/>
        <v>Active</v>
      </c>
    </row>
    <row r="233" spans="1:13" x14ac:dyDescent="0.35">
      <c r="A233">
        <v>202646023</v>
      </c>
      <c r="B233" t="str">
        <f>INDEX('Data Employee'!$B$2:$B$1000, MATCH(A233, 'Data Employee'!$A$2:$A$1000, 0))</f>
        <v>Rijal Pangestu</v>
      </c>
      <c r="C233" t="str">
        <f>INDEX('Data Employee'!$G$2:$G$1000,MATCH(A233,'Data Employee'!$A$2:$A$1000,0))</f>
        <v>Male</v>
      </c>
      <c r="D233" s="9" t="str" cm="1">
        <f t="array" aca="1" ref="D233" ca="1">IF(J233="","",_xlfn.IFS(DATEDIF(J233,TODAY(),"M")&lt;12,"Contract 1",DATEDIF(J233,TODAY(),"M")&lt;36,"Contract 2",DATEDIF(J233,TODAY(),"M")&lt;60,"Contract 3",DATEDIF(J233,TODAY(),"M")&lt;63,"Probation",TRUE,"Permanent"))</f>
        <v>Contract 1</v>
      </c>
      <c r="E233" s="9" t="str">
        <f t="shared" ca="1" si="9"/>
        <v>12 Month</v>
      </c>
      <c r="F233" s="9" t="str">
        <f>VLOOKUP(A233, 'Data Employee'!$A$2:$U$1000, 19, FALSE)</f>
        <v>Automotive Engineering</v>
      </c>
      <c r="G233" s="9" t="str">
        <f>VLOOKUP(A233, 'Data Employee'!$A$2:$U$1000, 20, FALSE)</f>
        <v>Manufacturing</v>
      </c>
      <c r="H233" s="9" t="str">
        <f>INDEX('Data Employee'!$W$2:$W$1000, MATCH(A233, 'Data Employee'!$A$2:$A$1000, 0))</f>
        <v>Procution Intern</v>
      </c>
      <c r="I233" t="str">
        <f>INDEX('Data Employee'!$V$2:$V$1000,MATCH(A233,'Data Employee'!$A$2:$A$1000,0))</f>
        <v>Internship</v>
      </c>
      <c r="J233" s="18">
        <f>INDEX('Data Employee'!$L$2:$L$1000, MATCH(A233, 'Data Employee'!$A$2:$A$1000, 0))</f>
        <v>46023</v>
      </c>
      <c r="K233" s="19">
        <f>IFERROR(IF(INDEX('Data Employee'!M:M,MATCH(A233,'Data Employee'!A:A,0))="","",INDEX('Data Employee'!M:M,MATCH(A233,'Data Employee'!A:A,0))),"")</f>
        <v>46388</v>
      </c>
      <c r="L233" s="11" t="str">
        <f t="shared" ca="1" si="10"/>
        <v>152 Days</v>
      </c>
      <c r="M233" s="11" t="str">
        <f t="shared" ca="1" si="11"/>
        <v>Active</v>
      </c>
    </row>
    <row r="234" spans="1:13" x14ac:dyDescent="0.35">
      <c r="A234">
        <v>202545771</v>
      </c>
      <c r="B234" t="str">
        <f>INDEX('Data Employee'!$B$2:$B$1000, MATCH(A234, 'Data Employee'!$A$2:$A$1000, 0))</f>
        <v>Dedi Hidayat</v>
      </c>
      <c r="C234" t="str">
        <f>INDEX('Data Employee'!$G$2:$G$1000,MATCH(A234,'Data Employee'!$A$2:$A$1000,0))</f>
        <v>Male</v>
      </c>
      <c r="D234" s="9" t="str" cm="1">
        <f t="array" aca="1" ref="D234" ca="1">IF(J234="","",_xlfn.IFS(DATEDIF(J234,TODAY(),"M")&lt;12,"Contract 1",DATEDIF(J234,TODAY(),"M")&lt;36,"Contract 2",DATEDIF(J234,TODAY(),"M")&lt;60,"Contract 3",DATEDIF(J234,TODAY(),"M")&lt;63,"Probation",TRUE,"Permanent"))</f>
        <v>Contract 2</v>
      </c>
      <c r="E234" s="9" t="str">
        <f t="shared" ca="1" si="9"/>
        <v>24 Month</v>
      </c>
      <c r="F234" s="9" t="str">
        <f>VLOOKUP(A234, 'Data Employee'!$A$2:$U$1000, 19, FALSE)</f>
        <v>Automotive Engineering</v>
      </c>
      <c r="G234" s="9" t="str">
        <f>VLOOKUP(A234, 'Data Employee'!$A$2:$U$1000, 20, FALSE)</f>
        <v>Manufacturing</v>
      </c>
      <c r="H234" s="9" t="str">
        <f>INDEX('Data Employee'!$W$2:$W$1000, MATCH(A234, 'Data Employee'!$A$2:$A$1000, 0))</f>
        <v>Production Operator</v>
      </c>
      <c r="I234" t="str">
        <f>INDEX('Data Employee'!$V$2:$V$1000,MATCH(A234,'Data Employee'!$A$2:$A$1000,0))</f>
        <v>Operator</v>
      </c>
      <c r="J234" s="18">
        <f>INDEX('Data Employee'!$L$2:$L$1000, MATCH(A234, 'Data Employee'!$A$2:$A$1000, 0))</f>
        <v>45771</v>
      </c>
      <c r="K234" s="19">
        <f>IFERROR(IF(INDEX('Data Employee'!M:M,MATCH(A234,'Data Employee'!A:A,0))="","",INDEX('Data Employee'!M:M,MATCH(A234,'Data Employee'!A:A,0))),"")</f>
        <v>47597</v>
      </c>
      <c r="L234" s="11" t="str">
        <f t="shared" ca="1" si="10"/>
        <v>1361 Days</v>
      </c>
      <c r="M234" s="11" t="str">
        <f t="shared" ca="1" si="11"/>
        <v>Active</v>
      </c>
    </row>
    <row r="235" spans="1:13" x14ac:dyDescent="0.35">
      <c r="A235">
        <v>201642388</v>
      </c>
      <c r="B235" t="str">
        <f>INDEX('Data Employee'!$B$2:$B$1000, MATCH(A235, 'Data Employee'!$A$2:$A$1000, 0))</f>
        <v>Andi Kusuma</v>
      </c>
      <c r="C235" t="str">
        <f>INDEX('Data Employee'!$G$2:$G$1000,MATCH(A235,'Data Employee'!$A$2:$A$1000,0))</f>
        <v>Male</v>
      </c>
      <c r="D235" s="9" t="str" cm="1">
        <f t="array" aca="1" ref="D235" ca="1">IF(J235="","",_xlfn.IFS(DATEDIF(J235,TODAY(),"M")&lt;12,"Contract 1",DATEDIF(J235,TODAY(),"M")&lt;36,"Contract 2",DATEDIF(J235,TODAY(),"M")&lt;60,"Contract 3",DATEDIF(J235,TODAY(),"M")&lt;63,"Probation",TRUE,"Permanent"))</f>
        <v>Contract 3</v>
      </c>
      <c r="E235" s="9" t="str">
        <f t="shared" ca="1" si="9"/>
        <v>60 Month</v>
      </c>
      <c r="F235" s="9" t="str">
        <f>VLOOKUP(A235, 'Data Employee'!$A$2:$U$1000, 19, FALSE)</f>
        <v>Automotive Engineering</v>
      </c>
      <c r="G235" s="9" t="str">
        <f>VLOOKUP(A235, 'Data Employee'!$A$2:$U$1000, 20, FALSE)</f>
        <v>Manufacturing</v>
      </c>
      <c r="H235" s="9" t="str">
        <f>INDEX('Data Employee'!$W$2:$W$1000, MATCH(A235, 'Data Employee'!$A$2:$A$1000, 0))</f>
        <v>Production Operator</v>
      </c>
      <c r="I235" t="str">
        <f>INDEX('Data Employee'!$V$2:$V$1000,MATCH(A235,'Data Employee'!$A$2:$A$1000,0))</f>
        <v>Operator</v>
      </c>
      <c r="J235" s="18">
        <f>INDEX('Data Employee'!$L$2:$L$1000, MATCH(A235, 'Data Employee'!$A$2:$A$1000, 0))</f>
        <v>44945</v>
      </c>
      <c r="K235" s="19">
        <f>IFERROR(IF(INDEX('Data Employee'!M:M,MATCH(A235,'Data Employee'!A:A,0))="","",INDEX('Data Employee'!M:M,MATCH(A235,'Data Employee'!A:A,0))),"")</f>
        <v>46771</v>
      </c>
      <c r="L235" s="11" t="str">
        <f t="shared" ca="1" si="10"/>
        <v>535 Days</v>
      </c>
      <c r="M235" s="11" t="str">
        <f t="shared" ca="1" si="11"/>
        <v>Active</v>
      </c>
    </row>
    <row r="236" spans="1:13" x14ac:dyDescent="0.35">
      <c r="A236">
        <v>202345134</v>
      </c>
      <c r="B236" t="str">
        <f>INDEX('Data Employee'!$B$2:$B$1000, MATCH(A236, 'Data Employee'!$A$2:$A$1000, 0))</f>
        <v>Rudi Utami</v>
      </c>
      <c r="C236" t="str">
        <f>INDEX('Data Employee'!$G$2:$G$1000,MATCH(A236,'Data Employee'!$A$2:$A$1000,0))</f>
        <v>Male</v>
      </c>
      <c r="D236" s="9" t="str" cm="1">
        <f t="array" aca="1" ref="D236" ca="1">IF(J236="","",_xlfn.IFS(DATEDIF(J236,TODAY(),"M")&lt;12,"Contract 1",DATEDIF(J236,TODAY(),"M")&lt;36,"Contract 2",DATEDIF(J236,TODAY(),"M")&lt;60,"Contract 3",DATEDIF(J236,TODAY(),"M")&lt;63,"Probation",TRUE,"Permanent"))</f>
        <v>Contract 2</v>
      </c>
      <c r="E236" s="9" t="str">
        <f t="shared" ca="1" si="9"/>
        <v>24 Month</v>
      </c>
      <c r="F236" s="9" t="str">
        <f>VLOOKUP(A236, 'Data Employee'!$A$2:$U$1000, 19, FALSE)</f>
        <v>Automotive Engineering</v>
      </c>
      <c r="G236" s="9" t="str">
        <f>VLOOKUP(A236, 'Data Employee'!$A$2:$U$1000, 20, FALSE)</f>
        <v>Manufacturing</v>
      </c>
      <c r="H236" s="9" t="str">
        <f>INDEX('Data Employee'!$W$2:$W$1000, MATCH(A236, 'Data Employee'!$A$2:$A$1000, 0))</f>
        <v>Production Operator</v>
      </c>
      <c r="I236" t="str">
        <f>INDEX('Data Employee'!$V$2:$V$1000,MATCH(A236,'Data Employee'!$A$2:$A$1000,0))</f>
        <v>Operator</v>
      </c>
      <c r="J236" s="18">
        <f>INDEX('Data Employee'!$L$2:$L$1000, MATCH(A236, 'Data Employee'!$A$2:$A$1000, 0))</f>
        <v>45865</v>
      </c>
      <c r="K236" s="19">
        <f>IFERROR(IF(INDEX('Data Employee'!M:M,MATCH(A236,'Data Employee'!A:A,0))="","",INDEX('Data Employee'!M:M,MATCH(A236,'Data Employee'!A:A,0))),"")</f>
        <v>46595</v>
      </c>
      <c r="L236" s="11" t="str">
        <f t="shared" ca="1" si="10"/>
        <v>359 Days</v>
      </c>
      <c r="M236" s="11" t="str">
        <f t="shared" ca="1" si="11"/>
        <v>Active</v>
      </c>
    </row>
    <row r="237" spans="1:13" x14ac:dyDescent="0.35">
      <c r="A237">
        <v>202545998</v>
      </c>
      <c r="B237" t="str">
        <f>INDEX('Data Employee'!$B$2:$B$1000, MATCH(A237, 'Data Employee'!$A$2:$A$1000, 0))</f>
        <v>Farhan Saputra</v>
      </c>
      <c r="C237" t="str">
        <f>INDEX('Data Employee'!$G$2:$G$1000,MATCH(A237,'Data Employee'!$A$2:$A$1000,0))</f>
        <v>Male</v>
      </c>
      <c r="D237" s="9" t="str" cm="1">
        <f t="array" aca="1" ref="D237" ca="1">IF(J237="","",_xlfn.IFS(DATEDIF(J237,TODAY(),"M")&lt;12,"Contract 1",DATEDIF(J237,TODAY(),"M")&lt;36,"Contract 2",DATEDIF(J237,TODAY(),"M")&lt;60,"Contract 3",DATEDIF(J237,TODAY(),"M")&lt;63,"Probation",TRUE,"Permanent"))</f>
        <v>Contract 1</v>
      </c>
      <c r="E237" s="9" t="str">
        <f t="shared" ca="1" si="9"/>
        <v>12 Month</v>
      </c>
      <c r="F237" s="9" t="str">
        <f>VLOOKUP(A237, 'Data Employee'!$A$2:$U$1000, 19, FALSE)</f>
        <v>Automotive Engineering</v>
      </c>
      <c r="G237" s="9" t="str">
        <f>VLOOKUP(A237, 'Data Employee'!$A$2:$U$1000, 20, FALSE)</f>
        <v>Manufacturing</v>
      </c>
      <c r="H237" s="9" t="str">
        <f>INDEX('Data Employee'!$W$2:$W$1000, MATCH(A237, 'Data Employee'!$A$2:$A$1000, 0))</f>
        <v>Production Operator</v>
      </c>
      <c r="I237" t="str">
        <f>INDEX('Data Employee'!$V$2:$V$1000,MATCH(A237,'Data Employee'!$A$2:$A$1000,0))</f>
        <v>Operator</v>
      </c>
      <c r="J237" s="18">
        <f>INDEX('Data Employee'!$L$2:$L$1000, MATCH(A237, 'Data Employee'!$A$2:$A$1000, 0))</f>
        <v>45998</v>
      </c>
      <c r="K237" s="19">
        <f>IFERROR(IF(INDEX('Data Employee'!M:M,MATCH(A237,'Data Employee'!A:A,0))="","",INDEX('Data Employee'!M:M,MATCH(A237,'Data Employee'!A:A,0))),"")</f>
        <v>46728</v>
      </c>
      <c r="L237" s="11" t="str">
        <f t="shared" ca="1" si="10"/>
        <v>492 Days</v>
      </c>
      <c r="M237" s="11" t="str">
        <f t="shared" ca="1" si="11"/>
        <v>Active</v>
      </c>
    </row>
    <row r="238" spans="1:13" x14ac:dyDescent="0.35">
      <c r="A238">
        <v>202545921</v>
      </c>
      <c r="B238" t="str">
        <f>INDEX('Data Employee'!$B$2:$B$1000, MATCH(A238, 'Data Employee'!$A$2:$A$1000, 0))</f>
        <v>Rahmat Santoso</v>
      </c>
      <c r="C238" t="str">
        <f>INDEX('Data Employee'!$G$2:$G$1000,MATCH(A238,'Data Employee'!$A$2:$A$1000,0))</f>
        <v>Male</v>
      </c>
      <c r="D238" s="9" t="str" cm="1">
        <f t="array" aca="1" ref="D238" ca="1">IF(J238="","",_xlfn.IFS(DATEDIF(J238,TODAY(),"M")&lt;12,"Contract 1",DATEDIF(J238,TODAY(),"M")&lt;36,"Contract 2",DATEDIF(J238,TODAY(),"M")&lt;60,"Contract 3",DATEDIF(J238,TODAY(),"M")&lt;63,"Probation",TRUE,"Permanent"))</f>
        <v>Contract 1</v>
      </c>
      <c r="E238" s="9" t="str">
        <f t="shared" ca="1" si="9"/>
        <v>12 Month</v>
      </c>
      <c r="F238" s="9" t="str">
        <f>VLOOKUP(A238, 'Data Employee'!$A$2:$U$1000, 19, FALSE)</f>
        <v>Automotive Engineering</v>
      </c>
      <c r="G238" s="9" t="str">
        <f>VLOOKUP(A238, 'Data Employee'!$A$2:$U$1000, 20, FALSE)</f>
        <v>Manufacturing</v>
      </c>
      <c r="H238" s="9" t="str">
        <f>INDEX('Data Employee'!$W$2:$W$1000, MATCH(A238, 'Data Employee'!$A$2:$A$1000, 0))</f>
        <v>Production Operator</v>
      </c>
      <c r="I238" t="str">
        <f>INDEX('Data Employee'!$V$2:$V$1000,MATCH(A238,'Data Employee'!$A$2:$A$1000,0))</f>
        <v>Operator</v>
      </c>
      <c r="J238" s="18">
        <f>INDEX('Data Employee'!$L$2:$L$1000, MATCH(A238, 'Data Employee'!$A$2:$A$1000, 0))</f>
        <v>45921</v>
      </c>
      <c r="K238" s="19">
        <f>IFERROR(IF(INDEX('Data Employee'!M:M,MATCH(A238,'Data Employee'!A:A,0))="","",INDEX('Data Employee'!M:M,MATCH(A238,'Data Employee'!A:A,0))),"")</f>
        <v>47747</v>
      </c>
      <c r="L238" s="11" t="str">
        <f t="shared" ca="1" si="10"/>
        <v>1511 Days</v>
      </c>
      <c r="M238" s="11" t="str">
        <f t="shared" ca="1" si="11"/>
        <v>Active</v>
      </c>
    </row>
    <row r="239" spans="1:13" x14ac:dyDescent="0.35">
      <c r="A239">
        <v>201943809</v>
      </c>
      <c r="B239" t="str">
        <f>INDEX('Data Employee'!$B$2:$B$1000, MATCH(A239, 'Data Employee'!$A$2:$A$1000, 0))</f>
        <v>Aulia Nugroho</v>
      </c>
      <c r="C239" t="str">
        <f>INDEX('Data Employee'!$G$2:$G$1000,MATCH(A239,'Data Employee'!$A$2:$A$1000,0))</f>
        <v>Male</v>
      </c>
      <c r="D239" s="9" t="str" cm="1">
        <f t="array" aca="1" ref="D239" ca="1">IF(J239="","",_xlfn.IFS(DATEDIF(J239,TODAY(),"M")&lt;12,"Contract 1",DATEDIF(J239,TODAY(),"M")&lt;36,"Contract 2",DATEDIF(J239,TODAY(),"M")&lt;60,"Contract 3",DATEDIF(J239,TODAY(),"M")&lt;63,"Probation",TRUE,"Permanent"))</f>
        <v>Permanent</v>
      </c>
      <c r="E239" s="9" t="str">
        <f t="shared" ca="1" si="9"/>
        <v>Permanent</v>
      </c>
      <c r="F239" s="9" t="str">
        <f>VLOOKUP(A239, 'Data Employee'!$A$2:$U$1000, 19, FALSE)</f>
        <v>Accounting</v>
      </c>
      <c r="G239" s="9" t="str">
        <f>VLOOKUP(A239, 'Data Employee'!$A$2:$U$1000, 20, FALSE)</f>
        <v>Supply Chain Management</v>
      </c>
      <c r="H239" s="9" t="str">
        <f>INDEX('Data Employee'!$W$2:$W$1000, MATCH(A239, 'Data Employee'!$A$2:$A$1000, 0))</f>
        <v>Purchasing Manager</v>
      </c>
      <c r="I239" t="str">
        <f>INDEX('Data Employee'!$V$2:$V$1000,MATCH(A239,'Data Employee'!$A$2:$A$1000,0))</f>
        <v>Manager</v>
      </c>
      <c r="J239" s="18">
        <f>INDEX('Data Employee'!$L$2:$L$1000, MATCH(A239, 'Data Employee'!$A$2:$A$1000, 0))</f>
        <v>43809</v>
      </c>
      <c r="K239" s="19" t="str">
        <f>IFERROR(IF(INDEX('Data Employee'!M:M,MATCH(A239,'Data Employee'!A:A,0))="","",INDEX('Data Employee'!M:M,MATCH(A239,'Data Employee'!A:A,0))),"")</f>
        <v/>
      </c>
      <c r="L239" s="11" t="str">
        <f t="shared" ca="1" si="10"/>
        <v/>
      </c>
      <c r="M239" s="11" t="str">
        <f t="shared" ca="1" si="11"/>
        <v>Active</v>
      </c>
    </row>
    <row r="240" spans="1:13" x14ac:dyDescent="0.35">
      <c r="A240">
        <v>201943701</v>
      </c>
      <c r="B240" t="str">
        <f>INDEX('Data Employee'!$B$2:$B$1000, MATCH(A240, 'Data Employee'!$A$2:$A$1000, 0))</f>
        <v>Nadia Ramadhan</v>
      </c>
      <c r="C240" t="str">
        <f>INDEX('Data Employee'!$G$2:$G$1000,MATCH(A240,'Data Employee'!$A$2:$A$1000,0))</f>
        <v>Female</v>
      </c>
      <c r="D240" s="9" t="str" cm="1">
        <f t="array" aca="1" ref="D240" ca="1">IF(J240="","",_xlfn.IFS(DATEDIF(J240,TODAY(),"M")&lt;12,"Contract 1",DATEDIF(J240,TODAY(),"M")&lt;36,"Contract 2",DATEDIF(J240,TODAY(),"M")&lt;60,"Contract 3",DATEDIF(J240,TODAY(),"M")&lt;63,"Probation",TRUE,"Permanent"))</f>
        <v>Permanent</v>
      </c>
      <c r="E240" s="9" t="str">
        <f t="shared" ca="1" si="9"/>
        <v>Permanent</v>
      </c>
      <c r="F240" s="9" t="str">
        <f>VLOOKUP(A240, 'Data Employee'!$A$2:$U$1000, 19, FALSE)</f>
        <v>Accounting</v>
      </c>
      <c r="G240" s="9" t="str">
        <f>VLOOKUP(A240, 'Data Employee'!$A$2:$U$1000, 20, FALSE)</f>
        <v>Supply Chain Management</v>
      </c>
      <c r="H240" s="9" t="str">
        <f>INDEX('Data Employee'!$W$2:$W$1000, MATCH(A240, 'Data Employee'!$A$2:$A$1000, 0))</f>
        <v>Purchasing Supervisor</v>
      </c>
      <c r="I240" t="str">
        <f>INDEX('Data Employee'!$V$2:$V$1000,MATCH(A240,'Data Employee'!$A$2:$A$1000,0))</f>
        <v>Supervisor</v>
      </c>
      <c r="J240" s="18">
        <f>INDEX('Data Employee'!$L$2:$L$1000, MATCH(A240, 'Data Employee'!$A$2:$A$1000, 0))</f>
        <v>43701</v>
      </c>
      <c r="K240" s="19" t="str">
        <f>IFERROR(IF(INDEX('Data Employee'!M:M,MATCH(A240,'Data Employee'!A:A,0))="","",INDEX('Data Employee'!M:M,MATCH(A240,'Data Employee'!A:A,0))),"")</f>
        <v/>
      </c>
      <c r="L240" s="11" t="str">
        <f t="shared" ca="1" si="10"/>
        <v/>
      </c>
      <c r="M240" s="11" t="str">
        <f t="shared" ca="1" si="11"/>
        <v>Active</v>
      </c>
    </row>
    <row r="241" spans="1:13" x14ac:dyDescent="0.35">
      <c r="A241">
        <v>201742819</v>
      </c>
      <c r="B241" t="str">
        <f>INDEX('Data Employee'!$B$2:$B$1000, MATCH(A241, 'Data Employee'!$A$2:$A$1000, 0))</f>
        <v>Nadia Saputra</v>
      </c>
      <c r="C241" t="str">
        <f>INDEX('Data Employee'!$G$2:$G$1000,MATCH(A241,'Data Employee'!$A$2:$A$1000,0))</f>
        <v>Female</v>
      </c>
      <c r="D241" s="9" t="str" cm="1">
        <f t="array" aca="1" ref="D241" ca="1">IF(J241="","",_xlfn.IFS(DATEDIF(J241,TODAY(),"M")&lt;12,"Contract 1",DATEDIF(J241,TODAY(),"M")&lt;36,"Contract 2",DATEDIF(J241,TODAY(),"M")&lt;60,"Contract 3",DATEDIF(J241,TODAY(),"M")&lt;63,"Probation",TRUE,"Permanent"))</f>
        <v>Permanent</v>
      </c>
      <c r="E241" s="9" t="str">
        <f t="shared" ca="1" si="9"/>
        <v>Permanent</v>
      </c>
      <c r="F241" s="9" t="str">
        <f>VLOOKUP(A241, 'Data Employee'!$A$2:$U$1000, 19, FALSE)</f>
        <v>Accounting</v>
      </c>
      <c r="G241" s="9" t="str">
        <f>VLOOKUP(A241, 'Data Employee'!$A$2:$U$1000, 20, FALSE)</f>
        <v>Supply Chain Management</v>
      </c>
      <c r="H241" s="9" t="str">
        <f>INDEX('Data Employee'!$W$2:$W$1000, MATCH(A241, 'Data Employee'!$A$2:$A$1000, 0))</f>
        <v>Purchasing Officer</v>
      </c>
      <c r="I241" t="str">
        <f>INDEX('Data Employee'!$V$2:$V$1000,MATCH(A241,'Data Employee'!$A$2:$A$1000,0))</f>
        <v>Officer / Executive</v>
      </c>
      <c r="J241" s="18">
        <f>INDEX('Data Employee'!$L$2:$L$1000, MATCH(A241, 'Data Employee'!$A$2:$A$1000, 0))</f>
        <v>42819</v>
      </c>
      <c r="K241" s="19" t="str">
        <f>IFERROR(IF(INDEX('Data Employee'!M:M,MATCH(A241,'Data Employee'!A:A,0))="","",INDEX('Data Employee'!M:M,MATCH(A241,'Data Employee'!A:A,0))),"")</f>
        <v/>
      </c>
      <c r="L241" s="11" t="str">
        <f t="shared" ca="1" si="10"/>
        <v/>
      </c>
      <c r="M241" s="11" t="str">
        <f t="shared" ca="1" si="11"/>
        <v>Active</v>
      </c>
    </row>
    <row r="242" spans="1:13" x14ac:dyDescent="0.35">
      <c r="A242">
        <v>202345132</v>
      </c>
      <c r="B242" t="str">
        <f>INDEX('Data Employee'!$B$2:$B$1000, MATCH(A242, 'Data Employee'!$A$2:$A$1000, 0))</f>
        <v>Indah Pratama</v>
      </c>
      <c r="C242" t="str">
        <f>INDEX('Data Employee'!$G$2:$G$1000,MATCH(A242,'Data Employee'!$A$2:$A$1000,0))</f>
        <v>Male</v>
      </c>
      <c r="D242" s="9" t="str" cm="1">
        <f t="array" aca="1" ref="D242" ca="1">IF(J242="","",_xlfn.IFS(DATEDIF(J242,TODAY(),"M")&lt;12,"Contract 1",DATEDIF(J242,TODAY(),"M")&lt;36,"Contract 2",DATEDIF(J242,TODAY(),"M")&lt;60,"Contract 3",DATEDIF(J242,TODAY(),"M")&lt;63,"Probation",TRUE,"Permanent"))</f>
        <v>Contract 3</v>
      </c>
      <c r="E242" s="9" t="str">
        <f t="shared" ca="1" si="9"/>
        <v>60 Month</v>
      </c>
      <c r="F242" s="9" t="str">
        <f>VLOOKUP(A242, 'Data Employee'!$A$2:$U$1000, 19, FALSE)</f>
        <v>Economics</v>
      </c>
      <c r="G242" s="9" t="str">
        <f>VLOOKUP(A242, 'Data Employee'!$A$2:$U$1000, 20, FALSE)</f>
        <v>Supply Chain Management</v>
      </c>
      <c r="H242" s="9" t="str">
        <f>INDEX('Data Employee'!$W$2:$W$1000, MATCH(A242, 'Data Employee'!$A$2:$A$1000, 0))</f>
        <v>Purchasing Officer</v>
      </c>
      <c r="I242" t="str">
        <f>INDEX('Data Employee'!$V$2:$V$1000,MATCH(A242,'Data Employee'!$A$2:$A$1000,0))</f>
        <v>Officer / Executive</v>
      </c>
      <c r="J242" s="18">
        <f>INDEX('Data Employee'!$L$2:$L$1000, MATCH(A242, 'Data Employee'!$A$2:$A$1000, 0))</f>
        <v>44767</v>
      </c>
      <c r="K242" s="19">
        <f>IFERROR(IF(INDEX('Data Employee'!M:M,MATCH(A242,'Data Employee'!A:A,0))="","",INDEX('Data Employee'!M:M,MATCH(A242,'Data Employee'!A:A,0))),"")</f>
        <v>46593</v>
      </c>
      <c r="L242" s="11" t="str">
        <f t="shared" ca="1" si="10"/>
        <v>357 Days</v>
      </c>
      <c r="M242" s="11" t="str">
        <f t="shared" ca="1" si="11"/>
        <v>Active</v>
      </c>
    </row>
    <row r="243" spans="1:13" x14ac:dyDescent="0.35">
      <c r="A243">
        <v>201943629</v>
      </c>
      <c r="B243" t="str">
        <f>INDEX('Data Employee'!$B$2:$B$1000, MATCH(A243, 'Data Employee'!$A$2:$A$1000, 0))</f>
        <v>Nadia Sari</v>
      </c>
      <c r="C243" t="str">
        <f>INDEX('Data Employee'!$G$2:$G$1000,MATCH(A243,'Data Employee'!$A$2:$A$1000,0))</f>
        <v>Female</v>
      </c>
      <c r="D243" s="9" t="str" cm="1">
        <f t="array" aca="1" ref="D243" ca="1">IF(J243="","",_xlfn.IFS(DATEDIF(J243,TODAY(),"M")&lt;12,"Contract 1",DATEDIF(J243,TODAY(),"M")&lt;36,"Contract 2",DATEDIF(J243,TODAY(),"M")&lt;60,"Contract 3",DATEDIF(J243,TODAY(),"M")&lt;63,"Probation",TRUE,"Permanent"))</f>
        <v>Probation</v>
      </c>
      <c r="E243" s="9" t="str">
        <f t="shared" ca="1" si="9"/>
        <v>63 Month</v>
      </c>
      <c r="F243" s="9" t="str">
        <f>VLOOKUP(A243, 'Data Employee'!$A$2:$U$1000, 19, FALSE)</f>
        <v>Economics</v>
      </c>
      <c r="G243" s="9" t="str">
        <f>VLOOKUP(A243, 'Data Employee'!$A$2:$U$1000, 20, FALSE)</f>
        <v>Supply Chain Management</v>
      </c>
      <c r="H243" s="9" t="str">
        <f>INDEX('Data Employee'!$W$2:$W$1000, MATCH(A243, 'Data Employee'!$A$2:$A$1000, 0))</f>
        <v>Purchasing Officer</v>
      </c>
      <c r="I243" t="str">
        <f>INDEX('Data Employee'!$V$2:$V$1000,MATCH(A243,'Data Employee'!$A$2:$A$1000,0))</f>
        <v>Officer / Executive</v>
      </c>
      <c r="J243" s="18">
        <f>INDEX('Data Employee'!$L$2:$L$1000, MATCH(A243, 'Data Employee'!$A$2:$A$1000, 0))</f>
        <v>44360</v>
      </c>
      <c r="K243" s="19" t="str">
        <f>IFERROR(IF(INDEX('Data Employee'!M:M,MATCH(A243,'Data Employee'!A:A,0))="","",INDEX('Data Employee'!M:M,MATCH(A243,'Data Employee'!A:A,0))),"")</f>
        <v/>
      </c>
      <c r="L243" s="11" t="str">
        <f t="shared" ca="1" si="10"/>
        <v/>
      </c>
      <c r="M243" s="11" t="str">
        <f t="shared" ca="1" si="11"/>
        <v>Active</v>
      </c>
    </row>
    <row r="244" spans="1:13" x14ac:dyDescent="0.35">
      <c r="A244">
        <v>202044076</v>
      </c>
      <c r="B244" t="str">
        <f>INDEX('Data Employee'!$B$2:$B$1000, MATCH(A244, 'Data Employee'!$A$2:$A$1000, 0))</f>
        <v>Indah Lestari</v>
      </c>
      <c r="C244" t="str">
        <f>INDEX('Data Employee'!$G$2:$G$1000,MATCH(A244,'Data Employee'!$A$2:$A$1000,0))</f>
        <v>Male</v>
      </c>
      <c r="D244" s="9" t="str" cm="1">
        <f t="array" aca="1" ref="D244" ca="1">IF(J244="","",_xlfn.IFS(DATEDIF(J244,TODAY(),"M")&lt;12,"Contract 1",DATEDIF(J244,TODAY(),"M")&lt;36,"Contract 2",DATEDIF(J244,TODAY(),"M")&lt;60,"Contract 3",DATEDIF(J244,TODAY(),"M")&lt;63,"Probation",TRUE,"Permanent"))</f>
        <v>Contract 2</v>
      </c>
      <c r="E244" s="9" t="str">
        <f t="shared" ca="1" si="9"/>
        <v>24 Month</v>
      </c>
      <c r="F244" s="9" t="str">
        <f>VLOOKUP(A244, 'Data Employee'!$A$2:$U$1000, 19, FALSE)</f>
        <v>Statistics</v>
      </c>
      <c r="G244" s="9" t="str">
        <f>VLOOKUP(A244, 'Data Employee'!$A$2:$U$1000, 20, FALSE)</f>
        <v>Supply Chain Management</v>
      </c>
      <c r="H244" s="9" t="str">
        <f>INDEX('Data Employee'!$W$2:$W$1000, MATCH(A244, 'Data Employee'!$A$2:$A$1000, 0))</f>
        <v>Purchasing Officer</v>
      </c>
      <c r="I244" t="str">
        <f>INDEX('Data Employee'!$V$2:$V$1000,MATCH(A244,'Data Employee'!$A$2:$A$1000,0))</f>
        <v>Officer / Executive</v>
      </c>
      <c r="J244" s="18">
        <f>INDEX('Data Employee'!$L$2:$L$1000, MATCH(A244, 'Data Employee'!$A$2:$A$1000, 0))</f>
        <v>45537</v>
      </c>
      <c r="K244" s="19">
        <f>IFERROR(IF(INDEX('Data Employee'!M:M,MATCH(A244,'Data Employee'!A:A,0))="","",INDEX('Data Employee'!M:M,MATCH(A244,'Data Employee'!A:A,0))),"")</f>
        <v>46632</v>
      </c>
      <c r="L244" s="11" t="str">
        <f t="shared" ca="1" si="10"/>
        <v>396 Days</v>
      </c>
      <c r="M244" s="11" t="str">
        <f t="shared" ca="1" si="11"/>
        <v>Active</v>
      </c>
    </row>
    <row r="245" spans="1:13" x14ac:dyDescent="0.35">
      <c r="A245">
        <v>202144298</v>
      </c>
      <c r="B245" t="str">
        <f>INDEX('Data Employee'!$B$2:$B$1000, MATCH(A245, 'Data Employee'!$A$2:$A$1000, 0))</f>
        <v>Rina Utami</v>
      </c>
      <c r="C245" t="str">
        <f>INDEX('Data Employee'!$G$2:$G$1000,MATCH(A245,'Data Employee'!$A$2:$A$1000,0))</f>
        <v>Male</v>
      </c>
      <c r="D245" s="9" t="str" cm="1">
        <f t="array" aca="1" ref="D245" ca="1">IF(J245="","",_xlfn.IFS(DATEDIF(J245,TODAY(),"M")&lt;12,"Contract 1",DATEDIF(J245,TODAY(),"M")&lt;36,"Contract 2",DATEDIF(J245,TODAY(),"M")&lt;60,"Contract 3",DATEDIF(J245,TODAY(),"M")&lt;63,"Probation",TRUE,"Permanent"))</f>
        <v>Contract 3</v>
      </c>
      <c r="E245" s="9" t="str">
        <f t="shared" ca="1" si="9"/>
        <v>60 Month</v>
      </c>
      <c r="F245" s="9" t="str">
        <f>VLOOKUP(A245, 'Data Employee'!$A$2:$U$1000, 19, FALSE)</f>
        <v>Economics</v>
      </c>
      <c r="G245" s="9" t="str">
        <f>VLOOKUP(A245, 'Data Employee'!$A$2:$U$1000, 20, FALSE)</f>
        <v>Supply Chain Management</v>
      </c>
      <c r="H245" s="9" t="str">
        <f>INDEX('Data Employee'!$W$2:$W$1000, MATCH(A245, 'Data Employee'!$A$2:$A$1000, 0))</f>
        <v>Purchasing Staff</v>
      </c>
      <c r="I245" t="str">
        <f>INDEX('Data Employee'!$V$2:$V$1000,MATCH(A245,'Data Employee'!$A$2:$A$1000,0))</f>
        <v>Staff</v>
      </c>
      <c r="J245" s="18">
        <f>INDEX('Data Employee'!$L$2:$L$1000, MATCH(A245, 'Data Employee'!$A$2:$A$1000, 0))</f>
        <v>45028</v>
      </c>
      <c r="K245" s="19">
        <f>IFERROR(IF(INDEX('Data Employee'!M:M,MATCH(A245,'Data Employee'!A:A,0))="","",INDEX('Data Employee'!M:M,MATCH(A245,'Data Employee'!A:A,0))),"")</f>
        <v>46855</v>
      </c>
      <c r="L245" s="11" t="str">
        <f t="shared" ca="1" si="10"/>
        <v>619 Days</v>
      </c>
      <c r="M245" s="11" t="str">
        <f t="shared" ca="1" si="11"/>
        <v>Active</v>
      </c>
    </row>
    <row r="246" spans="1:13" x14ac:dyDescent="0.35">
      <c r="A246">
        <v>202244696</v>
      </c>
      <c r="B246" t="str">
        <f>INDEX('Data Employee'!$B$2:$B$1000, MATCH(A246, 'Data Employee'!$A$2:$A$1000, 0))</f>
        <v>Putri Sari</v>
      </c>
      <c r="C246" t="str">
        <f>INDEX('Data Employee'!$G$2:$G$1000,MATCH(A246,'Data Employee'!$A$2:$A$1000,0))</f>
        <v>Female</v>
      </c>
      <c r="D246" s="9" t="str" cm="1">
        <f t="array" aca="1" ref="D246" ca="1">IF(J246="","",_xlfn.IFS(DATEDIF(J246,TODAY(),"M")&lt;12,"Contract 1",DATEDIF(J246,TODAY(),"M")&lt;36,"Contract 2",DATEDIF(J246,TODAY(),"M")&lt;60,"Contract 3",DATEDIF(J246,TODAY(),"M")&lt;63,"Probation",TRUE,"Permanent"))</f>
        <v>Contract 3</v>
      </c>
      <c r="E246" s="9" t="str">
        <f t="shared" ca="1" si="9"/>
        <v>60 Month</v>
      </c>
      <c r="F246" s="9" t="str">
        <f>VLOOKUP(A246, 'Data Employee'!$A$2:$U$1000, 19, FALSE)</f>
        <v>Business Administration</v>
      </c>
      <c r="G246" s="9" t="str">
        <f>VLOOKUP(A246, 'Data Employee'!$A$2:$U$1000, 20, FALSE)</f>
        <v>Supply Chain Management</v>
      </c>
      <c r="H246" s="9" t="str">
        <f>INDEX('Data Employee'!$W$2:$W$1000, MATCH(A246, 'Data Employee'!$A$2:$A$1000, 0))</f>
        <v>Purchasing Staff</v>
      </c>
      <c r="I246" t="str">
        <f>INDEX('Data Employee'!$V$2:$V$1000,MATCH(A246,'Data Employee'!$A$2:$A$1000,0))</f>
        <v>Staff</v>
      </c>
      <c r="J246" s="18">
        <f>INDEX('Data Employee'!$L$2:$L$1000, MATCH(A246, 'Data Employee'!$A$2:$A$1000, 0))</f>
        <v>45061</v>
      </c>
      <c r="K246" s="19">
        <f>IFERROR(IF(INDEX('Data Employee'!M:M,MATCH(A246,'Data Employee'!A:A,0))="","",INDEX('Data Employee'!M:M,MATCH(A246,'Data Employee'!A:A,0))),"")</f>
        <v>46888</v>
      </c>
      <c r="L246" s="11" t="str">
        <f t="shared" ca="1" si="10"/>
        <v>652 Days</v>
      </c>
      <c r="M246" s="11" t="str">
        <f t="shared" ca="1" si="11"/>
        <v>Active</v>
      </c>
    </row>
    <row r="247" spans="1:13" x14ac:dyDescent="0.35">
      <c r="A247">
        <v>201943604</v>
      </c>
      <c r="B247" t="str">
        <f>INDEX('Data Employee'!$B$2:$B$1000, MATCH(A247, 'Data Employee'!$A$2:$A$1000, 0))</f>
        <v>Indah Maulana</v>
      </c>
      <c r="C247" t="str">
        <f>INDEX('Data Employee'!$G$2:$G$1000,MATCH(A247,'Data Employee'!$A$2:$A$1000,0))</f>
        <v>Female</v>
      </c>
      <c r="D247" s="9" t="str" cm="1">
        <f t="array" aca="1" ref="D247" ca="1">IF(J247="","",_xlfn.IFS(DATEDIF(J247,TODAY(),"M")&lt;12,"Contract 1",DATEDIF(J247,TODAY(),"M")&lt;36,"Contract 2",DATEDIF(J247,TODAY(),"M")&lt;60,"Contract 3",DATEDIF(J247,TODAY(),"M")&lt;63,"Probation",TRUE,"Permanent"))</f>
        <v>Contract 2</v>
      </c>
      <c r="E247" s="9" t="str">
        <f t="shared" ca="1" si="9"/>
        <v>24 Month</v>
      </c>
      <c r="F247" s="9" t="str">
        <f>VLOOKUP(A247, 'Data Employee'!$A$2:$U$1000, 19, FALSE)</f>
        <v>Marketing</v>
      </c>
      <c r="G247" s="9" t="str">
        <f>VLOOKUP(A247, 'Data Employee'!$A$2:$U$1000, 20, FALSE)</f>
        <v>Supply Chain Management</v>
      </c>
      <c r="H247" s="9" t="str">
        <f>INDEX('Data Employee'!$W$2:$W$1000, MATCH(A247, 'Data Employee'!$A$2:$A$1000, 0))</f>
        <v>Purchasing Administrator</v>
      </c>
      <c r="I247" t="str">
        <f>INDEX('Data Employee'!$V$2:$V$1000,MATCH(A247,'Data Employee'!$A$2:$A$1000,0))</f>
        <v>Administrator</v>
      </c>
      <c r="J247" s="18">
        <f>INDEX('Data Employee'!$L$2:$L$1000, MATCH(A247, 'Data Employee'!$A$2:$A$1000, 0))</f>
        <v>45431</v>
      </c>
      <c r="K247" s="19">
        <f>IFERROR(IF(INDEX('Data Employee'!M:M,MATCH(A247,'Data Employee'!A:A,0))="","",INDEX('Data Employee'!M:M,MATCH(A247,'Data Employee'!A:A,0))),"")</f>
        <v>47257</v>
      </c>
      <c r="L247" s="11" t="str">
        <f t="shared" ca="1" si="10"/>
        <v>1021 Days</v>
      </c>
      <c r="M247" s="11" t="str">
        <f t="shared" ca="1" si="11"/>
        <v>Active</v>
      </c>
    </row>
    <row r="248" spans="1:13" x14ac:dyDescent="0.35">
      <c r="A248">
        <v>201943773</v>
      </c>
      <c r="B248" t="str">
        <f>INDEX('Data Employee'!$B$2:$B$1000, MATCH(A248, 'Data Employee'!$A$2:$A$1000, 0))</f>
        <v>Putri Pratama</v>
      </c>
      <c r="C248" t="str">
        <f>INDEX('Data Employee'!$G$2:$G$1000,MATCH(A248,'Data Employee'!$A$2:$A$1000,0))</f>
        <v>Female</v>
      </c>
      <c r="D248" s="9" t="str" cm="1">
        <f t="array" aca="1" ref="D248" ca="1">IF(J248="","",_xlfn.IFS(DATEDIF(J248,TODAY(),"M")&lt;12,"Contract 1",DATEDIF(J248,TODAY(),"M")&lt;36,"Contract 2",DATEDIF(J248,TODAY(),"M")&lt;60,"Contract 3",DATEDIF(J248,TODAY(),"M")&lt;63,"Probation",TRUE,"Permanent"))</f>
        <v>Contract 2</v>
      </c>
      <c r="E248" s="9" t="str">
        <f t="shared" ca="1" si="9"/>
        <v>24 Month</v>
      </c>
      <c r="F248" s="9" t="str">
        <f>VLOOKUP(A248, 'Data Employee'!$A$2:$U$1000, 19, FALSE)</f>
        <v>Marketing</v>
      </c>
      <c r="G248" s="9" t="str">
        <f>VLOOKUP(A248, 'Data Employee'!$A$2:$U$1000, 20, FALSE)</f>
        <v>Supply Chain Management</v>
      </c>
      <c r="H248" s="9" t="str">
        <f>INDEX('Data Employee'!$W$2:$W$1000, MATCH(A248, 'Data Employee'!$A$2:$A$1000, 0))</f>
        <v>Purchasing Administrator</v>
      </c>
      <c r="I248" t="str">
        <f>INDEX('Data Employee'!$V$2:$V$1000,MATCH(A248,'Data Employee'!$A$2:$A$1000,0))</f>
        <v>Administrator</v>
      </c>
      <c r="J248" s="18">
        <f>INDEX('Data Employee'!$L$2:$L$1000, MATCH(A248, 'Data Employee'!$A$2:$A$1000, 0))</f>
        <v>45600</v>
      </c>
      <c r="K248" s="19">
        <f>IFERROR(IF(INDEX('Data Employee'!M:M,MATCH(A248,'Data Employee'!A:A,0))="","",INDEX('Data Employee'!M:M,MATCH(A248,'Data Employee'!A:A,0))),"")</f>
        <v>46695</v>
      </c>
      <c r="L248" s="11" t="str">
        <f t="shared" ca="1" si="10"/>
        <v>459 Days</v>
      </c>
      <c r="M248" s="11" t="str">
        <f t="shared" ca="1" si="11"/>
        <v>Active</v>
      </c>
    </row>
    <row r="249" spans="1:13" x14ac:dyDescent="0.35">
      <c r="A249">
        <v>202144512</v>
      </c>
      <c r="B249" t="str">
        <f>INDEX('Data Employee'!$B$2:$B$1000, MATCH(A249, 'Data Employee'!$A$2:$A$1000, 0))</f>
        <v>Lina Utami</v>
      </c>
      <c r="C249" t="str">
        <f>INDEX('Data Employee'!$G$2:$G$1000,MATCH(A249,'Data Employee'!$A$2:$A$1000,0))</f>
        <v>Female</v>
      </c>
      <c r="D249" s="9" t="str" cm="1">
        <f t="array" aca="1" ref="D249" ca="1">IF(J249="","",_xlfn.IFS(DATEDIF(J249,TODAY(),"M")&lt;12,"Contract 1",DATEDIF(J249,TODAY(),"M")&lt;36,"Contract 2",DATEDIF(J249,TODAY(),"M")&lt;60,"Contract 3",DATEDIF(J249,TODAY(),"M")&lt;63,"Probation",TRUE,"Permanent"))</f>
        <v>Contract 1</v>
      </c>
      <c r="E249" s="9" t="str">
        <f t="shared" ca="1" si="9"/>
        <v>12 Month</v>
      </c>
      <c r="F249" s="9" t="str">
        <f>VLOOKUP(A249, 'Data Employee'!$A$2:$U$1000, 19, FALSE)</f>
        <v>Marketing</v>
      </c>
      <c r="G249" s="9" t="str">
        <f>VLOOKUP(A249, 'Data Employee'!$A$2:$U$1000, 20, FALSE)</f>
        <v>Supply Chain Management</v>
      </c>
      <c r="H249" s="9" t="str">
        <f>INDEX('Data Employee'!$W$2:$W$1000, MATCH(A249, 'Data Employee'!$A$2:$A$1000, 0))</f>
        <v>Data Entry Intern</v>
      </c>
      <c r="I249" t="str">
        <f>INDEX('Data Employee'!$V$2:$V$1000,MATCH(A249,'Data Employee'!$A$2:$A$1000,0))</f>
        <v>Internship</v>
      </c>
      <c r="J249" s="18">
        <f>INDEX('Data Employee'!$L$2:$L$1000, MATCH(A249, 'Data Employee'!$A$2:$A$1000, 0))</f>
        <v>45973</v>
      </c>
      <c r="K249" s="19">
        <f>IFERROR(IF(INDEX('Data Employee'!M:M,MATCH(A249,'Data Employee'!A:A,0))="","",INDEX('Data Employee'!M:M,MATCH(A249,'Data Employee'!A:A,0))),"")</f>
        <v>46338</v>
      </c>
      <c r="L249" s="11" t="str">
        <f t="shared" ca="1" si="10"/>
        <v>102 Days</v>
      </c>
      <c r="M249" s="11" t="str">
        <f t="shared" ca="1" si="11"/>
        <v>Active</v>
      </c>
    </row>
    <row r="250" spans="1:13" x14ac:dyDescent="0.35">
      <c r="A250">
        <v>202144287</v>
      </c>
      <c r="B250" t="str">
        <f>INDEX('Data Employee'!$B$2:$B$1000, MATCH(A250, 'Data Employee'!$A$2:$A$1000, 0))</f>
        <v>Dedi Pangestu</v>
      </c>
      <c r="C250" t="str">
        <f>INDEX('Data Employee'!$G$2:$G$1000,MATCH(A250,'Data Employee'!$A$2:$A$1000,0))</f>
        <v>Male</v>
      </c>
      <c r="D250" s="9" t="str" cm="1">
        <f t="array" aca="1" ref="D250" ca="1">IF(J250="","",_xlfn.IFS(DATEDIF(J250,TODAY(),"M")&lt;12,"Contract 1",DATEDIF(J250,TODAY(),"M")&lt;36,"Contract 2",DATEDIF(J250,TODAY(),"M")&lt;60,"Contract 3",DATEDIF(J250,TODAY(),"M")&lt;63,"Probation",TRUE,"Permanent"))</f>
        <v>Permanent</v>
      </c>
      <c r="E250" s="9" t="str">
        <f t="shared" ca="1" si="9"/>
        <v>Permanent</v>
      </c>
      <c r="F250" s="9" t="str">
        <f>VLOOKUP(A250, 'Data Employee'!$A$2:$U$1000, 19, FALSE)</f>
        <v>Management</v>
      </c>
      <c r="G250" s="9" t="str">
        <f>VLOOKUP(A250, 'Data Employee'!$A$2:$U$1000, 20, FALSE)</f>
        <v>Manufacturing</v>
      </c>
      <c r="H250" s="9" t="str">
        <f>INDEX('Data Employee'!$W$2:$W$1000, MATCH(A250, 'Data Employee'!$A$2:$A$1000, 0))</f>
        <v>QA Manager</v>
      </c>
      <c r="I250" t="str">
        <f>INDEX('Data Employee'!$V$2:$V$1000,MATCH(A250,'Data Employee'!$A$2:$A$1000,0))</f>
        <v>Manager</v>
      </c>
      <c r="J250" s="18">
        <f>INDEX('Data Employee'!$L$2:$L$1000, MATCH(A250, 'Data Employee'!$A$2:$A$1000, 0))</f>
        <v>43191</v>
      </c>
      <c r="K250" s="19" t="str">
        <f>IFERROR(IF(INDEX('Data Employee'!M:M,MATCH(A250,'Data Employee'!A:A,0))="","",INDEX('Data Employee'!M:M,MATCH(A250,'Data Employee'!A:A,0))),"")</f>
        <v/>
      </c>
      <c r="L250" s="11" t="str">
        <f t="shared" ca="1" si="10"/>
        <v/>
      </c>
      <c r="M250" s="11" t="str">
        <f t="shared" ca="1" si="11"/>
        <v>Active</v>
      </c>
    </row>
    <row r="251" spans="1:13" x14ac:dyDescent="0.35">
      <c r="A251">
        <v>202144360</v>
      </c>
      <c r="B251" t="str">
        <f>INDEX('Data Employee'!$B$2:$B$1000, MATCH(A251, 'Data Employee'!$A$2:$A$1000, 0))</f>
        <v>Budi Sari</v>
      </c>
      <c r="C251" t="str">
        <f>INDEX('Data Employee'!$G$2:$G$1000,MATCH(A251,'Data Employee'!$A$2:$A$1000,0))</f>
        <v>Male</v>
      </c>
      <c r="D251" s="9" t="str" cm="1">
        <f t="array" aca="1" ref="D251" ca="1">IF(J251="","",_xlfn.IFS(DATEDIF(J251,TODAY(),"M")&lt;12,"Contract 1",DATEDIF(J251,TODAY(),"M")&lt;36,"Contract 2",DATEDIF(J251,TODAY(),"M")&lt;60,"Contract 3",DATEDIF(J251,TODAY(),"M")&lt;63,"Probation",TRUE,"Permanent"))</f>
        <v>Permanent</v>
      </c>
      <c r="E251" s="9" t="str">
        <f t="shared" ca="1" si="9"/>
        <v>Permanent</v>
      </c>
      <c r="F251" s="9" t="str">
        <f>VLOOKUP(A251, 'Data Employee'!$A$2:$U$1000, 19, FALSE)</f>
        <v>Management</v>
      </c>
      <c r="G251" s="9" t="str">
        <f>VLOOKUP(A251, 'Data Employee'!$A$2:$U$1000, 20, FALSE)</f>
        <v>Manufacturing</v>
      </c>
      <c r="H251" s="9" t="str">
        <f>INDEX('Data Employee'!$W$2:$W$1000, MATCH(A251, 'Data Employee'!$A$2:$A$1000, 0))</f>
        <v>QE Manager</v>
      </c>
      <c r="I251" t="str">
        <f>INDEX('Data Employee'!$V$2:$V$1000,MATCH(A251,'Data Employee'!$A$2:$A$1000,0))</f>
        <v>Manager</v>
      </c>
      <c r="J251" s="18">
        <f>INDEX('Data Employee'!$L$2:$L$1000, MATCH(A251, 'Data Employee'!$A$2:$A$1000, 0))</f>
        <v>42168</v>
      </c>
      <c r="K251" s="19" t="str">
        <f>IFERROR(IF(INDEX('Data Employee'!M:M,MATCH(A251,'Data Employee'!A:A,0))="","",INDEX('Data Employee'!M:M,MATCH(A251,'Data Employee'!A:A,0))),"")</f>
        <v/>
      </c>
      <c r="L251" s="11" t="str">
        <f t="shared" ca="1" si="10"/>
        <v/>
      </c>
      <c r="M251" s="11" t="str">
        <f t="shared" ca="1" si="11"/>
        <v>Active</v>
      </c>
    </row>
    <row r="252" spans="1:13" x14ac:dyDescent="0.35">
      <c r="A252">
        <v>202345071</v>
      </c>
      <c r="B252" t="str">
        <f>INDEX('Data Employee'!$B$2:$B$1000, MATCH(A252, 'Data Employee'!$A$2:$A$1000, 0))</f>
        <v>Yusuf Sari</v>
      </c>
      <c r="C252" t="str">
        <f>INDEX('Data Employee'!$G$2:$G$1000,MATCH(A252,'Data Employee'!$A$2:$A$1000,0))</f>
        <v>Male</v>
      </c>
      <c r="D252" s="9" t="str" cm="1">
        <f t="array" aca="1" ref="D252" ca="1">IF(J252="","",_xlfn.IFS(DATEDIF(J252,TODAY(),"M")&lt;12,"Contract 1",DATEDIF(J252,TODAY(),"M")&lt;36,"Contract 2",DATEDIF(J252,TODAY(),"M")&lt;60,"Contract 3",DATEDIF(J252,TODAY(),"M")&lt;63,"Probation",TRUE,"Permanent"))</f>
        <v>Permanent</v>
      </c>
      <c r="E252" s="9" t="str">
        <f t="shared" ca="1" si="9"/>
        <v>Permanent</v>
      </c>
      <c r="F252" s="9" t="str">
        <f>VLOOKUP(A252, 'Data Employee'!$A$2:$U$1000, 19, FALSE)</f>
        <v>Mechanical Engineering</v>
      </c>
      <c r="G252" s="9" t="str">
        <f>VLOOKUP(A252, 'Data Employee'!$A$2:$U$1000, 20, FALSE)</f>
        <v>Manufacturing</v>
      </c>
      <c r="H252" s="9" t="str">
        <f>INDEX('Data Employee'!$W$2:$W$1000, MATCH(A252, 'Data Employee'!$A$2:$A$1000, 0))</f>
        <v>Quality Engineering Supervisor</v>
      </c>
      <c r="I252" t="str">
        <f>INDEX('Data Employee'!$V$2:$V$1000,MATCH(A252,'Data Employee'!$A$2:$A$1000,0))</f>
        <v>Supervisor</v>
      </c>
      <c r="J252" s="18">
        <f>INDEX('Data Employee'!$L$2:$L$1000, MATCH(A252, 'Data Employee'!$A$2:$A$1000, 0))</f>
        <v>42515</v>
      </c>
      <c r="K252" s="19" t="str">
        <f>IFERROR(IF(INDEX('Data Employee'!M:M,MATCH(A252,'Data Employee'!A:A,0))="","",INDEX('Data Employee'!M:M,MATCH(A252,'Data Employee'!A:A,0))),"")</f>
        <v/>
      </c>
      <c r="L252" s="11" t="str">
        <f t="shared" ca="1" si="10"/>
        <v/>
      </c>
      <c r="M252" s="11" t="str">
        <f t="shared" ca="1" si="11"/>
        <v>Active</v>
      </c>
    </row>
    <row r="253" spans="1:13" x14ac:dyDescent="0.35">
      <c r="A253">
        <v>202345114</v>
      </c>
      <c r="B253" t="str">
        <f>INDEX('Data Employee'!$B$2:$B$1000, MATCH(A253, 'Data Employee'!$A$2:$A$1000, 0))</f>
        <v>Rahmat Wijaya</v>
      </c>
      <c r="C253" t="str">
        <f>INDEX('Data Employee'!$G$2:$G$1000,MATCH(A253,'Data Employee'!$A$2:$A$1000,0))</f>
        <v>Male</v>
      </c>
      <c r="D253" s="9" t="str" cm="1">
        <f t="array" aca="1" ref="D253" ca="1">IF(J253="","",_xlfn.IFS(DATEDIF(J253,TODAY(),"M")&lt;12,"Contract 1",DATEDIF(J253,TODAY(),"M")&lt;36,"Contract 2",DATEDIF(J253,TODAY(),"M")&lt;60,"Contract 3",DATEDIF(J253,TODAY(),"M")&lt;63,"Probation",TRUE,"Permanent"))</f>
        <v>Permanent</v>
      </c>
      <c r="E253" s="9" t="str">
        <f t="shared" ca="1" si="9"/>
        <v>Permanent</v>
      </c>
      <c r="F253" s="9" t="str">
        <f>VLOOKUP(A253, 'Data Employee'!$A$2:$U$1000, 19, FALSE)</f>
        <v>Mechanical Engineering</v>
      </c>
      <c r="G253" s="9" t="str">
        <f>VLOOKUP(A253, 'Data Employee'!$A$2:$U$1000, 20, FALSE)</f>
        <v>Manufacturing</v>
      </c>
      <c r="H253" s="9" t="str">
        <f>INDEX('Data Employee'!$W$2:$W$1000, MATCH(A253, 'Data Employee'!$A$2:$A$1000, 0))</f>
        <v>Quality Engineering Supervisor</v>
      </c>
      <c r="I253" t="str">
        <f>INDEX('Data Employee'!$V$2:$V$1000,MATCH(A253,'Data Employee'!$A$2:$A$1000,0))</f>
        <v>Supervisor</v>
      </c>
      <c r="J253" s="18">
        <f>INDEX('Data Employee'!$L$2:$L$1000, MATCH(A253, 'Data Employee'!$A$2:$A$1000, 0))</f>
        <v>43653</v>
      </c>
      <c r="K253" s="19" t="str">
        <f>IFERROR(IF(INDEX('Data Employee'!M:M,MATCH(A253,'Data Employee'!A:A,0))="","",INDEX('Data Employee'!M:M,MATCH(A253,'Data Employee'!A:A,0))),"")</f>
        <v/>
      </c>
      <c r="L253" s="11" t="str">
        <f t="shared" ca="1" si="10"/>
        <v/>
      </c>
      <c r="M253" s="11" t="str">
        <f t="shared" ca="1" si="11"/>
        <v>Active</v>
      </c>
    </row>
    <row r="254" spans="1:13" x14ac:dyDescent="0.35">
      <c r="A254">
        <v>202244562</v>
      </c>
      <c r="B254" t="str">
        <f>INDEX('Data Employee'!$B$2:$B$1000, MATCH(A254, 'Data Employee'!$A$2:$A$1000, 0))</f>
        <v>Indah Permata</v>
      </c>
      <c r="C254" t="str">
        <f>INDEX('Data Employee'!$G$2:$G$1000,MATCH(A254,'Data Employee'!$A$2:$A$1000,0))</f>
        <v>Female</v>
      </c>
      <c r="D254" s="9" t="str" cm="1">
        <f t="array" aca="1" ref="D254" ca="1">IF(J254="","",_xlfn.IFS(DATEDIF(J254,TODAY(),"M")&lt;12,"Contract 1",DATEDIF(J254,TODAY(),"M")&lt;36,"Contract 2",DATEDIF(J254,TODAY(),"M")&lt;60,"Contract 3",DATEDIF(J254,TODAY(),"M")&lt;63,"Probation",TRUE,"Permanent"))</f>
        <v>Permanent</v>
      </c>
      <c r="E254" s="9" t="str">
        <f t="shared" ca="1" si="9"/>
        <v>Permanent</v>
      </c>
      <c r="F254" s="9" t="str">
        <f>VLOOKUP(A254, 'Data Employee'!$A$2:$U$1000, 19, FALSE)</f>
        <v>Economics</v>
      </c>
      <c r="G254" s="9" t="str">
        <f>VLOOKUP(A254, 'Data Employee'!$A$2:$U$1000, 20, FALSE)</f>
        <v>Commercial &amp; Marketing</v>
      </c>
      <c r="H254" s="9" t="str">
        <f>INDEX('Data Employee'!$W$2:$W$1000, MATCH(A254, 'Data Employee'!$A$2:$A$1000, 0))</f>
        <v>Sales Manager</v>
      </c>
      <c r="I254" t="str">
        <f>INDEX('Data Employee'!$V$2:$V$1000,MATCH(A254,'Data Employee'!$A$2:$A$1000,0))</f>
        <v>Manager</v>
      </c>
      <c r="J254" s="18">
        <f>INDEX('Data Employee'!$L$2:$L$1000, MATCH(A254, 'Data Employee'!$A$2:$A$1000, 0))</f>
        <v>42736</v>
      </c>
      <c r="K254" s="19" t="str">
        <f>IFERROR(IF(INDEX('Data Employee'!M:M,MATCH(A254,'Data Employee'!A:A,0))="","",INDEX('Data Employee'!M:M,MATCH(A254,'Data Employee'!A:A,0))),"")</f>
        <v/>
      </c>
      <c r="L254" s="11" t="str">
        <f t="shared" ca="1" si="10"/>
        <v/>
      </c>
      <c r="M254" s="11" t="str">
        <f t="shared" ca="1" si="11"/>
        <v>Active</v>
      </c>
    </row>
    <row r="255" spans="1:13" x14ac:dyDescent="0.35">
      <c r="A255">
        <v>202043906</v>
      </c>
      <c r="B255" t="str">
        <f>INDEX('Data Employee'!$B$2:$B$1000, MATCH(A255, 'Data Employee'!$A$2:$A$1000, 0))</f>
        <v>Yulia Lestari</v>
      </c>
      <c r="C255" t="str">
        <f>INDEX('Data Employee'!$G$2:$G$1000,MATCH(A255,'Data Employee'!$A$2:$A$1000,0))</f>
        <v>Female</v>
      </c>
      <c r="D255" s="9" t="str" cm="1">
        <f t="array" aca="1" ref="D255" ca="1">IF(J255="","",_xlfn.IFS(DATEDIF(J255,TODAY(),"M")&lt;12,"Contract 1",DATEDIF(J255,TODAY(),"M")&lt;36,"Contract 2",DATEDIF(J255,TODAY(),"M")&lt;60,"Contract 3",DATEDIF(J255,TODAY(),"M")&lt;63,"Probation",TRUE,"Permanent"))</f>
        <v>Permanent</v>
      </c>
      <c r="E255" s="9" t="str">
        <f t="shared" ca="1" si="9"/>
        <v>Permanent</v>
      </c>
      <c r="F255" s="9" t="str">
        <f>VLOOKUP(A255, 'Data Employee'!$A$2:$U$1000, 19, FALSE)</f>
        <v>Economics</v>
      </c>
      <c r="G255" s="9" t="str">
        <f>VLOOKUP(A255, 'Data Employee'!$A$2:$U$1000, 20, FALSE)</f>
        <v>Commercial &amp; Marketing</v>
      </c>
      <c r="H255" s="9" t="str">
        <f>INDEX('Data Employee'!$W$2:$W$1000, MATCH(A255, 'Data Employee'!$A$2:$A$1000, 0))</f>
        <v>Sales Supervisor</v>
      </c>
      <c r="I255" t="str">
        <f>INDEX('Data Employee'!$V$2:$V$1000,MATCH(A255,'Data Employee'!$A$2:$A$1000,0))</f>
        <v>Supervisor</v>
      </c>
      <c r="J255" s="18">
        <f>INDEX('Data Employee'!$L$2:$L$1000, MATCH(A255, 'Data Employee'!$A$2:$A$1000, 0))</f>
        <v>43540</v>
      </c>
      <c r="K255" s="19" t="str">
        <f>IFERROR(IF(INDEX('Data Employee'!M:M,MATCH(A255,'Data Employee'!A:A,0))="","",INDEX('Data Employee'!M:M,MATCH(A255,'Data Employee'!A:A,0))),"")</f>
        <v/>
      </c>
      <c r="L255" s="11" t="str">
        <f t="shared" ca="1" si="10"/>
        <v/>
      </c>
      <c r="M255" s="11" t="str">
        <f t="shared" ca="1" si="11"/>
        <v>Active</v>
      </c>
    </row>
    <row r="256" spans="1:13" x14ac:dyDescent="0.35">
      <c r="A256">
        <v>201642410</v>
      </c>
      <c r="B256" t="str">
        <f>INDEX('Data Employee'!$B$2:$B$1000, MATCH(A256, 'Data Employee'!$A$2:$A$1000, 0))</f>
        <v>Puta Pra Ramadhan</v>
      </c>
      <c r="C256" t="str">
        <f>INDEX('Data Employee'!$G$2:$G$1000,MATCH(A256,'Data Employee'!$A$2:$A$1000,0))</f>
        <v>Male</v>
      </c>
      <c r="D256" s="9" t="str" cm="1">
        <f t="array" aca="1" ref="D256" ca="1">IF(J256="","",_xlfn.IFS(DATEDIF(J256,TODAY(),"M")&lt;12,"Contract 1",DATEDIF(J256,TODAY(),"M")&lt;36,"Contract 2",DATEDIF(J256,TODAY(),"M")&lt;60,"Contract 3",DATEDIF(J256,TODAY(),"M")&lt;63,"Probation",TRUE,"Permanent"))</f>
        <v>Contract 3</v>
      </c>
      <c r="E256" s="9" t="str">
        <f t="shared" ca="1" si="9"/>
        <v>60 Month</v>
      </c>
      <c r="F256" s="9" t="str">
        <f>VLOOKUP(A256, 'Data Employee'!$A$2:$U$1000, 19, FALSE)</f>
        <v>Economics</v>
      </c>
      <c r="G256" s="9" t="str">
        <f>VLOOKUP(A256, 'Data Employee'!$A$2:$U$1000, 20, FALSE)</f>
        <v>Commercial &amp; Marketing</v>
      </c>
      <c r="H256" s="9" t="str">
        <f>INDEX('Data Employee'!$W$2:$W$1000, MATCH(A256, 'Data Employee'!$A$2:$A$1000, 0))</f>
        <v>Sales Executive</v>
      </c>
      <c r="I256" t="str">
        <f>INDEX('Data Employee'!$V$2:$V$1000,MATCH(A256,'Data Employee'!$A$2:$A$1000,0))</f>
        <v>Officer / Executive</v>
      </c>
      <c r="J256" s="18">
        <f>INDEX('Data Employee'!$L$2:$L$1000, MATCH(A256, 'Data Employee'!$A$2:$A$1000, 0))</f>
        <v>44602</v>
      </c>
      <c r="K256" s="19">
        <f>IFERROR(IF(INDEX('Data Employee'!M:M,MATCH(A256,'Data Employee'!A:A,0))="","",INDEX('Data Employee'!M:M,MATCH(A256,'Data Employee'!A:A,0))),"")</f>
        <v>46428</v>
      </c>
      <c r="L256" s="11" t="str">
        <f t="shared" ca="1" si="10"/>
        <v>192 Days</v>
      </c>
      <c r="M256" s="11" t="str">
        <f t="shared" ca="1" si="11"/>
        <v>Active</v>
      </c>
    </row>
    <row r="257" spans="1:13" x14ac:dyDescent="0.35">
      <c r="A257">
        <v>201943644</v>
      </c>
      <c r="B257" t="str">
        <f>INDEX('Data Employee'!$B$2:$B$1000, MATCH(A257, 'Data Employee'!$A$2:$A$1000, 0))</f>
        <v>Bayu Maulana</v>
      </c>
      <c r="C257" t="str">
        <f>INDEX('Data Employee'!$G$2:$G$1000,MATCH(A257,'Data Employee'!$A$2:$A$1000,0))</f>
        <v>Male</v>
      </c>
      <c r="D257" s="9" t="str" cm="1">
        <f t="array" aca="1" ref="D257" ca="1">IF(J257="","",_xlfn.IFS(DATEDIF(J257,TODAY(),"M")&lt;12,"Contract 1",DATEDIF(J257,TODAY(),"M")&lt;36,"Contract 2",DATEDIF(J257,TODAY(),"M")&lt;60,"Contract 3",DATEDIF(J257,TODAY(),"M")&lt;63,"Probation",TRUE,"Permanent"))</f>
        <v>Contract 2</v>
      </c>
      <c r="E257" s="9" t="str">
        <f t="shared" ca="1" si="9"/>
        <v>24 Month</v>
      </c>
      <c r="F257" s="9" t="str">
        <f>VLOOKUP(A257, 'Data Employee'!$A$2:$U$1000, 19, FALSE)</f>
        <v>Automotive Engineering</v>
      </c>
      <c r="G257" s="9" t="str">
        <f>VLOOKUP(A257, 'Data Employee'!$A$2:$U$1000, 20, FALSE)</f>
        <v>Manufacturing</v>
      </c>
      <c r="H257" s="9" t="str">
        <f>INDEX('Data Employee'!$W$2:$W$1000, MATCH(A257, 'Data Employee'!$A$2:$A$1000, 0))</f>
        <v>QA Manager</v>
      </c>
      <c r="I257" t="str">
        <f>INDEX('Data Employee'!$V$2:$V$1000,MATCH(A257,'Data Employee'!$A$2:$A$1000,0))</f>
        <v>Manager</v>
      </c>
      <c r="J257" s="18">
        <f>INDEX('Data Employee'!$L$2:$L$1000, MATCH(A257, 'Data Employee'!$A$2:$A$1000, 0))</f>
        <v>45471</v>
      </c>
      <c r="K257" s="19">
        <f>IFERROR(IF(INDEX('Data Employee'!M:M,MATCH(A257,'Data Employee'!A:A,0))="","",INDEX('Data Employee'!M:M,MATCH(A257,'Data Employee'!A:A,0))),"")</f>
        <v>46566</v>
      </c>
      <c r="L257" s="11" t="str">
        <f t="shared" ca="1" si="10"/>
        <v>330 Days</v>
      </c>
      <c r="M257" s="11" t="str">
        <f t="shared" ca="1" si="11"/>
        <v>Active</v>
      </c>
    </row>
    <row r="258" spans="1:13" x14ac:dyDescent="0.35">
      <c r="A258">
        <v>202043864</v>
      </c>
      <c r="B258" t="str">
        <f>INDEX('Data Employee'!$B$2:$B$1000, MATCH(A258, 'Data Employee'!$A$2:$A$1000, 0))</f>
        <v>Ary Setyo Prasetya</v>
      </c>
      <c r="C258" t="str">
        <f>INDEX('Data Employee'!$G$2:$G$1000,MATCH(A258,'Data Employee'!$A$2:$A$1000,0))</f>
        <v>Male</v>
      </c>
      <c r="D258" s="9" t="str" cm="1">
        <f t="array" aca="1" ref="D258" ca="1">IF(J258="","",_xlfn.IFS(DATEDIF(J258,TODAY(),"M")&lt;12,"Contract 1",DATEDIF(J258,TODAY(),"M")&lt;36,"Contract 2",DATEDIF(J258,TODAY(),"M")&lt;60,"Contract 3",DATEDIF(J258,TODAY(),"M")&lt;63,"Probation",TRUE,"Permanent"))</f>
        <v>Contract 3</v>
      </c>
      <c r="E258" s="9" t="str">
        <f t="shared" ref="E258:E307" ca="1" si="12">IF(D258="Permanent","Permanent",IF(D258="Contract 1","12 Month",IF(D258="Contract 2","24 Month",IF(D258="Contract 3","60 Month",IF(D258="Probation","63 Month","")))))</f>
        <v>60 Month</v>
      </c>
      <c r="F258" s="9" t="str">
        <f>VLOOKUP(A258, 'Data Employee'!$A$2:$U$1000, 19, FALSE)</f>
        <v>Economics</v>
      </c>
      <c r="G258" s="9" t="str">
        <f>VLOOKUP(A258, 'Data Employee'!$A$2:$U$1000, 20, FALSE)</f>
        <v>Commercial &amp; Marketing</v>
      </c>
      <c r="H258" s="9" t="str">
        <f>INDEX('Data Employee'!$W$2:$W$1000, MATCH(A258, 'Data Employee'!$A$2:$A$1000, 0))</f>
        <v>Sales Executive</v>
      </c>
      <c r="I258" t="str">
        <f>INDEX('Data Employee'!$V$2:$V$1000,MATCH(A258,'Data Employee'!$A$2:$A$1000,0))</f>
        <v>Officer / Executive</v>
      </c>
      <c r="J258" s="18">
        <f>INDEX('Data Employee'!$L$2:$L$1000, MATCH(A258, 'Data Employee'!$A$2:$A$1000, 0))</f>
        <v>44960</v>
      </c>
      <c r="K258" s="19">
        <f>IFERROR(IF(INDEX('Data Employee'!M:M,MATCH(A258,'Data Employee'!A:A,0))="","",INDEX('Data Employee'!M:M,MATCH(A258,'Data Employee'!A:A,0))),"")</f>
        <v>46786</v>
      </c>
      <c r="L258" s="11" t="str">
        <f t="shared" ref="L258:L307" ca="1" si="13">IF(OR(K258="",K258&lt;TODAY()),IF(K258="","","Expired"),DATEDIF(TODAY(),K258,"D")&amp;" Days")</f>
        <v>550 Days</v>
      </c>
      <c r="M258" s="11" t="str">
        <f t="shared" ref="M258:M307" ca="1" si="14">IF(OR(K258="", D258="Permanent", NOT(ISNUMBER(K258))), "Active", IF(K258&lt;TODAY(), "Expired", IF(K258-TODAY()&lt;=30, "Urgent Renewal", IF(K258-TODAY()&lt;=60, "Review Needed", "Active"))))</f>
        <v>Active</v>
      </c>
    </row>
    <row r="259" spans="1:13" x14ac:dyDescent="0.35">
      <c r="A259">
        <v>202044136</v>
      </c>
      <c r="B259" t="str">
        <f>INDEX('Data Employee'!$B$2:$B$1000, MATCH(A259, 'Data Employee'!$A$2:$A$1000, 0))</f>
        <v>Dadan Hidayat</v>
      </c>
      <c r="C259" t="str">
        <f>INDEX('Data Employee'!$G$2:$G$1000,MATCH(A259,'Data Employee'!$A$2:$A$1000,0))</f>
        <v>Male</v>
      </c>
      <c r="D259" s="9" t="str" cm="1">
        <f t="array" aca="1" ref="D259" ca="1">IF(J259="","",_xlfn.IFS(DATEDIF(J259,TODAY(),"M")&lt;12,"Contract 1",DATEDIF(J259,TODAY(),"M")&lt;36,"Contract 2",DATEDIF(J259,TODAY(),"M")&lt;60,"Contract 3",DATEDIF(J259,TODAY(),"M")&lt;63,"Probation",TRUE,"Permanent"))</f>
        <v>Contract 2</v>
      </c>
      <c r="E259" s="9" t="str">
        <f t="shared" ca="1" si="12"/>
        <v>24 Month</v>
      </c>
      <c r="F259" s="9" t="str">
        <f>VLOOKUP(A259, 'Data Employee'!$A$2:$U$1000, 19, FALSE)</f>
        <v>Economics</v>
      </c>
      <c r="G259" s="9" t="str">
        <f>VLOOKUP(A259, 'Data Employee'!$A$2:$U$1000, 20, FALSE)</f>
        <v>Commercial &amp; Marketing</v>
      </c>
      <c r="H259" s="9" t="str">
        <f>INDEX('Data Employee'!$W$2:$W$1000, MATCH(A259, 'Data Employee'!$A$2:$A$1000, 0))</f>
        <v>Sales Executive</v>
      </c>
      <c r="I259" t="str">
        <f>INDEX('Data Employee'!$V$2:$V$1000,MATCH(A259,'Data Employee'!$A$2:$A$1000,0))</f>
        <v>Officer / Executive</v>
      </c>
      <c r="J259" s="18">
        <f>INDEX('Data Employee'!$L$2:$L$1000, MATCH(A259, 'Data Employee'!$A$2:$A$1000, 0))</f>
        <v>45597</v>
      </c>
      <c r="K259" s="19">
        <f>IFERROR(IF(INDEX('Data Employee'!M:M,MATCH(A259,'Data Employee'!A:A,0))="","",INDEX('Data Employee'!M:M,MATCH(A259,'Data Employee'!A:A,0))),"")</f>
        <v>46327</v>
      </c>
      <c r="L259" s="11" t="str">
        <f t="shared" ca="1" si="13"/>
        <v>91 Days</v>
      </c>
      <c r="M259" s="11" t="str">
        <f t="shared" ca="1" si="14"/>
        <v>Active</v>
      </c>
    </row>
    <row r="260" spans="1:13" x14ac:dyDescent="0.35">
      <c r="A260">
        <v>202345127</v>
      </c>
      <c r="B260" t="str">
        <f>INDEX('Data Employee'!$B$2:$B$1000, MATCH(A260, 'Data Employee'!$A$2:$A$1000, 0))</f>
        <v>Dewi Kusuma</v>
      </c>
      <c r="C260" t="str">
        <f>INDEX('Data Employee'!$G$2:$G$1000,MATCH(A260,'Data Employee'!$A$2:$A$1000,0))</f>
        <v>Female</v>
      </c>
      <c r="D260" s="9" t="str" cm="1">
        <f t="array" aca="1" ref="D260" ca="1">IF(J260="","",_xlfn.IFS(DATEDIF(J260,TODAY(),"M")&lt;12,"Contract 1",DATEDIF(J260,TODAY(),"M")&lt;36,"Contract 2",DATEDIF(J260,TODAY(),"M")&lt;60,"Contract 3",DATEDIF(J260,TODAY(),"M")&lt;63,"Probation",TRUE,"Permanent"))</f>
        <v>Contract 2</v>
      </c>
      <c r="E260" s="9" t="str">
        <f t="shared" ca="1" si="12"/>
        <v>24 Month</v>
      </c>
      <c r="F260" s="9" t="str">
        <f>VLOOKUP(A260, 'Data Employee'!$A$2:$U$1000, 19, FALSE)</f>
        <v>Social Sciences (IPS)</v>
      </c>
      <c r="G260" s="9" t="str">
        <f>VLOOKUP(A260, 'Data Employee'!$A$2:$U$1000, 20, FALSE)</f>
        <v>Commercial &amp; Marketing</v>
      </c>
      <c r="H260" s="9" t="str">
        <f>INDEX('Data Employee'!$W$2:$W$1000, MATCH(A260, 'Data Employee'!$A$2:$A$1000, 0))</f>
        <v>Sales Administration</v>
      </c>
      <c r="I260" t="str">
        <f>INDEX('Data Employee'!$V$2:$V$1000,MATCH(A260,'Data Employee'!$A$2:$A$1000,0))</f>
        <v>Administrator</v>
      </c>
      <c r="J260" s="18">
        <f>INDEX('Data Employee'!$L$2:$L$1000, MATCH(A260, 'Data Employee'!$A$2:$A$1000, 0))</f>
        <v>45858</v>
      </c>
      <c r="K260" s="19">
        <f>IFERROR(IF(INDEX('Data Employee'!M:M,MATCH(A260,'Data Employee'!A:A,0))="","",INDEX('Data Employee'!M:M,MATCH(A260,'Data Employee'!A:A,0))),"")</f>
        <v>46588</v>
      </c>
      <c r="L260" s="11" t="str">
        <f t="shared" ca="1" si="13"/>
        <v>352 Days</v>
      </c>
      <c r="M260" s="11" t="str">
        <f t="shared" ca="1" si="14"/>
        <v>Active</v>
      </c>
    </row>
    <row r="261" spans="1:13" x14ac:dyDescent="0.35">
      <c r="A261">
        <v>201742972</v>
      </c>
      <c r="B261" t="str">
        <f>INDEX('Data Employee'!$B$2:$B$1000, MATCH(A261, 'Data Employee'!$A$2:$A$1000, 0))</f>
        <v>Farah Lestari</v>
      </c>
      <c r="C261" t="str">
        <f>INDEX('Data Employee'!$G$2:$G$1000,MATCH(A261,'Data Employee'!$A$2:$A$1000,0))</f>
        <v>Female</v>
      </c>
      <c r="D261" s="9" t="str" cm="1">
        <f t="array" aca="1" ref="D261" ca="1">IF(J261="","",_xlfn.IFS(DATEDIF(J261,TODAY(),"M")&lt;12,"Contract 1",DATEDIF(J261,TODAY(),"M")&lt;36,"Contract 2",DATEDIF(J261,TODAY(),"M")&lt;60,"Contract 3",DATEDIF(J261,TODAY(),"M")&lt;63,"Probation",TRUE,"Permanent"))</f>
        <v>Contract 1</v>
      </c>
      <c r="E261" s="9" t="str">
        <f t="shared" ca="1" si="12"/>
        <v>12 Month</v>
      </c>
      <c r="F261" s="9" t="str">
        <f>VLOOKUP(A261, 'Data Employee'!$A$2:$U$1000, 19, FALSE)</f>
        <v>Marketing</v>
      </c>
      <c r="G261" s="9" t="str">
        <f>VLOOKUP(A261, 'Data Employee'!$A$2:$U$1000, 20, FALSE)</f>
        <v>Commercial &amp; Marketing</v>
      </c>
      <c r="H261" s="9" t="str">
        <f>INDEX('Data Employee'!$W$2:$W$1000, MATCH(A261, 'Data Employee'!$A$2:$A$1000, 0))</f>
        <v>Sales Administration</v>
      </c>
      <c r="I261" t="str">
        <f>INDEX('Data Employee'!$V$2:$V$1000,MATCH(A261,'Data Employee'!$A$2:$A$1000,0))</f>
        <v>Administrator</v>
      </c>
      <c r="J261" s="18">
        <f>INDEX('Data Employee'!$L$2:$L$1000, MATCH(A261, 'Data Employee'!$A$2:$A$1000, 0))</f>
        <v>46188</v>
      </c>
      <c r="K261" s="19">
        <f>IFERROR(IF(INDEX('Data Employee'!M:M,MATCH(A261,'Data Employee'!A:A,0))="","",INDEX('Data Employee'!M:M,MATCH(A261,'Data Employee'!A:A,0))),"")</f>
        <v>48014</v>
      </c>
      <c r="L261" s="11" t="str">
        <f t="shared" ca="1" si="13"/>
        <v>1778 Days</v>
      </c>
      <c r="M261" s="11" t="str">
        <f t="shared" ca="1" si="14"/>
        <v>Active</v>
      </c>
    </row>
    <row r="262" spans="1:13" x14ac:dyDescent="0.35">
      <c r="A262">
        <v>202144523</v>
      </c>
      <c r="B262" t="str">
        <f>INDEX('Data Employee'!$B$2:$B$1000, MATCH(A262, 'Data Employee'!$A$2:$A$1000, 0))</f>
        <v>Rina Santoso</v>
      </c>
      <c r="C262" t="str">
        <f>INDEX('Data Employee'!$G$2:$G$1000,MATCH(A262,'Data Employee'!$A$2:$A$1000,0))</f>
        <v>Female</v>
      </c>
      <c r="D262" s="9" t="str" cm="1">
        <f t="array" aca="1" ref="D262" ca="1">IF(J262="","",_xlfn.IFS(DATEDIF(J262,TODAY(),"M")&lt;12,"Contract 1",DATEDIF(J262,TODAY(),"M")&lt;36,"Contract 2",DATEDIF(J262,TODAY(),"M")&lt;60,"Contract 3",DATEDIF(J262,TODAY(),"M")&lt;63,"Probation",TRUE,"Permanent"))</f>
        <v>Contract 1</v>
      </c>
      <c r="E262" s="9" t="str">
        <f t="shared" ca="1" si="12"/>
        <v>12 Month</v>
      </c>
      <c r="F262" s="9" t="str">
        <f>VLOOKUP(A262, 'Data Employee'!$A$2:$U$1000, 19, FALSE)</f>
        <v>Marketing</v>
      </c>
      <c r="G262" s="9" t="str">
        <f>VLOOKUP(A262, 'Data Employee'!$A$2:$U$1000, 20, FALSE)</f>
        <v>Commercial &amp; Marketing</v>
      </c>
      <c r="H262" s="9" t="str">
        <f>INDEX('Data Employee'!$W$2:$W$1000, MATCH(A262, 'Data Employee'!$A$2:$A$1000, 0))</f>
        <v>Data Entry Intern</v>
      </c>
      <c r="I262" t="str">
        <f>INDEX('Data Employee'!$V$2:$V$1000,MATCH(A262,'Data Employee'!$A$2:$A$1000,0))</f>
        <v>Internship</v>
      </c>
      <c r="J262" s="18">
        <f>INDEX('Data Employee'!$L$2:$L$1000, MATCH(A262, 'Data Employee'!$A$2:$A$1000, 0))</f>
        <v>45984</v>
      </c>
      <c r="K262" s="19">
        <f>IFERROR(IF(INDEX('Data Employee'!M:M,MATCH(A262,'Data Employee'!A:A,0))="","",INDEX('Data Employee'!M:M,MATCH(A262,'Data Employee'!A:A,0))),"")</f>
        <v>46349</v>
      </c>
      <c r="L262" s="11" t="str">
        <f t="shared" ca="1" si="13"/>
        <v>113 Days</v>
      </c>
      <c r="M262" s="11" t="str">
        <f t="shared" ca="1" si="14"/>
        <v>Active</v>
      </c>
    </row>
    <row r="263" spans="1:13" x14ac:dyDescent="0.35">
      <c r="A263">
        <v>202144251</v>
      </c>
      <c r="B263" t="str">
        <f>INDEX('Data Employee'!$B$2:$B$1000, MATCH(A263, 'Data Employee'!$A$2:$A$1000, 0))</f>
        <v>Ayu Lestari</v>
      </c>
      <c r="C263" t="str">
        <f>INDEX('Data Employee'!$G$2:$G$1000,MATCH(A263,'Data Employee'!$A$2:$A$1000,0))</f>
        <v>Female</v>
      </c>
      <c r="D263" s="9" t="str" cm="1">
        <f t="array" aca="1" ref="D263" ca="1">IF(J263="","",_xlfn.IFS(DATEDIF(J263,TODAY(),"M")&lt;12,"Contract 1",DATEDIF(J263,TODAY(),"M")&lt;36,"Contract 2",DATEDIF(J263,TODAY(),"M")&lt;60,"Contract 3",DATEDIF(J263,TODAY(),"M")&lt;63,"Probation",TRUE,"Permanent"))</f>
        <v>Contract 3</v>
      </c>
      <c r="E263" s="9" t="str">
        <f t="shared" ca="1" si="12"/>
        <v>60 Month</v>
      </c>
      <c r="F263" s="9" t="str">
        <f>VLOOKUP(A263, 'Data Employee'!$A$2:$U$1000, 19, FALSE)</f>
        <v>Economics</v>
      </c>
      <c r="G263" s="9" t="str">
        <f>VLOOKUP(A263, 'Data Employee'!$A$2:$U$1000, 20, FALSE)</f>
        <v>Management</v>
      </c>
      <c r="H263" s="9" t="str">
        <f>INDEX('Data Employee'!$W$2:$W$1000, MATCH(A263, 'Data Employee'!$A$2:$A$1000, 0))</f>
        <v>Tax Officer</v>
      </c>
      <c r="I263" t="str">
        <f>INDEX('Data Employee'!$V$2:$V$1000,MATCH(A263,'Data Employee'!$A$2:$A$1000,0))</f>
        <v>Officer / Executive</v>
      </c>
      <c r="J263" s="18">
        <f>INDEX('Data Employee'!$L$2:$L$1000, MATCH(A263, 'Data Employee'!$A$2:$A$1000, 0))</f>
        <v>44616</v>
      </c>
      <c r="K263" s="19" t="str">
        <f>IFERROR(IF(INDEX('Data Employee'!M:M,MATCH(A263,'Data Employee'!A:A,0))="","",INDEX('Data Employee'!M:M,MATCH(A263,'Data Employee'!A:A,0))),"")</f>
        <v/>
      </c>
      <c r="L263" s="11" t="str">
        <f t="shared" ca="1" si="13"/>
        <v/>
      </c>
      <c r="M263" s="11" t="str">
        <f t="shared" ca="1" si="14"/>
        <v>Active</v>
      </c>
    </row>
    <row r="264" spans="1:13" x14ac:dyDescent="0.35">
      <c r="A264">
        <v>202344949</v>
      </c>
      <c r="B264" t="str">
        <f>INDEX('Data Employee'!$B$2:$B$1000, MATCH(A264, 'Data Employee'!$A$2:$A$1000, 0))</f>
        <v>Rina Saputra</v>
      </c>
      <c r="C264" t="str">
        <f>INDEX('Data Employee'!$G$2:$G$1000,MATCH(A264,'Data Employee'!$A$2:$A$1000,0))</f>
        <v>Female</v>
      </c>
      <c r="D264" s="9" t="str" cm="1">
        <f t="array" aca="1" ref="D264" ca="1">IF(J264="","",_xlfn.IFS(DATEDIF(J264,TODAY(),"M")&lt;12,"Contract 1",DATEDIF(J264,TODAY(),"M")&lt;36,"Contract 2",DATEDIF(J264,TODAY(),"M")&lt;60,"Contract 3",DATEDIF(J264,TODAY(),"M")&lt;63,"Probation",TRUE,"Permanent"))</f>
        <v>Contract 3</v>
      </c>
      <c r="E264" s="9" t="str">
        <f t="shared" ca="1" si="12"/>
        <v>60 Month</v>
      </c>
      <c r="F264" s="9" t="str">
        <f>VLOOKUP(A264, 'Data Employee'!$A$2:$U$1000, 19, FALSE)</f>
        <v>Accounting</v>
      </c>
      <c r="G264" s="9" t="str">
        <f>VLOOKUP(A264, 'Data Employee'!$A$2:$U$1000, 20, FALSE)</f>
        <v>Management</v>
      </c>
      <c r="H264" s="9" t="str">
        <f>INDEX('Data Employee'!$W$2:$W$1000, MATCH(A264, 'Data Employee'!$A$2:$A$1000, 0))</f>
        <v>Tax Staff</v>
      </c>
      <c r="I264" t="str">
        <f>INDEX('Data Employee'!$V$2:$V$1000,MATCH(A264,'Data Employee'!$A$2:$A$1000,0))</f>
        <v>Staff</v>
      </c>
      <c r="J264" s="18">
        <f>INDEX('Data Employee'!$L$2:$L$1000, MATCH(A264, 'Data Employee'!$A$2:$A$1000, 0))</f>
        <v>44949</v>
      </c>
      <c r="K264" s="19">
        <f>IFERROR(IF(INDEX('Data Employee'!M:M,MATCH(A264,'Data Employee'!A:A,0))="","",INDEX('Data Employee'!M:M,MATCH(A264,'Data Employee'!A:A,0))),"")</f>
        <v>46775</v>
      </c>
      <c r="L264" s="11" t="str">
        <f t="shared" ca="1" si="13"/>
        <v>539 Days</v>
      </c>
      <c r="M264" s="11" t="str">
        <f t="shared" ca="1" si="14"/>
        <v>Active</v>
      </c>
    </row>
    <row r="265" spans="1:13" x14ac:dyDescent="0.35">
      <c r="A265">
        <v>202044178</v>
      </c>
      <c r="B265" t="str">
        <f>INDEX('Data Employee'!$B$2:$B$1000, MATCH(A265, 'Data Employee'!$A$2:$A$1000, 0))</f>
        <v>Rina Utami</v>
      </c>
      <c r="C265" t="str">
        <f>INDEX('Data Employee'!$G$2:$G$1000,MATCH(A265,'Data Employee'!$A$2:$A$1000,0))</f>
        <v>Female</v>
      </c>
      <c r="D265" s="9" t="str" cm="1">
        <f t="array" aca="1" ref="D265" ca="1">IF(J265="","",_xlfn.IFS(DATEDIF(J265,TODAY(),"M")&lt;12,"Contract 1",DATEDIF(J265,TODAY(),"M")&lt;36,"Contract 2",DATEDIF(J265,TODAY(),"M")&lt;60,"Contract 3",DATEDIF(J265,TODAY(),"M")&lt;63,"Probation",TRUE,"Permanent"))</f>
        <v>Permanent</v>
      </c>
      <c r="E265" s="9" t="str">
        <f t="shared" ca="1" si="12"/>
        <v>Permanent</v>
      </c>
      <c r="F265" s="9" t="str">
        <f>VLOOKUP(A265, 'Data Employee'!$A$2:$U$1000, 19, FALSE)</f>
        <v>Accounting</v>
      </c>
      <c r="G265" s="9" t="str">
        <f>VLOOKUP(A265, 'Data Employee'!$A$2:$U$1000, 20, FALSE)</f>
        <v>Management</v>
      </c>
      <c r="H265" s="9" t="str">
        <f>INDEX('Data Employee'!$W$2:$W$1000, MATCH(A265, 'Data Employee'!$A$2:$A$1000, 0))</f>
        <v>Tax Supervisor</v>
      </c>
      <c r="I265" t="str">
        <f>INDEX('Data Employee'!$V$2:$V$1000,MATCH(A265,'Data Employee'!$A$2:$A$1000,0))</f>
        <v>Supervisor</v>
      </c>
      <c r="J265" s="18">
        <f>INDEX('Data Employee'!$L$2:$L$1000, MATCH(A265, 'Data Employee'!$A$2:$A$1000, 0))</f>
        <v>43082</v>
      </c>
      <c r="K265" s="19" t="str">
        <f>IFERROR(IF(INDEX('Data Employee'!M:M,MATCH(A265,'Data Employee'!A:A,0))="","",INDEX('Data Employee'!M:M,MATCH(A265,'Data Employee'!A:A,0))),"")</f>
        <v/>
      </c>
      <c r="L265" s="11" t="str">
        <f t="shared" ca="1" si="13"/>
        <v/>
      </c>
      <c r="M265" s="11" t="str">
        <f t="shared" ca="1" si="14"/>
        <v>Active</v>
      </c>
    </row>
    <row r="266" spans="1:13" x14ac:dyDescent="0.35">
      <c r="A266">
        <v>201843377</v>
      </c>
      <c r="B266" t="str">
        <f>INDEX('Data Employee'!$B$2:$B$1000, MATCH(A266, 'Data Employee'!$A$2:$A$1000, 0))</f>
        <v>Rudi Lestari</v>
      </c>
      <c r="C266" t="str">
        <f>INDEX('Data Employee'!$G$2:$G$1000,MATCH(A266,'Data Employee'!$A$2:$A$1000,0))</f>
        <v>Male</v>
      </c>
      <c r="D266" s="9" t="str" cm="1">
        <f t="array" aca="1" ref="D266" ca="1">IF(J266="","",_xlfn.IFS(DATEDIF(J266,TODAY(),"M")&lt;12,"Contract 1",DATEDIF(J266,TODAY(),"M")&lt;36,"Contract 2",DATEDIF(J266,TODAY(),"M")&lt;60,"Contract 3",DATEDIF(J266,TODAY(),"M")&lt;63,"Probation",TRUE,"Permanent"))</f>
        <v>Contract 2</v>
      </c>
      <c r="E266" s="9" t="str">
        <f t="shared" ca="1" si="12"/>
        <v>24 Month</v>
      </c>
      <c r="F266" s="9" t="str">
        <f>VLOOKUP(A266, 'Data Employee'!$A$2:$U$1000, 19, FALSE)</f>
        <v>Automotive Engineering</v>
      </c>
      <c r="G266" s="9" t="str">
        <f>VLOOKUP(A266, 'Data Employee'!$A$2:$U$1000, 20, FALSE)</f>
        <v>Manufacturing</v>
      </c>
      <c r="H266" s="9" t="str">
        <f>INDEX('Data Employee'!$W$2:$W$1000, MATCH(A266, 'Data Employee'!$A$2:$A$1000, 0))</f>
        <v>Quality Control In-Coming</v>
      </c>
      <c r="I266" t="str">
        <f>INDEX('Data Employee'!$V$2:$V$1000,MATCH(A266,'Data Employee'!$A$2:$A$1000,0))</f>
        <v>Operator</v>
      </c>
      <c r="J266" s="18">
        <f>INDEX('Data Employee'!$L$2:$L$1000, MATCH(A266, 'Data Employee'!$A$2:$A$1000, 0))</f>
        <v>45203</v>
      </c>
      <c r="K266" s="19">
        <f>IFERROR(IF(INDEX('Data Employee'!M:M,MATCH(A266,'Data Employee'!A:A,0))="","",INDEX('Data Employee'!M:M,MATCH(A266,'Data Employee'!A:A,0))),"")</f>
        <v>46299</v>
      </c>
      <c r="L266" s="11" t="str">
        <f t="shared" ca="1" si="13"/>
        <v>63 Days</v>
      </c>
      <c r="M266" s="11" t="str">
        <f t="shared" ca="1" si="14"/>
        <v>Active</v>
      </c>
    </row>
    <row r="267" spans="1:13" x14ac:dyDescent="0.35">
      <c r="A267">
        <v>202545977</v>
      </c>
      <c r="B267" t="str">
        <f>INDEX('Data Employee'!$B$2:$B$1000, MATCH(A267, 'Data Employee'!$A$2:$A$1000, 0))</f>
        <v>Yoga Permata</v>
      </c>
      <c r="C267" t="str">
        <f>INDEX('Data Employee'!$G$2:$G$1000,MATCH(A267,'Data Employee'!$A$2:$A$1000,0))</f>
        <v>Male</v>
      </c>
      <c r="D267" s="9" t="str" cm="1">
        <f t="array" aca="1" ref="D267" ca="1">IF(J267="","",_xlfn.IFS(DATEDIF(J267,TODAY(),"M")&lt;12,"Contract 1",DATEDIF(J267,TODAY(),"M")&lt;36,"Contract 2",DATEDIF(J267,TODAY(),"M")&lt;60,"Contract 3",DATEDIF(J267,TODAY(),"M")&lt;63,"Probation",TRUE,"Permanent"))</f>
        <v>Contract 1</v>
      </c>
      <c r="E267" s="9" t="str">
        <f t="shared" ca="1" si="12"/>
        <v>12 Month</v>
      </c>
      <c r="F267" s="9" t="str">
        <f>VLOOKUP(A267, 'Data Employee'!$A$2:$U$1000, 19, FALSE)</f>
        <v>Automotive Engineering</v>
      </c>
      <c r="G267" s="9" t="str">
        <f>VLOOKUP(A267, 'Data Employee'!$A$2:$U$1000, 20, FALSE)</f>
        <v>Manufacturing</v>
      </c>
      <c r="H267" s="9" t="str">
        <f>INDEX('Data Employee'!$W$2:$W$1000, MATCH(A267, 'Data Employee'!$A$2:$A$1000, 0))</f>
        <v>Production Operator</v>
      </c>
      <c r="I267" t="str">
        <f>INDEX('Data Employee'!$V$2:$V$1000,MATCH(A267,'Data Employee'!$A$2:$A$1000,0))</f>
        <v>Operator</v>
      </c>
      <c r="J267" s="18">
        <f>INDEX('Data Employee'!$L$2:$L$1000, MATCH(A267, 'Data Employee'!$A$2:$A$1000, 0))</f>
        <v>45977</v>
      </c>
      <c r="K267" s="19">
        <f>IFERROR(IF(INDEX('Data Employee'!M:M,MATCH(A267,'Data Employee'!A:A,0))="","",INDEX('Data Employee'!M:M,MATCH(A267,'Data Employee'!A:A,0))),"")</f>
        <v>47803</v>
      </c>
      <c r="L267" s="11" t="str">
        <f t="shared" ca="1" si="13"/>
        <v>1567 Days</v>
      </c>
      <c r="M267" s="11" t="str">
        <f t="shared" ca="1" si="14"/>
        <v>Active</v>
      </c>
    </row>
    <row r="268" spans="1:13" x14ac:dyDescent="0.35">
      <c r="A268">
        <v>202043916</v>
      </c>
      <c r="B268" t="str">
        <f>INDEX('Data Employee'!$B$2:$B$1000, MATCH(A268, 'Data Employee'!$A$2:$A$1000, 0))</f>
        <v>Dedi Kusuma</v>
      </c>
      <c r="C268" t="str">
        <f>INDEX('Data Employee'!$G$2:$G$1000,MATCH(A268,'Data Employee'!$A$2:$A$1000,0))</f>
        <v>Male</v>
      </c>
      <c r="D268" s="9" t="str" cm="1">
        <f t="array" aca="1" ref="D268" ca="1">IF(J268="","",_xlfn.IFS(DATEDIF(J268,TODAY(),"M")&lt;12,"Contract 1",DATEDIF(J268,TODAY(),"M")&lt;36,"Contract 2",DATEDIF(J268,TODAY(),"M")&lt;60,"Contract 3",DATEDIF(J268,TODAY(),"M")&lt;63,"Probation",TRUE,"Permanent"))</f>
        <v>Permanent</v>
      </c>
      <c r="E268" s="9" t="str">
        <f t="shared" ca="1" si="12"/>
        <v>Permanent</v>
      </c>
      <c r="F268" s="9" t="str">
        <f>VLOOKUP(A268, 'Data Employee'!$A$2:$U$1000, 19, FALSE)</f>
        <v>Mechanical Engineering</v>
      </c>
      <c r="G268" s="9" t="str">
        <f>VLOOKUP(A268, 'Data Employee'!$A$2:$U$1000, 20, FALSE)</f>
        <v>Supply Chain Management</v>
      </c>
      <c r="H268" s="9" t="str">
        <f>INDEX('Data Employee'!$W$2:$W$1000, MATCH(A268, 'Data Employee'!$A$2:$A$1000, 0))</f>
        <v>Warehouse Manager</v>
      </c>
      <c r="I268" t="str">
        <f>INDEX('Data Employee'!$V$2:$V$1000,MATCH(A268,'Data Employee'!$A$2:$A$1000,0))</f>
        <v>Manager</v>
      </c>
      <c r="J268" s="18">
        <f>INDEX('Data Employee'!$L$2:$L$1000, MATCH(A268, 'Data Employee'!$A$2:$A$1000, 0))</f>
        <v>42455</v>
      </c>
      <c r="K268" s="19" t="str">
        <f>IFERROR(IF(INDEX('Data Employee'!M:M,MATCH(A268,'Data Employee'!A:A,0))="","",INDEX('Data Employee'!M:M,MATCH(A268,'Data Employee'!A:A,0))),"")</f>
        <v/>
      </c>
      <c r="L268" s="11" t="str">
        <f t="shared" ca="1" si="13"/>
        <v/>
      </c>
      <c r="M268" s="11" t="str">
        <f t="shared" ca="1" si="14"/>
        <v>Active</v>
      </c>
    </row>
    <row r="269" spans="1:13" x14ac:dyDescent="0.35">
      <c r="A269">
        <v>201843195</v>
      </c>
      <c r="B269" t="str">
        <f>INDEX('Data Employee'!$B$2:$B$1000, MATCH(A269, 'Data Employee'!$A$2:$A$1000, 0))</f>
        <v>Dewi Wijaya</v>
      </c>
      <c r="C269" t="str">
        <f>INDEX('Data Employee'!$G$2:$G$1000,MATCH(A269,'Data Employee'!$A$2:$A$1000,0))</f>
        <v>Female</v>
      </c>
      <c r="D269" s="9" t="str" cm="1">
        <f t="array" aca="1" ref="D269" ca="1">IF(J269="","",_xlfn.IFS(DATEDIF(J269,TODAY(),"M")&lt;12,"Contract 1",DATEDIF(J269,TODAY(),"M")&lt;36,"Contract 2",DATEDIF(J269,TODAY(),"M")&lt;60,"Contract 3",DATEDIF(J269,TODAY(),"M")&lt;63,"Probation",TRUE,"Permanent"))</f>
        <v>Contract 2</v>
      </c>
      <c r="E269" s="9" t="str">
        <f t="shared" ca="1" si="12"/>
        <v>24 Month</v>
      </c>
      <c r="F269" s="9" t="str">
        <f>VLOOKUP(A269, 'Data Employee'!$A$2:$U$1000, 19, FALSE)</f>
        <v>Economics</v>
      </c>
      <c r="G269" s="9" t="str">
        <f>VLOOKUP(A269, 'Data Employee'!$A$2:$U$1000, 20, FALSE)</f>
        <v>Management</v>
      </c>
      <c r="H269" s="9" t="str">
        <f>INDEX('Data Employee'!$W$2:$W$1000, MATCH(A269, 'Data Employee'!$A$2:$A$1000, 0))</f>
        <v>Tax Administration Staff</v>
      </c>
      <c r="I269" t="str">
        <f>INDEX('Data Employee'!$V$2:$V$1000,MATCH(A269,'Data Employee'!$A$2:$A$1000,0))</f>
        <v>Administrator</v>
      </c>
      <c r="J269" s="18">
        <f>INDEX('Data Employee'!$L$2:$L$1000, MATCH(A269, 'Data Employee'!$A$2:$A$1000, 0))</f>
        <v>45752</v>
      </c>
      <c r="K269" s="19">
        <f>IFERROR(IF(INDEX('Data Employee'!M:M,MATCH(A269,'Data Employee'!A:A,0))="","",INDEX('Data Employee'!M:M,MATCH(A269,'Data Employee'!A:A,0))),"")</f>
        <v>47578</v>
      </c>
      <c r="L269" s="11" t="str">
        <f t="shared" ca="1" si="13"/>
        <v>1342 Days</v>
      </c>
      <c r="M269" s="11" t="str">
        <f t="shared" ca="1" si="14"/>
        <v>Active</v>
      </c>
    </row>
    <row r="270" spans="1:13" x14ac:dyDescent="0.35">
      <c r="A270">
        <v>201743005</v>
      </c>
      <c r="B270" t="str">
        <f>INDEX('Data Employee'!$B$2:$B$1000, MATCH(A270, 'Data Employee'!$A$2:$A$1000, 0))</f>
        <v>Yusuf Ramadhan</v>
      </c>
      <c r="C270" t="str">
        <f>INDEX('Data Employee'!$G$2:$G$1000,MATCH(A270,'Data Employee'!$A$2:$A$1000,0))</f>
        <v>Male</v>
      </c>
      <c r="D270" s="9" t="str" cm="1">
        <f t="array" aca="1" ref="D270" ca="1">IF(J270="","",_xlfn.IFS(DATEDIF(J270,TODAY(),"M")&lt;12,"Contract 1",DATEDIF(J270,TODAY(),"M")&lt;36,"Contract 2",DATEDIF(J270,TODAY(),"M")&lt;60,"Contract 3",DATEDIF(J270,TODAY(),"M")&lt;63,"Probation",TRUE,"Permanent"))</f>
        <v>Contract 1</v>
      </c>
      <c r="E270" s="9" t="str">
        <f t="shared" ca="1" si="12"/>
        <v>12 Month</v>
      </c>
      <c r="F270" s="9" t="str">
        <f>VLOOKUP(A270, 'Data Employee'!$A$2:$U$1000, 19, FALSE)</f>
        <v>Software Engineering (RPL)</v>
      </c>
      <c r="G270" s="9" t="str">
        <f>VLOOKUP(A270, 'Data Employee'!$A$2:$U$1000, 20, FALSE)</f>
        <v>Supply Chain Management</v>
      </c>
      <c r="H270" s="9" t="str">
        <f>INDEX('Data Employee'!$W$2:$W$1000, MATCH(A270, 'Data Employee'!$A$2:$A$1000, 0))</f>
        <v>Warehouse Staff</v>
      </c>
      <c r="I270" t="str">
        <f>INDEX('Data Employee'!$V$2:$V$1000,MATCH(A270,'Data Employee'!$A$2:$A$1000,0))</f>
        <v>Staff</v>
      </c>
      <c r="J270" s="18">
        <f>INDEX('Data Employee'!$L$2:$L$1000, MATCH(A270, 'Data Employee'!$A$2:$A$1000, 0))</f>
        <v>45927</v>
      </c>
      <c r="K270" s="19">
        <f>IFERROR(IF(INDEX('Data Employee'!M:M,MATCH(A270,'Data Employee'!A:A,0))="","",INDEX('Data Employee'!M:M,MATCH(A270,'Data Employee'!A:A,0))),"")</f>
        <v>46292</v>
      </c>
      <c r="L270" s="11" t="str">
        <f t="shared" ca="1" si="13"/>
        <v>56 Days</v>
      </c>
      <c r="M270" s="11" t="str">
        <f t="shared" ca="1" si="14"/>
        <v>Review Needed</v>
      </c>
    </row>
    <row r="271" spans="1:13" x14ac:dyDescent="0.35">
      <c r="A271">
        <v>202244615</v>
      </c>
      <c r="B271" t="str">
        <f>INDEX('Data Employee'!$B$2:$B$1000, MATCH(A271, 'Data Employee'!$A$2:$A$1000, 0))</f>
        <v>Dewi Maulana</v>
      </c>
      <c r="C271" t="str">
        <f>INDEX('Data Employee'!$G$2:$G$1000,MATCH(A271,'Data Employee'!$A$2:$A$1000,0))</f>
        <v>Female</v>
      </c>
      <c r="D271" s="9" t="str" cm="1">
        <f t="array" aca="1" ref="D271" ca="1">IF(J271="","",_xlfn.IFS(DATEDIF(J271,TODAY(),"M")&lt;12,"Contract 1",DATEDIF(J271,TODAY(),"M")&lt;36,"Contract 2",DATEDIF(J271,TODAY(),"M")&lt;60,"Contract 3",DATEDIF(J271,TODAY(),"M")&lt;63,"Probation",TRUE,"Permanent"))</f>
        <v>Contract 2</v>
      </c>
      <c r="E271" s="9" t="str">
        <f t="shared" ca="1" si="12"/>
        <v>24 Month</v>
      </c>
      <c r="F271" s="9" t="str">
        <f>VLOOKUP(A271, 'Data Employee'!$A$2:$U$1000, 19, FALSE)</f>
        <v>Information Systems</v>
      </c>
      <c r="G271" s="9" t="str">
        <f>VLOOKUP(A271, 'Data Employee'!$A$2:$U$1000, 20, FALSE)</f>
        <v>Management</v>
      </c>
      <c r="H271" s="9" t="str">
        <f>INDEX('Data Employee'!$W$2:$W$1000, MATCH(A271, 'Data Employee'!$A$2:$A$1000, 0))</f>
        <v>Tax Officer</v>
      </c>
      <c r="I271" t="str">
        <f>INDEX('Data Employee'!$V$2:$V$1000,MATCH(A271,'Data Employee'!$A$2:$A$1000,0))</f>
        <v>Officer / Executive</v>
      </c>
      <c r="J271" s="18">
        <f>INDEX('Data Employee'!$L$2:$L$1000, MATCH(A271, 'Data Employee'!$A$2:$A$1000, 0))</f>
        <v>45345</v>
      </c>
      <c r="K271" s="19">
        <f>IFERROR(IF(INDEX('Data Employee'!M:M,MATCH(A271,'Data Employee'!A:A,0))="","",INDEX('Data Employee'!M:M,MATCH(A271,'Data Employee'!A:A,0))),"")</f>
        <v>46441</v>
      </c>
      <c r="L271" s="11" t="str">
        <f t="shared" ca="1" si="13"/>
        <v>205 Days</v>
      </c>
      <c r="M271" s="11" t="str">
        <f t="shared" ca="1" si="14"/>
        <v>Active</v>
      </c>
    </row>
    <row r="272" spans="1:13" x14ac:dyDescent="0.35">
      <c r="A272">
        <v>201742816</v>
      </c>
      <c r="B272" t="str">
        <f>INDEX('Data Employee'!$B$2:$B$1000, MATCH(A272, 'Data Employee'!$A$2:$A$1000, 0))</f>
        <v>Budi Utami</v>
      </c>
      <c r="C272" t="str">
        <f>INDEX('Data Employee'!$G$2:$G$1000,MATCH(A272,'Data Employee'!$A$2:$A$1000,0))</f>
        <v>Male</v>
      </c>
      <c r="D272" s="9" t="str" cm="1">
        <f t="array" aca="1" ref="D272" ca="1">IF(J272="","",_xlfn.IFS(DATEDIF(J272,TODAY(),"M")&lt;12,"Contract 1",DATEDIF(J272,TODAY(),"M")&lt;36,"Contract 2",DATEDIF(J272,TODAY(),"M")&lt;60,"Contract 3",DATEDIF(J272,TODAY(),"M")&lt;63,"Probation",TRUE,"Permanent"))</f>
        <v>Contract 2</v>
      </c>
      <c r="E272" s="9" t="str">
        <f t="shared" ca="1" si="12"/>
        <v>24 Month</v>
      </c>
      <c r="F272" s="9" t="str">
        <f>VLOOKUP(A272, 'Data Employee'!$A$2:$U$1000, 19, FALSE)</f>
        <v>Automotive Engineering</v>
      </c>
      <c r="G272" s="9" t="str">
        <f>VLOOKUP(A272, 'Data Employee'!$A$2:$U$1000, 20, FALSE)</f>
        <v>Supply Chain Management</v>
      </c>
      <c r="H272" s="9" t="str">
        <f>INDEX('Data Employee'!$W$2:$W$1000, MATCH(A272, 'Data Employee'!$A$2:$A$1000, 0))</f>
        <v>Forklift Operator</v>
      </c>
      <c r="I272" t="str">
        <f>INDEX('Data Employee'!$V$2:$V$1000,MATCH(A272,'Data Employee'!$A$2:$A$1000,0))</f>
        <v>Operator</v>
      </c>
      <c r="J272" s="18">
        <f>INDEX('Data Employee'!$L$2:$L$1000, MATCH(A272, 'Data Employee'!$A$2:$A$1000, 0))</f>
        <v>45373</v>
      </c>
      <c r="K272" s="19">
        <f>IFERROR(IF(INDEX('Data Employee'!M:M,MATCH(A272,'Data Employee'!A:A,0))="","",INDEX('Data Employee'!M:M,MATCH(A272,'Data Employee'!A:A,0))),"")</f>
        <v>47199</v>
      </c>
      <c r="L272" s="11" t="str">
        <f t="shared" ca="1" si="13"/>
        <v>963 Days</v>
      </c>
      <c r="M272" s="11" t="str">
        <f t="shared" ca="1" si="14"/>
        <v>Active</v>
      </c>
    </row>
    <row r="273" spans="1:13" x14ac:dyDescent="0.35">
      <c r="A273">
        <v>201943679</v>
      </c>
      <c r="B273" t="str">
        <f>INDEX('Data Employee'!$B$2:$B$1000, MATCH(A273, 'Data Employee'!$A$2:$A$1000, 0))</f>
        <v>Rudi Utami</v>
      </c>
      <c r="C273" t="str">
        <f>INDEX('Data Employee'!$G$2:$G$1000,MATCH(A273,'Data Employee'!$A$2:$A$1000,0))</f>
        <v>Male</v>
      </c>
      <c r="D273" s="9" t="str" cm="1">
        <f t="array" aca="1" ref="D273" ca="1">IF(J273="","",_xlfn.IFS(DATEDIF(J273,TODAY(),"M")&lt;12,"Contract 1",DATEDIF(J273,TODAY(),"M")&lt;36,"Contract 2",DATEDIF(J273,TODAY(),"M")&lt;60,"Contract 3",DATEDIF(J273,TODAY(),"M")&lt;63,"Probation",TRUE,"Permanent"))</f>
        <v>Contract 2</v>
      </c>
      <c r="E273" s="9" t="str">
        <f t="shared" ca="1" si="12"/>
        <v>24 Month</v>
      </c>
      <c r="F273" s="9" t="str">
        <f>VLOOKUP(A273, 'Data Employee'!$A$2:$U$1000, 19, FALSE)</f>
        <v>Automotive Engineering</v>
      </c>
      <c r="G273" s="9" t="str">
        <f>VLOOKUP(A273, 'Data Employee'!$A$2:$U$1000, 20, FALSE)</f>
        <v>Supply Chain Management</v>
      </c>
      <c r="H273" s="9" t="str">
        <f>INDEX('Data Employee'!$W$2:$W$1000, MATCH(A273, 'Data Employee'!$A$2:$A$1000, 0))</f>
        <v>Forklift Operator</v>
      </c>
      <c r="I273" t="str">
        <f>INDEX('Data Employee'!$V$2:$V$1000,MATCH(A273,'Data Employee'!$A$2:$A$1000,0))</f>
        <v>Operator</v>
      </c>
      <c r="J273" s="18">
        <f>INDEX('Data Employee'!$L$2:$L$1000, MATCH(A273, 'Data Employee'!$A$2:$A$1000, 0))</f>
        <v>45871</v>
      </c>
      <c r="K273" s="19">
        <f>IFERROR(IF(INDEX('Data Employee'!M:M,MATCH(A273,'Data Employee'!A:A,0))="","",INDEX('Data Employee'!M:M,MATCH(A273,'Data Employee'!A:A,0))),"")</f>
        <v>46236</v>
      </c>
      <c r="L273" s="11" t="str">
        <f t="shared" ca="1" si="13"/>
        <v>0 Days</v>
      </c>
      <c r="M273" s="11" t="str">
        <f t="shared" ca="1" si="14"/>
        <v>Urgent Renewal</v>
      </c>
    </row>
    <row r="274" spans="1:13" x14ac:dyDescent="0.35">
      <c r="A274">
        <v>202545846</v>
      </c>
      <c r="B274" t="str">
        <f>INDEX('Data Employee'!$B$2:$B$1000, MATCH(A274, 'Data Employee'!$A$2:$A$1000, 0))</f>
        <v>Nadia Utami</v>
      </c>
      <c r="C274" t="str">
        <f>INDEX('Data Employee'!$G$2:$G$1000,MATCH(A274,'Data Employee'!$A$2:$A$1000,0))</f>
        <v>Female</v>
      </c>
      <c r="D274" s="9" t="str" cm="1">
        <f t="array" aca="1" ref="D274" ca="1">IF(J274="","",_xlfn.IFS(DATEDIF(J274,TODAY(),"M")&lt;12,"Contract 1",DATEDIF(J274,TODAY(),"M")&lt;36,"Contract 2",DATEDIF(J274,TODAY(),"M")&lt;60,"Contract 3",DATEDIF(J274,TODAY(),"M")&lt;63,"Probation",TRUE,"Permanent"))</f>
        <v>Permanent</v>
      </c>
      <c r="E274" s="9" t="str">
        <f t="shared" ca="1" si="12"/>
        <v>Permanent</v>
      </c>
      <c r="F274" s="9" t="str">
        <f>VLOOKUP(A274, 'Data Employee'!$A$2:$U$1000, 19, FALSE)</f>
        <v>Economics</v>
      </c>
      <c r="G274" s="9" t="str">
        <f>VLOOKUP(A274, 'Data Employee'!$A$2:$U$1000, 20, FALSE)</f>
        <v>Supply Chain Management</v>
      </c>
      <c r="H274" s="9" t="str">
        <f>INDEX('Data Employee'!$W$2:$W$1000, MATCH(A274, 'Data Employee'!$A$2:$A$1000, 0))</f>
        <v>Warehouse Leader</v>
      </c>
      <c r="I274" t="str">
        <f>INDEX('Data Employee'!$V$2:$V$1000,MATCH(A274,'Data Employee'!$A$2:$A$1000,0))</f>
        <v>Leader</v>
      </c>
      <c r="J274" s="18">
        <f>INDEX('Data Employee'!$L$2:$L$1000, MATCH(A274, 'Data Employee'!$A$2:$A$1000, 0))</f>
        <v>43289</v>
      </c>
      <c r="K274" s="19" t="str">
        <f>IFERROR(IF(INDEX('Data Employee'!M:M,MATCH(A274,'Data Employee'!A:A,0))="","",INDEX('Data Employee'!M:M,MATCH(A274,'Data Employee'!A:A,0))),"")</f>
        <v/>
      </c>
      <c r="L274" s="11" t="str">
        <f t="shared" ca="1" si="13"/>
        <v/>
      </c>
      <c r="M274" s="11" t="str">
        <f t="shared" ca="1" si="14"/>
        <v>Active</v>
      </c>
    </row>
    <row r="275" spans="1:13" x14ac:dyDescent="0.35">
      <c r="A275">
        <v>201542261</v>
      </c>
      <c r="B275" t="str">
        <f>INDEX('Data Employee'!$B$2:$B$1000, MATCH(A275, 'Data Employee'!$A$2:$A$1000, 0))</f>
        <v>Putri Wijaya</v>
      </c>
      <c r="C275" t="str">
        <f>INDEX('Data Employee'!$G$2:$G$1000,MATCH(A275,'Data Employee'!$A$2:$A$1000,0))</f>
        <v>Female</v>
      </c>
      <c r="D275" s="9" t="str" cm="1">
        <f t="array" aca="1" ref="D275" ca="1">IF(J275="","",_xlfn.IFS(DATEDIF(J275,TODAY(),"M")&lt;12,"Contract 1",DATEDIF(J275,TODAY(),"M")&lt;36,"Contract 2",DATEDIF(J275,TODAY(),"M")&lt;60,"Contract 3",DATEDIF(J275,TODAY(),"M")&lt;63,"Probation",TRUE,"Permanent"))</f>
        <v>Contract 1</v>
      </c>
      <c r="E275" s="9" t="str">
        <f t="shared" ca="1" si="12"/>
        <v>12 Month</v>
      </c>
      <c r="F275" s="9" t="str">
        <f>VLOOKUP(A275, 'Data Employee'!$A$2:$U$1000, 19, FALSE)</f>
        <v>Tourism</v>
      </c>
      <c r="G275" s="9" t="str">
        <f>VLOOKUP(A275, 'Data Employee'!$A$2:$U$1000, 20, FALSE)</f>
        <v>Supply Chain Management</v>
      </c>
      <c r="H275" s="9" t="str">
        <f>INDEX('Data Employee'!$W$2:$W$1000, MATCH(A275, 'Data Employee'!$A$2:$A$1000, 0))</f>
        <v>Warehouse Administrator Staff</v>
      </c>
      <c r="I275" t="str">
        <f>INDEX('Data Employee'!$V$2:$V$1000,MATCH(A275,'Data Employee'!$A$2:$A$1000,0))</f>
        <v>Administrator</v>
      </c>
      <c r="J275" s="18">
        <f>INDEX('Data Employee'!$L$2:$L$1000, MATCH(A275, 'Data Employee'!$A$2:$A$1000, 0))</f>
        <v>45914</v>
      </c>
      <c r="K275" s="19">
        <f>IFERROR(IF(INDEX('Data Employee'!M:M,MATCH(A275,'Data Employee'!A:A,0))="","",INDEX('Data Employee'!M:M,MATCH(A275,'Data Employee'!A:A,0))),"")</f>
        <v>46279</v>
      </c>
      <c r="L275" s="11" t="str">
        <f t="shared" ca="1" si="13"/>
        <v>43 Days</v>
      </c>
      <c r="M275" s="11" t="str">
        <f t="shared" ca="1" si="14"/>
        <v>Review Needed</v>
      </c>
    </row>
    <row r="276" spans="1:13" x14ac:dyDescent="0.35">
      <c r="A276">
        <v>201843326</v>
      </c>
      <c r="B276" t="str">
        <f>INDEX('Data Employee'!$B$2:$B$1000, MATCH(A276, 'Data Employee'!$A$2:$A$1000, 0))</f>
        <v>Siti Kusuma</v>
      </c>
      <c r="C276" t="str">
        <f>INDEX('Data Employee'!$G$2:$G$1000,MATCH(A276,'Data Employee'!$A$2:$A$1000,0))</f>
        <v>Female</v>
      </c>
      <c r="D276" s="9" t="str" cm="1">
        <f t="array" aca="1" ref="D276" ca="1">IF(J276="","",_xlfn.IFS(DATEDIF(J276,TODAY(),"M")&lt;12,"Contract 1",DATEDIF(J276,TODAY(),"M")&lt;36,"Contract 2",DATEDIF(J276,TODAY(),"M")&lt;60,"Contract 3",DATEDIF(J276,TODAY(),"M")&lt;63,"Probation",TRUE,"Permanent"))</f>
        <v>Contract 1</v>
      </c>
      <c r="E276" s="9" t="str">
        <f t="shared" ca="1" si="12"/>
        <v>12 Month</v>
      </c>
      <c r="F276" s="9" t="str">
        <f>VLOOKUP(A276, 'Data Employee'!$A$2:$U$1000, 19, FALSE)</f>
        <v>Social Sciences (IPS)</v>
      </c>
      <c r="G276" s="9" t="str">
        <f>VLOOKUP(A276, 'Data Employee'!$A$2:$U$1000, 20, FALSE)</f>
        <v>Supply Chain Management</v>
      </c>
      <c r="H276" s="9" t="str">
        <f>INDEX('Data Employee'!$W$2:$W$1000, MATCH(A276, 'Data Employee'!$A$2:$A$1000, 0))</f>
        <v>Warehouse Administrator Staff</v>
      </c>
      <c r="I276" t="str">
        <f>INDEX('Data Employee'!$V$2:$V$1000,MATCH(A276,'Data Employee'!$A$2:$A$1000,0))</f>
        <v>Administrator</v>
      </c>
      <c r="J276" s="18">
        <f>INDEX('Data Employee'!$L$2:$L$1000, MATCH(A276, 'Data Employee'!$A$2:$A$1000, 0))</f>
        <v>45883</v>
      </c>
      <c r="K276" s="19">
        <f>IFERROR(IF(INDEX('Data Employee'!M:M,MATCH(A276,'Data Employee'!A:A,0))="","",INDEX('Data Employee'!M:M,MATCH(A276,'Data Employee'!A:A,0))),"")</f>
        <v>46613</v>
      </c>
      <c r="L276" s="11" t="str">
        <f t="shared" ca="1" si="13"/>
        <v>377 Days</v>
      </c>
      <c r="M276" s="11" t="str">
        <f t="shared" ca="1" si="14"/>
        <v>Active</v>
      </c>
    </row>
    <row r="277" spans="1:13" x14ac:dyDescent="0.35">
      <c r="A277">
        <v>201642513</v>
      </c>
      <c r="B277" t="str">
        <f>INDEX('Data Employee'!$B$2:$B$1000, MATCH(A277, 'Data Employee'!$A$2:$A$1000, 0))</f>
        <v>Bayu Pratama</v>
      </c>
      <c r="C277" t="str">
        <f>INDEX('Data Employee'!$G$2:$G$1000,MATCH(A277,'Data Employee'!$A$2:$A$1000,0))</f>
        <v>Male</v>
      </c>
      <c r="D277" s="9" t="str" cm="1">
        <f t="array" aca="1" ref="D277" ca="1">IF(J277="","",_xlfn.IFS(DATEDIF(J277,TODAY(),"M")&lt;12,"Contract 1",DATEDIF(J277,TODAY(),"M")&lt;36,"Contract 2",DATEDIF(J277,TODAY(),"M")&lt;60,"Contract 3",DATEDIF(J277,TODAY(),"M")&lt;63,"Probation",TRUE,"Permanent"))</f>
        <v>Contract 1</v>
      </c>
      <c r="E277" s="9" t="str">
        <f t="shared" ca="1" si="12"/>
        <v>12 Month</v>
      </c>
      <c r="F277" s="9" t="str">
        <f>VLOOKUP(A277, 'Data Employee'!$A$2:$U$1000, 19, FALSE)</f>
        <v>Automotive Engineering</v>
      </c>
      <c r="G277" s="9" t="str">
        <f>VLOOKUP(A277, 'Data Employee'!$A$2:$U$1000, 20, FALSE)</f>
        <v>Supply Chain Management</v>
      </c>
      <c r="H277" s="9" t="str">
        <f>INDEX('Data Employee'!$W$2:$W$1000, MATCH(A277, 'Data Employee'!$A$2:$A$1000, 0))</f>
        <v>Forklift Operator</v>
      </c>
      <c r="I277" t="str">
        <f>INDEX('Data Employee'!$V$2:$V$1000,MATCH(A277,'Data Employee'!$A$2:$A$1000,0))</f>
        <v>Operator</v>
      </c>
      <c r="J277" s="18">
        <f>INDEX('Data Employee'!$L$2:$L$1000, MATCH(A277, 'Data Employee'!$A$2:$A$1000, 0))</f>
        <v>46165</v>
      </c>
      <c r="K277" s="19">
        <f>IFERROR(IF(INDEX('Data Employee'!M:M,MATCH(A277,'Data Employee'!A:A,0))="","",INDEX('Data Employee'!M:M,MATCH(A277,'Data Employee'!A:A,0))),"")</f>
        <v>46896</v>
      </c>
      <c r="L277" s="11" t="str">
        <f t="shared" ca="1" si="13"/>
        <v>660 Days</v>
      </c>
      <c r="M277" s="11" t="str">
        <f t="shared" ca="1" si="14"/>
        <v>Active</v>
      </c>
    </row>
    <row r="278" spans="1:13" x14ac:dyDescent="0.35">
      <c r="A278">
        <v>201743044</v>
      </c>
      <c r="B278" t="str">
        <f>INDEX('Data Employee'!$B$2:$B$1000, MATCH(A278, 'Data Employee'!$A$2:$A$1000, 0))</f>
        <v>Farhan Sari</v>
      </c>
      <c r="C278" t="str">
        <f>INDEX('Data Employee'!$G$2:$G$1000,MATCH(A278,'Data Employee'!$A$2:$A$1000,0))</f>
        <v>Male</v>
      </c>
      <c r="D278" s="9" t="str" cm="1">
        <f t="array" aca="1" ref="D278" ca="1">IF(J278="","",_xlfn.IFS(DATEDIF(J278,TODAY(),"M")&lt;12,"Contract 1",DATEDIF(J278,TODAY(),"M")&lt;36,"Contract 2",DATEDIF(J278,TODAY(),"M")&lt;60,"Contract 3",DATEDIF(J278,TODAY(),"M")&lt;63,"Probation",TRUE,"Permanent"))</f>
        <v>Contract 1</v>
      </c>
      <c r="E278" s="9" t="str">
        <f t="shared" ca="1" si="12"/>
        <v>12 Month</v>
      </c>
      <c r="F278" s="9" t="str">
        <f>VLOOKUP(A278, 'Data Employee'!$A$2:$U$1000, 19, FALSE)</f>
        <v>Automotive Engineering</v>
      </c>
      <c r="G278" s="9" t="str">
        <f>VLOOKUP(A278, 'Data Employee'!$A$2:$U$1000, 20, FALSE)</f>
        <v>Supply Chain Management</v>
      </c>
      <c r="H278" s="9" t="str">
        <f>INDEX('Data Employee'!$W$2:$W$1000, MATCH(A278, 'Data Employee'!$A$2:$A$1000, 0))</f>
        <v>Forklift Operator</v>
      </c>
      <c r="I278" t="str">
        <f>INDEX('Data Employee'!$V$2:$V$1000,MATCH(A278,'Data Employee'!$A$2:$A$1000,0))</f>
        <v>Operator</v>
      </c>
      <c r="J278" s="18">
        <f>INDEX('Data Employee'!$L$2:$L$1000, MATCH(A278, 'Data Employee'!$A$2:$A$1000, 0))</f>
        <v>45966</v>
      </c>
      <c r="K278" s="19">
        <f>IFERROR(IF(INDEX('Data Employee'!M:M,MATCH(A278,'Data Employee'!A:A,0))="","",INDEX('Data Employee'!M:M,MATCH(A278,'Data Employee'!A:A,0))),"")</f>
        <v>46696</v>
      </c>
      <c r="L278" s="11" t="str">
        <f t="shared" ca="1" si="13"/>
        <v>460 Days</v>
      </c>
      <c r="M278" s="11" t="str">
        <f t="shared" ca="1" si="14"/>
        <v>Active</v>
      </c>
    </row>
    <row r="279" spans="1:13" x14ac:dyDescent="0.35">
      <c r="A279">
        <v>201642683</v>
      </c>
      <c r="B279" t="str">
        <f>INDEX('Data Employee'!$B$2:$B$1000, MATCH(A279, 'Data Employee'!$A$2:$A$1000, 0))</f>
        <v>Fajar Kurniawan</v>
      </c>
      <c r="C279" t="str">
        <f>INDEX('Data Employee'!$G$2:$G$1000,MATCH(A279,'Data Employee'!$A$2:$A$1000,0))</f>
        <v>Male</v>
      </c>
      <c r="D279" s="9" t="str" cm="1">
        <f t="array" aca="1" ref="D279" ca="1">IF(J279="","",_xlfn.IFS(DATEDIF(J279,TODAY(),"M")&lt;12,"Contract 1",DATEDIF(J279,TODAY(),"M")&lt;36,"Contract 2",DATEDIF(J279,TODAY(),"M")&lt;60,"Contract 3",DATEDIF(J279,TODAY(),"M")&lt;63,"Probation",TRUE,"Permanent"))</f>
        <v>Contract 1</v>
      </c>
      <c r="E279" s="9" t="str">
        <f t="shared" ca="1" si="12"/>
        <v>12 Month</v>
      </c>
      <c r="F279" s="9" t="str">
        <f>VLOOKUP(A279, 'Data Employee'!$A$2:$U$1000, 19, FALSE)</f>
        <v>Automotive Engineering</v>
      </c>
      <c r="G279" s="9" t="str">
        <f>VLOOKUP(A279, 'Data Employee'!$A$2:$U$1000, 20, FALSE)</f>
        <v>Supply Chain Management</v>
      </c>
      <c r="H279" s="9" t="str">
        <f>INDEX('Data Employee'!$W$2:$W$1000, MATCH(A279, 'Data Employee'!$A$2:$A$1000, 0))</f>
        <v>Forklift Operator</v>
      </c>
      <c r="I279" t="str">
        <f>INDEX('Data Employee'!$V$2:$V$1000,MATCH(A279,'Data Employee'!$A$2:$A$1000,0))</f>
        <v>Operator</v>
      </c>
      <c r="J279" s="18">
        <f>INDEX('Data Employee'!$L$2:$L$1000, MATCH(A279, 'Data Employee'!$A$2:$A$1000, 0))</f>
        <v>45970</v>
      </c>
      <c r="K279" s="19">
        <f>IFERROR(IF(INDEX('Data Employee'!M:M,MATCH(A279,'Data Employee'!A:A,0))="","",INDEX('Data Employee'!M:M,MATCH(A279,'Data Employee'!A:A,0))),"")</f>
        <v>46335</v>
      </c>
      <c r="L279" s="11" t="str">
        <f t="shared" ca="1" si="13"/>
        <v>99 Days</v>
      </c>
      <c r="M279" s="11" t="str">
        <f t="shared" ca="1" si="14"/>
        <v>Active</v>
      </c>
    </row>
    <row r="280" spans="1:13" x14ac:dyDescent="0.35">
      <c r="A280">
        <v>201642715</v>
      </c>
      <c r="B280" t="str">
        <f>INDEX('Data Employee'!$B$2:$B$1000, MATCH(A280, 'Data Employee'!$A$2:$A$1000, 0))</f>
        <v>Indah Kurniawan</v>
      </c>
      <c r="C280" t="str">
        <f>INDEX('Data Employee'!$G$2:$G$1000,MATCH(A280,'Data Employee'!$A$2:$A$1000,0))</f>
        <v>Female</v>
      </c>
      <c r="D280" s="9" t="str" cm="1">
        <f t="array" aca="1" ref="D280" ca="1">IF(J280="","",_xlfn.IFS(DATEDIF(J280,TODAY(),"M")&lt;12,"Contract 1",DATEDIF(J280,TODAY(),"M")&lt;36,"Contract 2",DATEDIF(J280,TODAY(),"M")&lt;60,"Contract 3",DATEDIF(J280,TODAY(),"M")&lt;63,"Probation",TRUE,"Permanent"))</f>
        <v>Contract 1</v>
      </c>
      <c r="E280" s="9" t="str">
        <f t="shared" ca="1" si="12"/>
        <v>12 Month</v>
      </c>
      <c r="F280" s="9" t="str">
        <f>VLOOKUP(A280, 'Data Employee'!$A$2:$U$1000, 19, FALSE)</f>
        <v>Social Sciences (IPS)</v>
      </c>
      <c r="G280" s="9" t="str">
        <f>VLOOKUP(A280, 'Data Employee'!$A$2:$U$1000, 20, FALSE)</f>
        <v>Supply Chain Management</v>
      </c>
      <c r="H280" s="9" t="str">
        <f>INDEX('Data Employee'!$W$2:$W$1000, MATCH(A280, 'Data Employee'!$A$2:$A$1000, 0))</f>
        <v>Warehouse Administrator Staff</v>
      </c>
      <c r="I280" t="str">
        <f>INDEX('Data Employee'!$V$2:$V$1000,MATCH(A280,'Data Employee'!$A$2:$A$1000,0))</f>
        <v>Administrator</v>
      </c>
      <c r="J280" s="18">
        <f>INDEX('Data Employee'!$L$2:$L$1000, MATCH(A280, 'Data Employee'!$A$2:$A$1000, 0))</f>
        <v>46002</v>
      </c>
      <c r="K280" s="19">
        <f>IFERROR(IF(INDEX('Data Employee'!M:M,MATCH(A280,'Data Employee'!A:A,0))="","",INDEX('Data Employee'!M:M,MATCH(A280,'Data Employee'!A:A,0))),"")</f>
        <v>46732</v>
      </c>
      <c r="L280" s="11" t="str">
        <f t="shared" ca="1" si="13"/>
        <v>496 Days</v>
      </c>
      <c r="M280" s="11" t="str">
        <f t="shared" ca="1" si="14"/>
        <v>Active</v>
      </c>
    </row>
    <row r="281" spans="1:13" x14ac:dyDescent="0.35">
      <c r="A281">
        <v>202044015</v>
      </c>
      <c r="B281" t="str">
        <f>INDEX('Data Employee'!$B$2:$B$1000, MATCH(A281, 'Data Employee'!$A$2:$A$1000, 0))</f>
        <v>Rudi Kurniawan</v>
      </c>
      <c r="C281" t="str">
        <f>INDEX('Data Employee'!$G$2:$G$1000,MATCH(A281,'Data Employee'!$A$2:$A$1000,0))</f>
        <v>Male</v>
      </c>
      <c r="D281" s="9" t="str" cm="1">
        <f t="array" aca="1" ref="D281" ca="1">IF(J281="","",_xlfn.IFS(DATEDIF(J281,TODAY(),"M")&lt;12,"Contract 1",DATEDIF(J281,TODAY(),"M")&lt;36,"Contract 2",DATEDIF(J281,TODAY(),"M")&lt;60,"Contract 3",DATEDIF(J281,TODAY(),"M")&lt;63,"Probation",TRUE,"Permanent"))</f>
        <v>Contract 2</v>
      </c>
      <c r="E281" s="9" t="str">
        <f t="shared" ca="1" si="12"/>
        <v>24 Month</v>
      </c>
      <c r="F281" s="9" t="str">
        <f>VLOOKUP(A281, 'Data Employee'!$A$2:$U$1000, 19, FALSE)</f>
        <v>Automotive Engineering</v>
      </c>
      <c r="G281" s="9" t="str">
        <f>VLOOKUP(A281, 'Data Employee'!$A$2:$U$1000, 20, FALSE)</f>
        <v>Manufacturing</v>
      </c>
      <c r="H281" s="9" t="str">
        <f>INDEX('Data Employee'!$W$2:$W$1000, MATCH(A281, 'Data Employee'!$A$2:$A$1000, 0))</f>
        <v>Production Operator</v>
      </c>
      <c r="I281" t="str">
        <f>INDEX('Data Employee'!$V$2:$V$1000,MATCH(A281,'Data Employee'!$A$2:$A$1000,0))</f>
        <v>Operator</v>
      </c>
      <c r="J281" s="18">
        <f>INDEX('Data Employee'!$L$2:$L$1000, MATCH(A281, 'Data Employee'!$A$2:$A$1000, 0))</f>
        <v>45841</v>
      </c>
      <c r="K281" s="19">
        <f>IFERROR(IF(INDEX('Data Employee'!M:M,MATCH(A281,'Data Employee'!A:A,0))="","",INDEX('Data Employee'!M:M,MATCH(A281,'Data Employee'!A:A,0))),"")</f>
        <v>47667</v>
      </c>
      <c r="L281" s="11" t="str">
        <f t="shared" ca="1" si="13"/>
        <v>1431 Days</v>
      </c>
      <c r="M281" s="11" t="str">
        <f t="shared" ca="1" si="14"/>
        <v>Active</v>
      </c>
    </row>
    <row r="282" spans="1:13" x14ac:dyDescent="0.35">
      <c r="A282">
        <v>202445397</v>
      </c>
      <c r="B282" t="str">
        <f>INDEX('Data Employee'!$B$2:$B$1000, MATCH(A282, 'Data Employee'!$A$2:$A$1000, 0))</f>
        <v>Lina Santoso</v>
      </c>
      <c r="C282" t="str">
        <f>INDEX('Data Employee'!$G$2:$G$1000,MATCH(A282,'Data Employee'!$A$2:$A$1000,0))</f>
        <v>Female</v>
      </c>
      <c r="D282" s="9" t="str" cm="1">
        <f t="array" aca="1" ref="D282" ca="1">IF(J282="","",_xlfn.IFS(DATEDIF(J282,TODAY(),"M")&lt;12,"Contract 1",DATEDIF(J282,TODAY(),"M")&lt;36,"Contract 2",DATEDIF(J282,TODAY(),"M")&lt;60,"Contract 3",DATEDIF(J282,TODAY(),"M")&lt;63,"Probation",TRUE,"Permanent"))</f>
        <v>Contract 2</v>
      </c>
      <c r="E282" s="9" t="str">
        <f t="shared" ca="1" si="12"/>
        <v>24 Month</v>
      </c>
      <c r="F282" s="9" t="str">
        <f>VLOOKUP(A282, 'Data Employee'!$A$2:$U$1000, 19, FALSE)</f>
        <v>Statistics</v>
      </c>
      <c r="G282" s="9" t="str">
        <f>VLOOKUP(A282, 'Data Employee'!$A$2:$U$1000, 20, FALSE)</f>
        <v>Management</v>
      </c>
      <c r="H282" s="9" t="str">
        <f>INDEX('Data Employee'!$W$2:$W$1000, MATCH(A282, 'Data Employee'!$A$2:$A$1000, 0))</f>
        <v>Tax Officer</v>
      </c>
      <c r="I282" t="str">
        <f>INDEX('Data Employee'!$V$2:$V$1000,MATCH(A282,'Data Employee'!$A$2:$A$1000,0))</f>
        <v>Officer / Executive</v>
      </c>
      <c r="J282" s="18">
        <f>INDEX('Data Employee'!$L$2:$L$1000, MATCH(A282, 'Data Employee'!$A$2:$A$1000, 0))</f>
        <v>45397</v>
      </c>
      <c r="K282" s="19">
        <f>IFERROR(IF(INDEX('Data Employee'!M:M,MATCH(A282,'Data Employee'!A:A,0))="","",INDEX('Data Employee'!M:M,MATCH(A282,'Data Employee'!A:A,0))),"")</f>
        <v>46492</v>
      </c>
      <c r="L282" s="11" t="str">
        <f t="shared" ca="1" si="13"/>
        <v>256 Days</v>
      </c>
      <c r="M282" s="11" t="str">
        <f t="shared" ca="1" si="14"/>
        <v>Active</v>
      </c>
    </row>
    <row r="283" spans="1:13" x14ac:dyDescent="0.35">
      <c r="A283">
        <v>201642468</v>
      </c>
      <c r="B283" t="str">
        <f>INDEX('Data Employee'!$B$2:$B$1000, MATCH(A283, 'Data Employee'!$A$2:$A$1000, 0))</f>
        <v>Andi Saputra</v>
      </c>
      <c r="C283" t="str">
        <f>INDEX('Data Employee'!$G$2:$G$1000,MATCH(A283,'Data Employee'!$A$2:$A$1000,0))</f>
        <v>Male</v>
      </c>
      <c r="D283" s="9" t="str" cm="1">
        <f t="array" aca="1" ref="D283" ca="1">IF(J283="","",_xlfn.IFS(DATEDIF(J283,TODAY(),"M")&lt;12,"Contract 1",DATEDIF(J283,TODAY(),"M")&lt;36,"Contract 2",DATEDIF(J283,TODAY(),"M")&lt;60,"Contract 3",DATEDIF(J283,TODAY(),"M")&lt;63,"Probation",TRUE,"Permanent"))</f>
        <v>Contract 1</v>
      </c>
      <c r="E283" s="9" t="str">
        <f t="shared" ca="1" si="12"/>
        <v>12 Month</v>
      </c>
      <c r="F283" s="9" t="str">
        <f>VLOOKUP(A283, 'Data Employee'!$A$2:$U$1000, 19, FALSE)</f>
        <v>Metal Engineering</v>
      </c>
      <c r="G283" s="9" t="str">
        <f>VLOOKUP(A283, 'Data Employee'!$A$2:$U$1000, 20, FALSE)</f>
        <v>Supply Chain Management</v>
      </c>
      <c r="H283" s="9" t="str">
        <f>INDEX('Data Employee'!$W$2:$W$1000, MATCH(A283, 'Data Employee'!$A$2:$A$1000, 0))</f>
        <v>Driver</v>
      </c>
      <c r="I283" t="str">
        <f>INDEX('Data Employee'!$V$2:$V$1000,MATCH(A283,'Data Employee'!$A$2:$A$1000,0))</f>
        <v>Operator</v>
      </c>
      <c r="J283" s="18">
        <f>INDEX('Data Employee'!$L$2:$L$1000, MATCH(A283, 'Data Employee'!$A$2:$A$1000, 0))</f>
        <v>46120</v>
      </c>
      <c r="K283" s="19">
        <f>IFERROR(IF(INDEX('Data Employee'!M:M,MATCH(A283,'Data Employee'!A:A,0))="","",INDEX('Data Employee'!M:M,MATCH(A283,'Data Employee'!A:A,0))),"")</f>
        <v>47946</v>
      </c>
      <c r="L283" s="11" t="str">
        <f t="shared" ca="1" si="13"/>
        <v>1710 Days</v>
      </c>
      <c r="M283" s="11" t="str">
        <f t="shared" ca="1" si="14"/>
        <v>Active</v>
      </c>
    </row>
    <row r="284" spans="1:13" x14ac:dyDescent="0.35">
      <c r="A284">
        <v>202044125</v>
      </c>
      <c r="B284" t="str">
        <f>INDEX('Data Employee'!$B$2:$B$1000, MATCH(A284, 'Data Employee'!$A$2:$A$1000, 0))</f>
        <v>Dewi Sari</v>
      </c>
      <c r="C284" t="str">
        <f>INDEX('Data Employee'!$G$2:$G$1000,MATCH(A284,'Data Employee'!$A$2:$A$1000,0))</f>
        <v>Female</v>
      </c>
      <c r="D284" s="9" t="str" cm="1">
        <f t="array" aca="1" ref="D284" ca="1">IF(J284="","",_xlfn.IFS(DATEDIF(J284,TODAY(),"M")&lt;12,"Contract 1",DATEDIF(J284,TODAY(),"M")&lt;36,"Contract 2",DATEDIF(J284,TODAY(),"M")&lt;60,"Contract 3",DATEDIF(J284,TODAY(),"M")&lt;63,"Probation",TRUE,"Permanent"))</f>
        <v>Contract 1</v>
      </c>
      <c r="E284" s="9" t="str">
        <f t="shared" ca="1" si="12"/>
        <v>12 Month</v>
      </c>
      <c r="F284" s="9" t="str">
        <f>VLOOKUP(A284, 'Data Employee'!$A$2:$U$1000, 19, FALSE)</f>
        <v>Statistics</v>
      </c>
      <c r="G284" s="9" t="str">
        <f>VLOOKUP(A284, 'Data Employee'!$A$2:$U$1000, 20, FALSE)</f>
        <v>Management</v>
      </c>
      <c r="H284" s="9" t="str">
        <f>INDEX('Data Employee'!$W$2:$W$1000, MATCH(A284, 'Data Employee'!$A$2:$A$1000, 0))</f>
        <v>Tax Staff</v>
      </c>
      <c r="I284" t="str">
        <f>INDEX('Data Employee'!$V$2:$V$1000,MATCH(A284,'Data Employee'!$A$2:$A$1000,0))</f>
        <v>Staff</v>
      </c>
      <c r="J284" s="18">
        <f>INDEX('Data Employee'!$L$2:$L$1000, MATCH(A284, 'Data Employee'!$A$2:$A$1000, 0))</f>
        <v>45951</v>
      </c>
      <c r="K284" s="19">
        <f>IFERROR(IF(INDEX('Data Employee'!M:M,MATCH(A284,'Data Employee'!A:A,0))="","",INDEX('Data Employee'!M:M,MATCH(A284,'Data Employee'!A:A,0))),"")</f>
        <v>47047</v>
      </c>
      <c r="L284" s="11" t="str">
        <f t="shared" ca="1" si="13"/>
        <v>811 Days</v>
      </c>
      <c r="M284" s="11" t="str">
        <f t="shared" ca="1" si="14"/>
        <v>Active</v>
      </c>
    </row>
    <row r="285" spans="1:13" x14ac:dyDescent="0.35">
      <c r="A285">
        <v>202144470</v>
      </c>
      <c r="B285" t="str">
        <f>INDEX('Data Employee'!$B$2:$B$1000, MATCH(A285, 'Data Employee'!$A$2:$A$1000, 0))</f>
        <v>Rudi Pratama</v>
      </c>
      <c r="C285" t="str">
        <f>INDEX('Data Employee'!$G$2:$G$1000,MATCH(A285,'Data Employee'!$A$2:$A$1000,0))</f>
        <v>Male</v>
      </c>
      <c r="D285" s="9" t="str" cm="1">
        <f t="array" aca="1" ref="D285" ca="1">IF(J285="","",_xlfn.IFS(DATEDIF(J285,TODAY(),"M")&lt;12,"Contract 1",DATEDIF(J285,TODAY(),"M")&lt;36,"Contract 2",DATEDIF(J285,TODAY(),"M")&lt;60,"Contract 3",DATEDIF(J285,TODAY(),"M")&lt;63,"Probation",TRUE,"Permanent"))</f>
        <v>Contract 3</v>
      </c>
      <c r="E285" s="9" t="str">
        <f t="shared" ca="1" si="12"/>
        <v>60 Month</v>
      </c>
      <c r="F285" s="9" t="str">
        <f>VLOOKUP(A285, 'Data Employee'!$A$2:$U$1000, 19, FALSE)</f>
        <v>Electrical Engineering</v>
      </c>
      <c r="G285" s="9" t="str">
        <f>VLOOKUP(A285, 'Data Employee'!$A$2:$U$1000, 20, FALSE)</f>
        <v>Supply Chain Management</v>
      </c>
      <c r="H285" s="9" t="str">
        <f>INDEX('Data Employee'!$W$2:$W$1000, MATCH(A285, 'Data Employee'!$A$2:$A$1000, 0))</f>
        <v>Driver</v>
      </c>
      <c r="I285" t="str">
        <f>INDEX('Data Employee'!$V$2:$V$1000,MATCH(A285,'Data Employee'!$A$2:$A$1000,0))</f>
        <v>Operator</v>
      </c>
      <c r="J285" s="18">
        <f>INDEX('Data Employee'!$L$2:$L$1000, MATCH(A285, 'Data Employee'!$A$2:$A$1000, 0))</f>
        <v>44470</v>
      </c>
      <c r="K285" s="19">
        <f>IFERROR(IF(INDEX('Data Employee'!M:M,MATCH(A285,'Data Employee'!A:A,0))="","",INDEX('Data Employee'!M:M,MATCH(A285,'Data Employee'!A:A,0))),"")</f>
        <v>46357</v>
      </c>
      <c r="L285" s="11" t="str">
        <f t="shared" ca="1" si="13"/>
        <v>121 Days</v>
      </c>
      <c r="M285" s="11" t="str">
        <f t="shared" ca="1" si="14"/>
        <v>Active</v>
      </c>
    </row>
    <row r="286" spans="1:13" x14ac:dyDescent="0.35">
      <c r="A286">
        <v>201642544</v>
      </c>
      <c r="B286" t="str">
        <f>INDEX('Data Employee'!$B$2:$B$1000, MATCH(A286, 'Data Employee'!$A$2:$A$1000, 0))</f>
        <v>Budi Kurniawan</v>
      </c>
      <c r="C286" t="str">
        <f>INDEX('Data Employee'!$G$2:$G$1000,MATCH(A286,'Data Employee'!$A$2:$A$1000,0))</f>
        <v>Male</v>
      </c>
      <c r="D286" s="9" t="str" cm="1">
        <f t="array" aca="1" ref="D286" ca="1">IF(J286="","",_xlfn.IFS(DATEDIF(J286,TODAY(),"M")&lt;12,"Contract 1",DATEDIF(J286,TODAY(),"M")&lt;36,"Contract 2",DATEDIF(J286,TODAY(),"M")&lt;60,"Contract 3",DATEDIF(J286,TODAY(),"M")&lt;63,"Probation",TRUE,"Permanent"))</f>
        <v>Contract 3</v>
      </c>
      <c r="E286" s="9" t="str">
        <f t="shared" ca="1" si="12"/>
        <v>60 Month</v>
      </c>
      <c r="F286" s="9" t="str">
        <f>VLOOKUP(A286, 'Data Employee'!$A$2:$U$1000, 19, FALSE)</f>
        <v>Automotive Engineering</v>
      </c>
      <c r="G286" s="9" t="str">
        <f>VLOOKUP(A286, 'Data Employee'!$A$2:$U$1000, 20, FALSE)</f>
        <v>Manufacturing</v>
      </c>
      <c r="H286" s="9" t="str">
        <f>INDEX('Data Employee'!$W$2:$W$1000, MATCH(A286, 'Data Employee'!$A$2:$A$1000, 0))</f>
        <v>Quality Control Inspector</v>
      </c>
      <c r="I286" t="str">
        <f>INDEX('Data Employee'!$V$2:$V$1000,MATCH(A286,'Data Employee'!$A$2:$A$1000,0))</f>
        <v>Operator</v>
      </c>
      <c r="J286" s="18">
        <f>INDEX('Data Employee'!$L$2:$L$1000, MATCH(A286, 'Data Employee'!$A$2:$A$1000, 0))</f>
        <v>45100</v>
      </c>
      <c r="K286" s="19">
        <f>IFERROR(IF(INDEX('Data Employee'!M:M,MATCH(A286,'Data Employee'!A:A,0))="","",INDEX('Data Employee'!M:M,MATCH(A286,'Data Employee'!A:A,0))),"")</f>
        <v>46927</v>
      </c>
      <c r="L286" s="11" t="str">
        <f t="shared" ca="1" si="13"/>
        <v>691 Days</v>
      </c>
      <c r="M286" s="11" t="str">
        <f t="shared" ca="1" si="14"/>
        <v>Active</v>
      </c>
    </row>
    <row r="287" spans="1:13" x14ac:dyDescent="0.35">
      <c r="A287">
        <v>201642373</v>
      </c>
      <c r="B287" t="str">
        <f>INDEX('Data Employee'!$B$2:$B$1000, MATCH(A287, 'Data Employee'!$A$2:$A$1000, 0))</f>
        <v>Firman Pangestu</v>
      </c>
      <c r="C287" t="str">
        <f>INDEX('Data Employee'!$G$2:$G$1000,MATCH(A287,'Data Employee'!$A$2:$A$1000,0))</f>
        <v>Male</v>
      </c>
      <c r="D287" s="9" t="str" cm="1">
        <f t="array" aca="1" ref="D287" ca="1">IF(J287="","",_xlfn.IFS(DATEDIF(J287,TODAY(),"M")&lt;12,"Contract 1",DATEDIF(J287,TODAY(),"M")&lt;36,"Contract 2",DATEDIF(J287,TODAY(),"M")&lt;60,"Contract 3",DATEDIF(J287,TODAY(),"M")&lt;63,"Probation",TRUE,"Permanent"))</f>
        <v>Contract 3</v>
      </c>
      <c r="E287" s="9" t="str">
        <f t="shared" ca="1" si="12"/>
        <v>60 Month</v>
      </c>
      <c r="F287" s="9" t="str">
        <f>VLOOKUP(A287, 'Data Employee'!$A$2:$U$1000, 19, FALSE)</f>
        <v>Social Sciences (IPS)</v>
      </c>
      <c r="G287" s="9" t="str">
        <f>VLOOKUP(A287, 'Data Employee'!$A$2:$U$1000, 20, FALSE)</f>
        <v>Supply Chain Management</v>
      </c>
      <c r="H287" s="9" t="str">
        <f>INDEX('Data Employee'!$W$2:$W$1000, MATCH(A287, 'Data Employee'!$A$2:$A$1000, 0))</f>
        <v>Warehouse Administrator Staff</v>
      </c>
      <c r="I287" t="str">
        <f>INDEX('Data Employee'!$V$2:$V$1000,MATCH(A287,'Data Employee'!$A$2:$A$1000,0))</f>
        <v>Administrator</v>
      </c>
      <c r="J287" s="18">
        <f>INDEX('Data Employee'!$L$2:$L$1000, MATCH(A287, 'Data Employee'!$A$2:$A$1000, 0))</f>
        <v>44565</v>
      </c>
      <c r="K287" s="19">
        <f>IFERROR(IF(INDEX('Data Employee'!M:M,MATCH(A287,'Data Employee'!A:A,0))="","",INDEX('Data Employee'!M:M,MATCH(A287,'Data Employee'!A:A,0))),"")</f>
        <v>46391</v>
      </c>
      <c r="L287" s="11" t="str">
        <f t="shared" ca="1" si="13"/>
        <v>155 Days</v>
      </c>
      <c r="M287" s="11" t="str">
        <f t="shared" ca="1" si="14"/>
        <v>Active</v>
      </c>
    </row>
    <row r="288" spans="1:13" x14ac:dyDescent="0.35">
      <c r="A288">
        <v>202043922</v>
      </c>
      <c r="B288" t="str">
        <f>INDEX('Data Employee'!$B$2:$B$1000, MATCH(A288, 'Data Employee'!$A$2:$A$1000, 0))</f>
        <v>Andi Sari</v>
      </c>
      <c r="C288" t="str">
        <f>INDEX('Data Employee'!$G$2:$G$1000,MATCH(A288,'Data Employee'!$A$2:$A$1000,0))</f>
        <v>Male</v>
      </c>
      <c r="D288" s="9" t="str" cm="1">
        <f t="array" aca="1" ref="D288" ca="1">IF(J288="","",_xlfn.IFS(DATEDIF(J288,TODAY(),"M")&lt;12,"Contract 1",DATEDIF(J288,TODAY(),"M")&lt;36,"Contract 2",DATEDIF(J288,TODAY(),"M")&lt;60,"Contract 3",DATEDIF(J288,TODAY(),"M")&lt;63,"Probation",TRUE,"Permanent"))</f>
        <v>Permanent</v>
      </c>
      <c r="E288" s="9" t="str">
        <f t="shared" ca="1" si="12"/>
        <v>Permanent</v>
      </c>
      <c r="F288" s="9" t="str">
        <f>VLOOKUP(A288, 'Data Employee'!$A$2:$U$1000, 19, FALSE)</f>
        <v>Automotive Engineering</v>
      </c>
      <c r="G288" s="9" t="str">
        <f>VLOOKUP(A288, 'Data Employee'!$A$2:$U$1000, 20, FALSE)</f>
        <v>Supply Chain Management</v>
      </c>
      <c r="H288" s="9" t="str">
        <f>INDEX('Data Employee'!$W$2:$W$1000, MATCH(A288, 'Data Employee'!$A$2:$A$1000, 0))</f>
        <v>Driver</v>
      </c>
      <c r="I288" t="str">
        <f>INDEX('Data Employee'!$V$2:$V$1000,MATCH(A288,'Data Employee'!$A$2:$A$1000,0))</f>
        <v>Operator</v>
      </c>
      <c r="J288" s="18">
        <f>INDEX('Data Employee'!$L$2:$L$1000, MATCH(A288, 'Data Employee'!$A$2:$A$1000, 0))</f>
        <v>43922</v>
      </c>
      <c r="K288" s="19" t="str">
        <f>IFERROR(IF(INDEX('Data Employee'!M:M,MATCH(A288,'Data Employee'!A:A,0))="","",INDEX('Data Employee'!M:M,MATCH(A288,'Data Employee'!A:A,0))),"")</f>
        <v/>
      </c>
      <c r="L288" s="11" t="str">
        <f t="shared" ca="1" si="13"/>
        <v/>
      </c>
      <c r="M288" s="11" t="str">
        <f t="shared" ca="1" si="14"/>
        <v>Active</v>
      </c>
    </row>
    <row r="289" spans="1:13" x14ac:dyDescent="0.35">
      <c r="A289">
        <v>201843391</v>
      </c>
      <c r="B289" t="str">
        <f>INDEX('Data Employee'!$B$2:$B$1000, MATCH(A289, 'Data Employee'!$A$2:$A$1000, 0))</f>
        <v>Bayu Saputra</v>
      </c>
      <c r="C289" t="str">
        <f>INDEX('Data Employee'!$G$2:$G$1000,MATCH(A289,'Data Employee'!$A$2:$A$1000,0))</f>
        <v>Male</v>
      </c>
      <c r="D289" s="9" t="str" cm="1">
        <f t="array" aca="1" ref="D289" ca="1">IF(J289="","",_xlfn.IFS(DATEDIF(J289,TODAY(),"M")&lt;12,"Contract 1",DATEDIF(J289,TODAY(),"M")&lt;36,"Contract 2",DATEDIF(J289,TODAY(),"M")&lt;60,"Contract 3",DATEDIF(J289,TODAY(),"M")&lt;63,"Probation",TRUE,"Permanent"))</f>
        <v>Permanent</v>
      </c>
      <c r="E289" s="9" t="str">
        <f t="shared" ca="1" si="12"/>
        <v>Permanent</v>
      </c>
      <c r="F289" s="9" t="str">
        <f>VLOOKUP(A289, 'Data Employee'!$A$2:$U$1000, 19, FALSE)</f>
        <v>Automotive Engineering</v>
      </c>
      <c r="G289" s="9" t="str">
        <f>VLOOKUP(A289, 'Data Employee'!$A$2:$U$1000, 20, FALSE)</f>
        <v>Supply Chain Management</v>
      </c>
      <c r="H289" s="9" t="str">
        <f>INDEX('Data Employee'!$W$2:$W$1000, MATCH(A289, 'Data Employee'!$A$2:$A$1000, 0))</f>
        <v>Driver</v>
      </c>
      <c r="I289" t="str">
        <f>INDEX('Data Employee'!$V$2:$V$1000,MATCH(A289,'Data Employee'!$A$2:$A$1000,0))</f>
        <v>Operator</v>
      </c>
      <c r="J289" s="18">
        <f>INDEX('Data Employee'!$L$2:$L$1000, MATCH(A289, 'Data Employee'!$A$2:$A$1000, 0))</f>
        <v>44122</v>
      </c>
      <c r="K289" s="19" t="str">
        <f>IFERROR(IF(INDEX('Data Employee'!M:M,MATCH(A289,'Data Employee'!A:A,0))="","",INDEX('Data Employee'!M:M,MATCH(A289,'Data Employee'!A:A,0))),"")</f>
        <v/>
      </c>
      <c r="L289" s="11" t="str">
        <f t="shared" ca="1" si="13"/>
        <v/>
      </c>
      <c r="M289" s="11" t="str">
        <f t="shared" ca="1" si="14"/>
        <v>Active</v>
      </c>
    </row>
    <row r="290" spans="1:13" x14ac:dyDescent="0.35">
      <c r="A290">
        <v>201843144</v>
      </c>
      <c r="B290" t="str">
        <f>INDEX('Data Employee'!$B$2:$B$1000, MATCH(A290, 'Data Employee'!$A$2:$A$1000, 0))</f>
        <v>Aulia Lestari</v>
      </c>
      <c r="C290" t="str">
        <f>INDEX('Data Employee'!$G$2:$G$1000,MATCH(A290,'Data Employee'!$A$2:$A$1000,0))</f>
        <v>Female</v>
      </c>
      <c r="D290" s="9" t="str" cm="1">
        <f t="array" aca="1" ref="D290" ca="1">IF(J290="","",_xlfn.IFS(DATEDIF(J290,TODAY(),"M")&lt;12,"Contract 1",DATEDIF(J290,TODAY(),"M")&lt;36,"Contract 2",DATEDIF(J290,TODAY(),"M")&lt;60,"Contract 3",DATEDIF(J290,TODAY(),"M")&lt;63,"Probation",TRUE,"Permanent"))</f>
        <v>Contract 2</v>
      </c>
      <c r="E290" s="9" t="str">
        <f t="shared" ca="1" si="12"/>
        <v>24 Month</v>
      </c>
      <c r="F290" s="9" t="str">
        <f>VLOOKUP(A290, 'Data Employee'!$A$2:$U$1000, 19, FALSE)</f>
        <v>Automotive Engineering</v>
      </c>
      <c r="G290" s="9" t="str">
        <f>VLOOKUP(A290, 'Data Employee'!$A$2:$U$1000, 20, FALSE)</f>
        <v>Manufacturing</v>
      </c>
      <c r="H290" s="9" t="str">
        <f>INDEX('Data Employee'!$W$2:$W$1000, MATCH(A290, 'Data Employee'!$A$2:$A$1000, 0))</f>
        <v>Production Administrator</v>
      </c>
      <c r="I290" t="str">
        <f>INDEX('Data Employee'!$V$2:$V$1000,MATCH(A290,'Data Employee'!$A$2:$A$1000,0))</f>
        <v>Administrator</v>
      </c>
      <c r="J290" s="18">
        <f>INDEX('Data Employee'!$L$2:$L$1000, MATCH(A290, 'Data Employee'!$A$2:$A$1000, 0))</f>
        <v>45701</v>
      </c>
      <c r="K290" s="19">
        <f>IFERROR(IF(INDEX('Data Employee'!M:M,MATCH(A290,'Data Employee'!A:A,0))="","",INDEX('Data Employee'!M:M,MATCH(A290,'Data Employee'!A:A,0))),"")</f>
        <v>46796</v>
      </c>
      <c r="L290" s="11" t="str">
        <f t="shared" ca="1" si="13"/>
        <v>560 Days</v>
      </c>
      <c r="M290" s="11" t="str">
        <f t="shared" ca="1" si="14"/>
        <v>Active</v>
      </c>
    </row>
    <row r="291" spans="1:13" x14ac:dyDescent="0.35">
      <c r="A291">
        <v>202144282</v>
      </c>
      <c r="B291" t="str">
        <f>INDEX('Data Employee'!$B$2:$B$1000, MATCH(A291, 'Data Employee'!$A$2:$A$1000, 0))</f>
        <v>Samsul Hidayatullah</v>
      </c>
      <c r="C291" t="str">
        <f>INDEX('Data Employee'!$G$2:$G$1000,MATCH(A291,'Data Employee'!$A$2:$A$1000,0))</f>
        <v>Male</v>
      </c>
      <c r="D291" s="9" t="str" cm="1">
        <f t="array" aca="1" ref="D291" ca="1">IF(J291="","",_xlfn.IFS(DATEDIF(J291,TODAY(),"M")&lt;12,"Contract 1",DATEDIF(J291,TODAY(),"M")&lt;36,"Contract 2",DATEDIF(J291,TODAY(),"M")&lt;60,"Contract 3",DATEDIF(J291,TODAY(),"M")&lt;63,"Probation",TRUE,"Permanent"))</f>
        <v>Contract 2</v>
      </c>
      <c r="E291" s="9" t="str">
        <f t="shared" ca="1" si="12"/>
        <v>24 Month</v>
      </c>
      <c r="F291" s="9" t="str">
        <f>VLOOKUP(A291, 'Data Employee'!$A$2:$U$1000, 19, FALSE)</f>
        <v>Software Engineering (RPL)</v>
      </c>
      <c r="G291" s="9" t="str">
        <f>VLOOKUP(A291, 'Data Employee'!$A$2:$U$1000, 20, FALSE)</f>
        <v>Supply Chain Management</v>
      </c>
      <c r="H291" s="9" t="str">
        <f>INDEX('Data Employee'!$W$2:$W$1000, MATCH(A291, 'Data Employee'!$A$2:$A$1000, 0))</f>
        <v>Forklift Operator</v>
      </c>
      <c r="I291" t="str">
        <f>INDEX('Data Employee'!$V$2:$V$1000,MATCH(A291,'Data Employee'!$A$2:$A$1000,0))</f>
        <v>Operator</v>
      </c>
      <c r="J291" s="18">
        <f>INDEX('Data Employee'!$L$2:$L$1000, MATCH(A291, 'Data Employee'!$A$2:$A$1000, 0))</f>
        <v>45378</v>
      </c>
      <c r="K291" s="19">
        <f>IFERROR(IF(INDEX('Data Employee'!M:M,MATCH(A291,'Data Employee'!A:A,0))="","",INDEX('Data Employee'!M:M,MATCH(A291,'Data Employee'!A:A,0))),"")</f>
        <v>46473</v>
      </c>
      <c r="L291" s="11" t="str">
        <f t="shared" ca="1" si="13"/>
        <v>237 Days</v>
      </c>
      <c r="M291" s="11" t="str">
        <f t="shared" ca="1" si="14"/>
        <v>Active</v>
      </c>
    </row>
    <row r="292" spans="1:13" x14ac:dyDescent="0.35">
      <c r="A292">
        <v>201642692</v>
      </c>
      <c r="B292" t="str">
        <f>INDEX('Data Employee'!$B$2:$B$1000, MATCH(A292, 'Data Employee'!$A$2:$A$1000, 0))</f>
        <v>Iwan Kurniawan</v>
      </c>
      <c r="C292" t="str">
        <f>INDEX('Data Employee'!$G$2:$G$1000,MATCH(A292,'Data Employee'!$A$2:$A$1000,0))</f>
        <v>Male</v>
      </c>
      <c r="D292" s="9" t="str" cm="1">
        <f t="array" aca="1" ref="D292" ca="1">IF(J292="","",_xlfn.IFS(DATEDIF(J292,TODAY(),"M")&lt;12,"Contract 1",DATEDIF(J292,TODAY(),"M")&lt;36,"Contract 2",DATEDIF(J292,TODAY(),"M")&lt;60,"Contract 3",DATEDIF(J292,TODAY(),"M")&lt;63,"Probation",TRUE,"Permanent"))</f>
        <v>Contract 1</v>
      </c>
      <c r="E292" s="9" t="str">
        <f t="shared" ca="1" si="12"/>
        <v>12 Month</v>
      </c>
      <c r="F292" s="9" t="str">
        <f>VLOOKUP(A292, 'Data Employee'!$A$2:$U$1000, 19, FALSE)</f>
        <v>Electrical Engineering</v>
      </c>
      <c r="G292" s="9" t="str">
        <f>VLOOKUP(A292, 'Data Employee'!$A$2:$U$1000, 20, FALSE)</f>
        <v>Supply Chain Management</v>
      </c>
      <c r="H292" s="9" t="str">
        <f>INDEX('Data Employee'!$W$2:$W$1000, MATCH(A292, 'Data Employee'!$A$2:$A$1000, 0))</f>
        <v>Forklift Operator</v>
      </c>
      <c r="I292" t="str">
        <f>INDEX('Data Employee'!$V$2:$V$1000,MATCH(A292,'Data Employee'!$A$2:$A$1000,0))</f>
        <v>Operator</v>
      </c>
      <c r="J292" s="18">
        <f>INDEX('Data Employee'!$L$2:$L$1000, MATCH(A292, 'Data Employee'!$A$2:$A$1000, 0))</f>
        <v>45979</v>
      </c>
      <c r="K292" s="19">
        <f>IFERROR(IF(INDEX('Data Employee'!M:M,MATCH(A292,'Data Employee'!A:A,0))="","",INDEX('Data Employee'!M:M,MATCH(A292,'Data Employee'!A:A,0))),"")</f>
        <v>47805</v>
      </c>
      <c r="L292" s="11" t="str">
        <f t="shared" ca="1" si="13"/>
        <v>1569 Days</v>
      </c>
      <c r="M292" s="11" t="str">
        <f t="shared" ca="1" si="14"/>
        <v>Active</v>
      </c>
    </row>
    <row r="293" spans="1:13" x14ac:dyDescent="0.35">
      <c r="A293">
        <v>202144512</v>
      </c>
      <c r="B293" t="str">
        <f>INDEX('Data Employee'!$B$2:$B$1000, MATCH(A293, 'Data Employee'!$A$2:$A$1000, 0))</f>
        <v>Lina Utami</v>
      </c>
      <c r="C293" t="str">
        <f>INDEX('Data Employee'!$G$2:$G$1000,MATCH(A293,'Data Employee'!$A$2:$A$1000,0))</f>
        <v>Female</v>
      </c>
      <c r="D293" s="9" t="str" cm="1">
        <f t="array" aca="1" ref="D293" ca="1">IF(J293="","",_xlfn.IFS(DATEDIF(J293,TODAY(),"M")&lt;12,"Contract 1",DATEDIF(J293,TODAY(),"M")&lt;36,"Contract 2",DATEDIF(J293,TODAY(),"M")&lt;60,"Contract 3",DATEDIF(J293,TODAY(),"M")&lt;63,"Probation",TRUE,"Permanent"))</f>
        <v>Contract 1</v>
      </c>
      <c r="E293" s="9" t="str">
        <f t="shared" ca="1" si="12"/>
        <v>12 Month</v>
      </c>
      <c r="F293" s="9" t="str">
        <f>VLOOKUP(A293, 'Data Employee'!$A$2:$U$1000, 19, FALSE)</f>
        <v>Marketing</v>
      </c>
      <c r="G293" s="9" t="str">
        <f>VLOOKUP(A293, 'Data Employee'!$A$2:$U$1000, 20, FALSE)</f>
        <v>Supply Chain Management</v>
      </c>
      <c r="H293" s="9" t="str">
        <f>INDEX('Data Employee'!$W$2:$W$1000, MATCH(A293, 'Data Employee'!$A$2:$A$1000, 0))</f>
        <v>Data Entry Intern</v>
      </c>
      <c r="I293" t="str">
        <f>INDEX('Data Employee'!$V$2:$V$1000,MATCH(A293,'Data Employee'!$A$2:$A$1000,0))</f>
        <v>Internship</v>
      </c>
      <c r="J293" s="18">
        <f>INDEX('Data Employee'!$L$2:$L$1000, MATCH(A293, 'Data Employee'!$A$2:$A$1000, 0))</f>
        <v>45973</v>
      </c>
      <c r="K293" s="19">
        <f>IFERROR(IF(INDEX('Data Employee'!M:M,MATCH(A293,'Data Employee'!A:A,0))="","",INDEX('Data Employee'!M:M,MATCH(A293,'Data Employee'!A:A,0))),"")</f>
        <v>46338</v>
      </c>
      <c r="L293" s="11" t="str">
        <f t="shared" ca="1" si="13"/>
        <v>102 Days</v>
      </c>
      <c r="M293" s="11" t="str">
        <f t="shared" ca="1" si="14"/>
        <v>Active</v>
      </c>
    </row>
    <row r="294" spans="1:13" x14ac:dyDescent="0.35">
      <c r="A294">
        <v>201843242</v>
      </c>
      <c r="B294" t="str">
        <f>INDEX('Data Employee'!$B$2:$B$1000, MATCH(A294, 'Data Employee'!$A$2:$A$1000, 0))</f>
        <v>Yusuf Hidayat</v>
      </c>
      <c r="C294" t="str">
        <f>INDEX('Data Employee'!$G$2:$G$1000,MATCH(A294,'Data Employee'!$A$2:$A$1000,0))</f>
        <v>Male</v>
      </c>
      <c r="D294" s="9" t="str" cm="1">
        <f t="array" aca="1" ref="D294" ca="1">IF(J294="","",_xlfn.IFS(DATEDIF(J294,TODAY(),"M")&lt;12,"Contract 1",DATEDIF(J294,TODAY(),"M")&lt;36,"Contract 2",DATEDIF(J294,TODAY(),"M")&lt;60,"Contract 3",DATEDIF(J294,TODAY(),"M")&lt;63,"Probation",TRUE,"Permanent"))</f>
        <v>Contract 3</v>
      </c>
      <c r="E294" s="9" t="str">
        <f t="shared" ca="1" si="12"/>
        <v>60 Month</v>
      </c>
      <c r="F294" s="9" t="str">
        <f>VLOOKUP(A294, 'Data Employee'!$A$2:$U$1000, 19, FALSE)</f>
        <v>Metal Engineering</v>
      </c>
      <c r="G294" s="9" t="str">
        <f>VLOOKUP(A294, 'Data Employee'!$A$2:$U$1000, 20, FALSE)</f>
        <v>Supply Chain Management</v>
      </c>
      <c r="H294" s="9" t="str">
        <f>INDEX('Data Employee'!$W$2:$W$1000, MATCH(A294, 'Data Employee'!$A$2:$A$1000, 0))</f>
        <v>Forklift Operator</v>
      </c>
      <c r="I294" t="str">
        <f>INDEX('Data Employee'!$V$2:$V$1000,MATCH(A294,'Data Employee'!$A$2:$A$1000,0))</f>
        <v>Operator</v>
      </c>
      <c r="J294" s="18">
        <f>INDEX('Data Employee'!$L$2:$L$1000, MATCH(A294, 'Data Employee'!$A$2:$A$1000, 0))</f>
        <v>45068</v>
      </c>
      <c r="K294" s="19">
        <f>IFERROR(IF(INDEX('Data Employee'!M:M,MATCH(A294,'Data Employee'!A:A,0))="","",INDEX('Data Employee'!M:M,MATCH(A294,'Data Employee'!A:A,0))),"")</f>
        <v>46895</v>
      </c>
      <c r="L294" s="11" t="str">
        <f t="shared" ca="1" si="13"/>
        <v>659 Days</v>
      </c>
      <c r="M294" s="11" t="str">
        <f t="shared" ca="1" si="14"/>
        <v>Active</v>
      </c>
    </row>
    <row r="295" spans="1:13" x14ac:dyDescent="0.35">
      <c r="A295">
        <v>202545910</v>
      </c>
      <c r="B295" t="str">
        <f>INDEX('Data Employee'!$B$2:$B$1000, MATCH(A295, 'Data Employee'!$A$2:$A$1000, 0))</f>
        <v>Zidan Malik Ridwan</v>
      </c>
      <c r="C295" t="str">
        <f>INDEX('Data Employee'!$G$2:$G$1000,MATCH(A295,'Data Employee'!$A$2:$A$1000,0))</f>
        <v>Male</v>
      </c>
      <c r="D295" s="9" t="str" cm="1">
        <f t="array" aca="1" ref="D295" ca="1">IF(J295="","",_xlfn.IFS(DATEDIF(J295,TODAY(),"M")&lt;12,"Contract 1",DATEDIF(J295,TODAY(),"M")&lt;36,"Contract 2",DATEDIF(J295,TODAY(),"M")&lt;60,"Contract 3",DATEDIF(J295,TODAY(),"M")&lt;63,"Probation",TRUE,"Permanent"))</f>
        <v>Contract 1</v>
      </c>
      <c r="E295" s="9" t="str">
        <f t="shared" ca="1" si="12"/>
        <v>12 Month</v>
      </c>
      <c r="F295" s="9" t="str">
        <f>VLOOKUP(A295, 'Data Employee'!$A$2:$U$1000, 19, FALSE)</f>
        <v>Automotive Engineering</v>
      </c>
      <c r="G295" s="9" t="str">
        <f>VLOOKUP(A295, 'Data Employee'!$A$2:$U$1000, 20, FALSE)</f>
        <v>Supply Chain Management</v>
      </c>
      <c r="H295" s="9" t="str">
        <f>INDEX('Data Employee'!$W$2:$W$1000, MATCH(A295, 'Data Employee'!$A$2:$A$1000, 0))</f>
        <v>Forklift Operator</v>
      </c>
      <c r="I295" t="str">
        <f>INDEX('Data Employee'!$V$2:$V$1000,MATCH(A295,'Data Employee'!$A$2:$A$1000,0))</f>
        <v>Operator</v>
      </c>
      <c r="J295" s="18">
        <f>INDEX('Data Employee'!$L$2:$L$1000, MATCH(A295, 'Data Employee'!$A$2:$A$1000, 0))</f>
        <v>45910</v>
      </c>
      <c r="K295" s="19">
        <f>IFERROR(IF(INDEX('Data Employee'!M:M,MATCH(A295,'Data Employee'!A:A,0))="","",INDEX('Data Employee'!M:M,MATCH(A295,'Data Employee'!A:A,0))),"")</f>
        <v>46640</v>
      </c>
      <c r="L295" s="11" t="str">
        <f t="shared" ca="1" si="13"/>
        <v>404 Days</v>
      </c>
      <c r="M295" s="11" t="str">
        <f t="shared" ca="1" si="14"/>
        <v>Active</v>
      </c>
    </row>
    <row r="296" spans="1:13" x14ac:dyDescent="0.35">
      <c r="A296">
        <v>202044080</v>
      </c>
      <c r="B296" t="str">
        <f>INDEX('Data Employee'!$B$2:$B$1000, MATCH(A296, 'Data Employee'!$A$2:$A$1000, 0))</f>
        <v>Rudi Nugroho</v>
      </c>
      <c r="C296" t="str">
        <f>INDEX('Data Employee'!$G$2:$G$1000,MATCH(A296,'Data Employee'!$A$2:$A$1000,0))</f>
        <v>Male</v>
      </c>
      <c r="D296" s="9" t="str" cm="1">
        <f t="array" aca="1" ref="D296" ca="1">IF(J296="","",_xlfn.IFS(DATEDIF(J296,TODAY(),"M")&lt;12,"Contract 1",DATEDIF(J296,TODAY(),"M")&lt;36,"Contract 2",DATEDIF(J296,TODAY(),"M")&lt;60,"Contract 3",DATEDIF(J296,TODAY(),"M")&lt;63,"Probation",TRUE,"Permanent"))</f>
        <v>Permanent</v>
      </c>
      <c r="E296" s="9" t="str">
        <f t="shared" ca="1" si="12"/>
        <v>Permanent</v>
      </c>
      <c r="F296" s="9" t="str">
        <f>VLOOKUP(A296, 'Data Employee'!$A$2:$U$1000, 19, FALSE)</f>
        <v>Automotive Engineering</v>
      </c>
      <c r="G296" s="9" t="str">
        <f>VLOOKUP(A296, 'Data Employee'!$A$2:$U$1000, 20, FALSE)</f>
        <v>Supply Chain Management</v>
      </c>
      <c r="H296" s="9" t="str">
        <f>INDEX('Data Employee'!$W$2:$W$1000, MATCH(A296, 'Data Employee'!$A$2:$A$1000, 0))</f>
        <v>Driver</v>
      </c>
      <c r="I296" t="str">
        <f>INDEX('Data Employee'!$V$2:$V$1000,MATCH(A296,'Data Employee'!$A$2:$A$1000,0))</f>
        <v>Operator</v>
      </c>
      <c r="J296" s="18">
        <f>INDEX('Data Employee'!$L$2:$L$1000, MATCH(A296, 'Data Employee'!$A$2:$A$1000, 0))</f>
        <v>44080</v>
      </c>
      <c r="K296" s="19" t="str">
        <f>IFERROR(IF(INDEX('Data Employee'!M:M,MATCH(A296,'Data Employee'!A:A,0))="","",INDEX('Data Employee'!M:M,MATCH(A296,'Data Employee'!A:A,0))),"")</f>
        <v/>
      </c>
      <c r="L296" s="11" t="str">
        <f t="shared" ca="1" si="13"/>
        <v/>
      </c>
      <c r="M296" s="11" t="str">
        <f t="shared" ca="1" si="14"/>
        <v>Active</v>
      </c>
    </row>
    <row r="297" spans="1:13" x14ac:dyDescent="0.35">
      <c r="A297">
        <v>202144367</v>
      </c>
      <c r="B297" t="str">
        <f>INDEX('Data Employee'!$B$2:$B$1000, MATCH(A297, 'Data Employee'!$A$2:$A$1000, 0))</f>
        <v>M. Agil</v>
      </c>
      <c r="C297" t="str">
        <f>INDEX('Data Employee'!$G$2:$G$1000,MATCH(A297,'Data Employee'!$A$2:$A$1000,0))</f>
        <v>Male</v>
      </c>
      <c r="D297" s="9" t="str" cm="1">
        <f t="array" aca="1" ref="D297" ca="1">IF(J297="","",_xlfn.IFS(DATEDIF(J297,TODAY(),"M")&lt;12,"Contract 1",DATEDIF(J297,TODAY(),"M")&lt;36,"Contract 2",DATEDIF(J297,TODAY(),"M")&lt;60,"Contract 3",DATEDIF(J297,TODAY(),"M")&lt;63,"Probation",TRUE,"Permanent"))</f>
        <v>Contract 3</v>
      </c>
      <c r="E297" s="9" t="str">
        <f t="shared" ca="1" si="12"/>
        <v>60 Month</v>
      </c>
      <c r="F297" s="9" t="str">
        <f>VLOOKUP(A297, 'Data Employee'!$A$2:$U$1000, 19, FALSE)</f>
        <v>Electrical Engineering</v>
      </c>
      <c r="G297" s="9" t="str">
        <f>VLOOKUP(A297, 'Data Employee'!$A$2:$U$1000, 20, FALSE)</f>
        <v>Supply Chain Management</v>
      </c>
      <c r="H297" s="9" t="str">
        <f>INDEX('Data Employee'!$W$2:$W$1000, MATCH(A297, 'Data Employee'!$A$2:$A$1000, 0))</f>
        <v>Forklift Operator</v>
      </c>
      <c r="I297" t="str">
        <f>INDEX('Data Employee'!$V$2:$V$1000,MATCH(A297,'Data Employee'!$A$2:$A$1000,0))</f>
        <v>Operator</v>
      </c>
      <c r="J297" s="18">
        <f>INDEX('Data Employee'!$L$2:$L$1000, MATCH(A297, 'Data Employee'!$A$2:$A$1000, 0))</f>
        <v>45097</v>
      </c>
      <c r="K297" s="19">
        <f>IFERROR(IF(INDEX('Data Employee'!M:M,MATCH(A297,'Data Employee'!A:A,0))="","",INDEX('Data Employee'!M:M,MATCH(A297,'Data Employee'!A:A,0))),"")</f>
        <v>46924</v>
      </c>
      <c r="L297" s="11" t="str">
        <f t="shared" ca="1" si="13"/>
        <v>688 Days</v>
      </c>
      <c r="M297" s="11" t="str">
        <f t="shared" ca="1" si="14"/>
        <v>Active</v>
      </c>
    </row>
    <row r="298" spans="1:13" x14ac:dyDescent="0.35">
      <c r="A298">
        <v>201642577</v>
      </c>
      <c r="B298" t="str">
        <f>INDEX('Data Employee'!$B$2:$B$1000, MATCH(A298, 'Data Employee'!$A$2:$A$1000, 0))</f>
        <v>Putra Wijaya</v>
      </c>
      <c r="C298" t="str">
        <f>INDEX('Data Employee'!$G$2:$G$1000,MATCH(A298,'Data Employee'!$A$2:$A$1000,0))</f>
        <v>Male</v>
      </c>
      <c r="D298" s="9" t="str" cm="1">
        <f t="array" aca="1" ref="D298" ca="1">IF(J298="","",_xlfn.IFS(DATEDIF(J298,TODAY(),"M")&lt;12,"Contract 1",DATEDIF(J298,TODAY(),"M")&lt;36,"Contract 2",DATEDIF(J298,TODAY(),"M")&lt;60,"Contract 3",DATEDIF(J298,TODAY(),"M")&lt;63,"Probation",TRUE,"Permanent"))</f>
        <v>Contract 2</v>
      </c>
      <c r="E298" s="9" t="str">
        <f t="shared" ca="1" si="12"/>
        <v>24 Month</v>
      </c>
      <c r="F298" s="9" t="str">
        <f>VLOOKUP(A298, 'Data Employee'!$A$2:$U$1000, 19, FALSE)</f>
        <v>Tourism</v>
      </c>
      <c r="G298" s="9" t="str">
        <f>VLOOKUP(A298, 'Data Employee'!$A$2:$U$1000, 20, FALSE)</f>
        <v>Supply Chain Management</v>
      </c>
      <c r="H298" s="9" t="str">
        <f>INDEX('Data Employee'!$W$2:$W$1000, MATCH(A298, 'Data Employee'!$A$2:$A$1000, 0))</f>
        <v>Forklift Operator</v>
      </c>
      <c r="I298" t="str">
        <f>INDEX('Data Employee'!$V$2:$V$1000,MATCH(A298,'Data Employee'!$A$2:$A$1000,0))</f>
        <v>Operator</v>
      </c>
      <c r="J298" s="18">
        <f>INDEX('Data Employee'!$L$2:$L$1000, MATCH(A298, 'Data Employee'!$A$2:$A$1000, 0))</f>
        <v>45864</v>
      </c>
      <c r="K298" s="19">
        <f>IFERROR(IF(INDEX('Data Employee'!M:M,MATCH(A298,'Data Employee'!A:A,0))="","",INDEX('Data Employee'!M:M,MATCH(A298,'Data Employee'!A:A,0))),"")</f>
        <v>47690</v>
      </c>
      <c r="L298" s="11" t="str">
        <f t="shared" ca="1" si="13"/>
        <v>1454 Days</v>
      </c>
      <c r="M298" s="11" t="str">
        <f t="shared" ca="1" si="14"/>
        <v>Active</v>
      </c>
    </row>
    <row r="299" spans="1:13" x14ac:dyDescent="0.35">
      <c r="A299">
        <v>202144493</v>
      </c>
      <c r="B299" t="str">
        <f>INDEX('Data Employee'!$B$2:$B$1000, MATCH(A299, 'Data Employee'!$A$2:$A$1000, 0))</f>
        <v>Dedi Kusuma</v>
      </c>
      <c r="C299" t="str">
        <f>INDEX('Data Employee'!$G$2:$G$1000,MATCH(A299,'Data Employee'!$A$2:$A$1000,0))</f>
        <v>Male</v>
      </c>
      <c r="D299" s="9" t="str" cm="1">
        <f t="array" aca="1" ref="D299" ca="1">IF(J299="","",_xlfn.IFS(DATEDIF(J299,TODAY(),"M")&lt;12,"Contract 1",DATEDIF(J299,TODAY(),"M")&lt;36,"Contract 2",DATEDIF(J299,TODAY(),"M")&lt;60,"Contract 3",DATEDIF(J299,TODAY(),"M")&lt;63,"Probation",TRUE,"Permanent"))</f>
        <v>Contract 3</v>
      </c>
      <c r="E299" s="9" t="str">
        <f t="shared" ca="1" si="12"/>
        <v>60 Month</v>
      </c>
      <c r="F299" s="9" t="str">
        <f>VLOOKUP(A299, 'Data Employee'!$A$2:$U$1000, 19, FALSE)</f>
        <v>Automotive Engineering</v>
      </c>
      <c r="G299" s="9" t="str">
        <f>VLOOKUP(A299, 'Data Employee'!$A$2:$U$1000, 20, FALSE)</f>
        <v>Supply Chain Management</v>
      </c>
      <c r="H299" s="9" t="str">
        <f>INDEX('Data Employee'!$W$2:$W$1000, MATCH(A299, 'Data Employee'!$A$2:$A$1000, 0))</f>
        <v>Driver</v>
      </c>
      <c r="I299" t="str">
        <f>INDEX('Data Employee'!$V$2:$V$1000,MATCH(A299,'Data Employee'!$A$2:$A$1000,0))</f>
        <v>Operator</v>
      </c>
      <c r="J299" s="18">
        <f>INDEX('Data Employee'!$L$2:$L$1000, MATCH(A299, 'Data Employee'!$A$2:$A$1000, 0))</f>
        <v>44493</v>
      </c>
      <c r="K299" s="19">
        <f>IFERROR(IF(INDEX('Data Employee'!M:M,MATCH(A299,'Data Employee'!A:A,0))="","",INDEX('Data Employee'!M:M,MATCH(A299,'Data Employee'!A:A,0))),"")</f>
        <v>46411</v>
      </c>
      <c r="L299" s="11" t="str">
        <f t="shared" ca="1" si="13"/>
        <v>175 Days</v>
      </c>
      <c r="M299" s="11" t="str">
        <f t="shared" ca="1" si="14"/>
        <v>Active</v>
      </c>
    </row>
    <row r="300" spans="1:13" x14ac:dyDescent="0.35">
      <c r="A300">
        <v>202144365</v>
      </c>
      <c r="B300" t="str">
        <f>INDEX('Data Employee'!$B$2:$B$1000, MATCH(A300, 'Data Employee'!$A$2:$A$1000, 0))</f>
        <v>Aulia Pratama</v>
      </c>
      <c r="C300" t="str">
        <f>INDEX('Data Employee'!$G$2:$G$1000,MATCH(A300,'Data Employee'!$A$2:$A$1000,0))</f>
        <v>Female</v>
      </c>
      <c r="D300" s="9" t="str" cm="1">
        <f t="array" aca="1" ref="D300" ca="1">IF(J300="","",_xlfn.IFS(DATEDIF(J300,TODAY(),"M")&lt;12,"Contract 1",DATEDIF(J300,TODAY(),"M")&lt;36,"Contract 2",DATEDIF(J300,TODAY(),"M")&lt;60,"Contract 3",DATEDIF(J300,TODAY(),"M")&lt;63,"Probation",TRUE,"Permanent"))</f>
        <v>Contract 1</v>
      </c>
      <c r="E300" s="9" t="str">
        <f t="shared" ca="1" si="12"/>
        <v>12 Month</v>
      </c>
      <c r="F300" s="9" t="str">
        <f>VLOOKUP(A300, 'Data Employee'!$A$2:$U$1000, 19, FALSE)</f>
        <v>Psychology</v>
      </c>
      <c r="G300" s="9" t="str">
        <f>VLOOKUP(A300, 'Data Employee'!$A$2:$U$1000, 20, FALSE)</f>
        <v>Human Resources</v>
      </c>
      <c r="H300" s="9" t="str">
        <f>INDEX('Data Employee'!$W$2:$W$1000, MATCH(A300, 'Data Employee'!$A$2:$A$1000, 0))</f>
        <v>Recruitment Staff</v>
      </c>
      <c r="I300" t="str">
        <f>INDEX('Data Employee'!$V$2:$V$1000,MATCH(A300,'Data Employee'!$A$2:$A$1000,0))</f>
        <v>Staff</v>
      </c>
      <c r="J300" s="18">
        <f>INDEX('Data Employee'!$L$2:$L$1000, MATCH(A300, 'Data Employee'!$A$2:$A$1000, 0))</f>
        <v>45887</v>
      </c>
      <c r="K300" s="19">
        <f>IFERROR(IF(INDEX('Data Employee'!M:M,MATCH(A300,'Data Employee'!A:A,0))="","",INDEX('Data Employee'!M:M,MATCH(A300,'Data Employee'!A:A,0))),"")</f>
        <v>46617</v>
      </c>
      <c r="L300" s="11" t="str">
        <f t="shared" ca="1" si="13"/>
        <v>381 Days</v>
      </c>
      <c r="M300" s="11" t="str">
        <f t="shared" ca="1" si="14"/>
        <v>Active</v>
      </c>
    </row>
    <row r="301" spans="1:13" x14ac:dyDescent="0.35">
      <c r="A301">
        <v>202043974</v>
      </c>
      <c r="B301" t="str">
        <f>INDEX('Data Employee'!$B$2:$B$1000, MATCH(A301, 'Data Employee'!$A$2:$A$1000, 0))</f>
        <v>Bayu Saputra</v>
      </c>
      <c r="C301" t="str">
        <f>INDEX('Data Employee'!$G$2:$G$1000,MATCH(A301,'Data Employee'!$A$2:$A$1000,0))</f>
        <v>Male</v>
      </c>
      <c r="D301" s="9" t="str" cm="1">
        <f t="array" aca="1" ref="D301" ca="1">IF(J301="","",_xlfn.IFS(DATEDIF(J301,TODAY(),"M")&lt;12,"Contract 1",DATEDIF(J301,TODAY(),"M")&lt;36,"Contract 2",DATEDIF(J301,TODAY(),"M")&lt;60,"Contract 3",DATEDIF(J301,TODAY(),"M")&lt;63,"Probation",TRUE,"Permanent"))</f>
        <v>Contract 2</v>
      </c>
      <c r="E301" s="9" t="str">
        <f t="shared" ca="1" si="12"/>
        <v>24 Month</v>
      </c>
      <c r="F301" s="9" t="str">
        <f>VLOOKUP(A301, 'Data Employee'!$A$2:$U$1000, 19, FALSE)</f>
        <v>Automotive Engineering</v>
      </c>
      <c r="G301" s="9" t="str">
        <f>VLOOKUP(A301, 'Data Employee'!$A$2:$U$1000, 20, FALSE)</f>
        <v>Manufacturing</v>
      </c>
      <c r="H301" s="9" t="str">
        <f>INDEX('Data Employee'!$W$2:$W$1000, MATCH(A301, 'Data Employee'!$A$2:$A$1000, 0))</f>
        <v>Production Operator</v>
      </c>
      <c r="I301" t="str">
        <f>INDEX('Data Employee'!$V$2:$V$1000,MATCH(A301,'Data Employee'!$A$2:$A$1000,0))</f>
        <v>Operator</v>
      </c>
      <c r="J301" s="18">
        <f>INDEX('Data Employee'!$L$2:$L$1000, MATCH(A301, 'Data Employee'!$A$2:$A$1000, 0))</f>
        <v>45800</v>
      </c>
      <c r="K301" s="19">
        <f>IFERROR(IF(INDEX('Data Employee'!M:M,MATCH(A301,'Data Employee'!A:A,0))="","",INDEX('Data Employee'!M:M,MATCH(A301,'Data Employee'!A:A,0))),"")</f>
        <v>47626</v>
      </c>
      <c r="L301" s="11" t="str">
        <f t="shared" ca="1" si="13"/>
        <v>1390 Days</v>
      </c>
      <c r="M301" s="11" t="str">
        <f t="shared" ca="1" si="14"/>
        <v>Active</v>
      </c>
    </row>
    <row r="302" spans="1:13" x14ac:dyDescent="0.35">
      <c r="A302">
        <v>201843432</v>
      </c>
      <c r="B302" t="str">
        <f>INDEX('Data Employee'!$B$2:$B$1000, MATCH(A302, 'Data Employee'!$A$2:$A$1000, 0))</f>
        <v>Agus Kusuma</v>
      </c>
      <c r="C302" t="str">
        <f>INDEX('Data Employee'!$G$2:$G$1000,MATCH(A302,'Data Employee'!$A$2:$A$1000,0))</f>
        <v>Male</v>
      </c>
      <c r="D302" s="9" t="str" cm="1">
        <f t="array" aca="1" ref="D302" ca="1">IF(J302="","",_xlfn.IFS(DATEDIF(J302,TODAY(),"M")&lt;12,"Contract 1",DATEDIF(J302,TODAY(),"M")&lt;36,"Contract 2",DATEDIF(J302,TODAY(),"M")&lt;60,"Contract 3",DATEDIF(J302,TODAY(),"M")&lt;63,"Probation",TRUE,"Permanent"))</f>
        <v>Permanent</v>
      </c>
      <c r="E302" s="9" t="str">
        <f t="shared" ca="1" si="12"/>
        <v>Permanent</v>
      </c>
      <c r="F302" s="9" t="str">
        <f>VLOOKUP(A302, 'Data Employee'!$A$2:$U$1000, 19, FALSE)</f>
        <v>Automotive Engineering</v>
      </c>
      <c r="G302" s="9" t="str">
        <f>VLOOKUP(A302, 'Data Employee'!$A$2:$U$1000, 20, FALSE)</f>
        <v>Supply Chain Management</v>
      </c>
      <c r="H302" s="9" t="str">
        <f>INDEX('Data Employee'!$W$2:$W$1000, MATCH(A302, 'Data Employee'!$A$2:$A$1000, 0))</f>
        <v>Driver</v>
      </c>
      <c r="I302" t="str">
        <f>INDEX('Data Employee'!$V$2:$V$1000,MATCH(A302,'Data Employee'!$A$2:$A$1000,0))</f>
        <v>Operator</v>
      </c>
      <c r="J302" s="18">
        <f>INDEX('Data Employee'!$L$2:$L$1000, MATCH(A302, 'Data Employee'!$A$2:$A$1000, 0))</f>
        <v>43432</v>
      </c>
      <c r="K302" s="19" t="str">
        <f>IFERROR(IF(INDEX('Data Employee'!M:M,MATCH(A302,'Data Employee'!A:A,0))="","",INDEX('Data Employee'!M:M,MATCH(A302,'Data Employee'!A:A,0))),"")</f>
        <v/>
      </c>
      <c r="L302" s="11" t="str">
        <f t="shared" ca="1" si="13"/>
        <v/>
      </c>
      <c r="M302" s="11" t="str">
        <f t="shared" ca="1" si="14"/>
        <v>Active</v>
      </c>
    </row>
    <row r="303" spans="1:13" x14ac:dyDescent="0.35">
      <c r="A303">
        <v>201843375</v>
      </c>
      <c r="B303" t="str">
        <f>INDEX('Data Employee'!$B$2:$B$1000, MATCH(A303, 'Data Employee'!$A$2:$A$1000, 0))</f>
        <v>Yusuf Ramadhan</v>
      </c>
      <c r="C303" t="str">
        <f>INDEX('Data Employee'!$G$2:$G$1000,MATCH(A303,'Data Employee'!$A$2:$A$1000,0))</f>
        <v>Male</v>
      </c>
      <c r="D303" s="9" t="str" cm="1">
        <f t="array" aca="1" ref="D303" ca="1">IF(J303="","",_xlfn.IFS(DATEDIF(J303,TODAY(),"M")&lt;12,"Contract 1",DATEDIF(J303,TODAY(),"M")&lt;36,"Contract 2",DATEDIF(J303,TODAY(),"M")&lt;60,"Contract 3",DATEDIF(J303,TODAY(),"M")&lt;63,"Probation",TRUE,"Permanent"))</f>
        <v>Permanent</v>
      </c>
      <c r="E303" s="9" t="str">
        <f t="shared" ca="1" si="12"/>
        <v>Permanent</v>
      </c>
      <c r="F303" s="9" t="str">
        <f>VLOOKUP(A303, 'Data Employee'!$A$2:$U$1000, 19, FALSE)</f>
        <v>Automotive Engineering</v>
      </c>
      <c r="G303" s="9" t="str">
        <f>VLOOKUP(A303, 'Data Employee'!$A$2:$U$1000, 20, FALSE)</f>
        <v>Supply Chain Management</v>
      </c>
      <c r="H303" s="9" t="str">
        <f>INDEX('Data Employee'!$W$2:$W$1000, MATCH(A303, 'Data Employee'!$A$2:$A$1000, 0))</f>
        <v>Driver</v>
      </c>
      <c r="I303" t="str">
        <f>INDEX('Data Employee'!$V$2:$V$1000,MATCH(A303,'Data Employee'!$A$2:$A$1000,0))</f>
        <v>Operator</v>
      </c>
      <c r="J303" s="18">
        <f>INDEX('Data Employee'!$L$2:$L$1000, MATCH(A303, 'Data Employee'!$A$2:$A$1000, 0))</f>
        <v>43375</v>
      </c>
      <c r="K303" s="19" t="str">
        <f>IFERROR(IF(INDEX('Data Employee'!M:M,MATCH(A303,'Data Employee'!A:A,0))="","",INDEX('Data Employee'!M:M,MATCH(A303,'Data Employee'!A:A,0))),"")</f>
        <v/>
      </c>
      <c r="L303" s="11" t="str">
        <f t="shared" ca="1" si="13"/>
        <v/>
      </c>
      <c r="M303" s="11" t="str">
        <f t="shared" ca="1" si="14"/>
        <v>Active</v>
      </c>
    </row>
    <row r="304" spans="1:13" x14ac:dyDescent="0.35">
      <c r="A304">
        <v>201542202</v>
      </c>
      <c r="B304" t="str">
        <f>INDEX('Data Employee'!$B$2:$B$1000, MATCH(A304, 'Data Employee'!$A$2:$A$1000, 0))</f>
        <v>Indah Kurniawan</v>
      </c>
      <c r="C304" t="str">
        <f>INDEX('Data Employee'!$G$2:$G$1000,MATCH(A304,'Data Employee'!$A$2:$A$1000,0))</f>
        <v>Female</v>
      </c>
      <c r="D304" s="9" t="str" cm="1">
        <f t="array" aca="1" ref="D304" ca="1">IF(J304="","",_xlfn.IFS(DATEDIF(J304,TODAY(),"M")&lt;12,"Contract 1",DATEDIF(J304,TODAY(),"M")&lt;36,"Contract 2",DATEDIF(J304,TODAY(),"M")&lt;60,"Contract 3",DATEDIF(J304,TODAY(),"M")&lt;63,"Probation",TRUE,"Permanent"))</f>
        <v>Contract 1</v>
      </c>
      <c r="E304" s="9" t="str">
        <f t="shared" ca="1" si="12"/>
        <v>12 Month</v>
      </c>
      <c r="F304" s="9" t="str">
        <f>VLOOKUP(A304, 'Data Employee'!$A$2:$U$1000, 19, FALSE)</f>
        <v>Marketing</v>
      </c>
      <c r="G304" s="9" t="str">
        <f>VLOOKUP(A304, 'Data Employee'!$A$2:$U$1000, 20, FALSE)</f>
        <v>Supply Chain Management</v>
      </c>
      <c r="H304" s="9" t="str">
        <f>INDEX('Data Employee'!$W$2:$W$1000, MATCH(A304, 'Data Employee'!$A$2:$A$1000, 0))</f>
        <v>Data Entry Intern</v>
      </c>
      <c r="I304" t="str">
        <f>INDEX('Data Employee'!$V$2:$V$1000,MATCH(A304,'Data Employee'!$A$2:$A$1000,0))</f>
        <v>Internship</v>
      </c>
      <c r="J304" s="18">
        <f>INDEX('Data Employee'!$L$2:$L$1000, MATCH(A304, 'Data Employee'!$A$2:$A$1000, 0))</f>
        <v>46220</v>
      </c>
      <c r="K304" s="19">
        <f>IFERROR(IF(INDEX('Data Employee'!M:M,MATCH(A304,'Data Employee'!A:A,0))="","",INDEX('Data Employee'!M:M,MATCH(A304,'Data Employee'!A:A,0))),"")</f>
        <v>46585</v>
      </c>
      <c r="L304" s="11" t="str">
        <f t="shared" ca="1" si="13"/>
        <v>349 Days</v>
      </c>
      <c r="M304" s="11" t="str">
        <f t="shared" ca="1" si="14"/>
        <v>Active</v>
      </c>
    </row>
    <row r="305" spans="1:13" x14ac:dyDescent="0.35">
      <c r="A305">
        <v>201943492</v>
      </c>
      <c r="B305" t="str">
        <f>INDEX('Data Employee'!$B$2:$B$1000, MATCH(A305, 'Data Employee'!$A$2:$A$1000, 0))</f>
        <v>Ridwan Maulana</v>
      </c>
      <c r="C305" t="str">
        <f>INDEX('Data Employee'!$G$2:$G$1000,MATCH(A305,'Data Employee'!$A$2:$A$1000,0))</f>
        <v>Male</v>
      </c>
      <c r="D305" s="9" t="str" cm="1">
        <f t="array" aca="1" ref="D305" ca="1">IF(J305="","",_xlfn.IFS(DATEDIF(J305,TODAY(),"M")&lt;12,"Contract 1",DATEDIF(J305,TODAY(),"M")&lt;36,"Contract 2",DATEDIF(J305,TODAY(),"M")&lt;60,"Contract 3",DATEDIF(J305,TODAY(),"M")&lt;63,"Probation",TRUE,"Permanent"))</f>
        <v>Contract 1</v>
      </c>
      <c r="E305" s="9" t="str">
        <f t="shared" ca="1" si="12"/>
        <v>12 Month</v>
      </c>
      <c r="F305" s="9" t="str">
        <f>VLOOKUP(A305, 'Data Employee'!$A$2:$U$1000, 19, FALSE)</f>
        <v>Automotive Engineering</v>
      </c>
      <c r="G305" s="9" t="str">
        <f>VLOOKUP(A305, 'Data Employee'!$A$2:$U$1000, 20, FALSE)</f>
        <v>Supply Chain Management</v>
      </c>
      <c r="H305" s="9" t="str">
        <f>INDEX('Data Employee'!$W$2:$W$1000, MATCH(A305, 'Data Employee'!$A$2:$A$1000, 0))</f>
        <v>Data Entry Intern</v>
      </c>
      <c r="I305" t="str">
        <f>INDEX('Data Employee'!$V$2:$V$1000,MATCH(A305,'Data Employee'!$A$2:$A$1000,0))</f>
        <v>Internship</v>
      </c>
      <c r="J305" s="18">
        <f>INDEX('Data Employee'!$L$2:$L$1000, MATCH(A305, 'Data Employee'!$A$2:$A$1000, 0))</f>
        <v>46049</v>
      </c>
      <c r="K305" s="19">
        <f>IFERROR(IF(INDEX('Data Employee'!M:M,MATCH(A305,'Data Employee'!A:A,0))="","",INDEX('Data Employee'!M:M,MATCH(A305,'Data Employee'!A:A,0))),"")</f>
        <v>46414</v>
      </c>
      <c r="L305" s="11" t="str">
        <f t="shared" ca="1" si="13"/>
        <v>178 Days</v>
      </c>
      <c r="M305" s="11" t="str">
        <f t="shared" ca="1" si="14"/>
        <v>Active</v>
      </c>
    </row>
    <row r="306" spans="1:13" x14ac:dyDescent="0.35">
      <c r="A306">
        <v>202545831</v>
      </c>
      <c r="B306" t="str">
        <f>INDEX('Data Employee'!$B$2:$B$1000, MATCH(A306, 'Data Employee'!$A$2:$A$1000, 0))</f>
        <v>Lili Maulana</v>
      </c>
      <c r="C306" t="str">
        <f>INDEX('Data Employee'!$G$2:$G$1000,MATCH(A306,'Data Employee'!$A$2:$A$1000,0))</f>
        <v>Male</v>
      </c>
      <c r="D306" s="9" t="str" cm="1">
        <f t="array" aca="1" ref="D306" ca="1">IF(J306="","",_xlfn.IFS(DATEDIF(J306,TODAY(),"M")&lt;12,"Contract 1",DATEDIF(J306,TODAY(),"M")&lt;36,"Contract 2",DATEDIF(J306,TODAY(),"M")&lt;60,"Contract 3",DATEDIF(J306,TODAY(),"M")&lt;63,"Probation",TRUE,"Permanent"))</f>
        <v>Contract 1</v>
      </c>
      <c r="E306" s="9" t="str">
        <f t="shared" ca="1" si="12"/>
        <v>12 Month</v>
      </c>
      <c r="F306" s="9" t="str">
        <f>VLOOKUP(A306, 'Data Employee'!$A$2:$U$1000, 19, FALSE)</f>
        <v>Automotive Engineering</v>
      </c>
      <c r="G306" s="9" t="str">
        <f>VLOOKUP(A306, 'Data Employee'!$A$2:$U$1000, 20, FALSE)</f>
        <v>Supply Chain Management</v>
      </c>
      <c r="H306" s="9" t="str">
        <f>INDEX('Data Employee'!$W$2:$W$1000, MATCH(A306, 'Data Employee'!$A$2:$A$1000, 0))</f>
        <v>Data Entry Intern</v>
      </c>
      <c r="I306" t="str">
        <f>INDEX('Data Employee'!$V$2:$V$1000,MATCH(A306,'Data Employee'!$A$2:$A$1000,0))</f>
        <v>Internship</v>
      </c>
      <c r="J306" s="18">
        <f>INDEX('Data Employee'!$L$2:$L$1000, MATCH(A306, 'Data Employee'!$A$2:$A$1000, 0))</f>
        <v>46196</v>
      </c>
      <c r="K306" s="19">
        <f>IFERROR(IF(INDEX('Data Employee'!M:M,MATCH(A306,'Data Employee'!A:A,0))="","",INDEX('Data Employee'!M:M,MATCH(A306,'Data Employee'!A:A,0))),"")</f>
        <v>46561</v>
      </c>
      <c r="L306" s="11" t="str">
        <f t="shared" ca="1" si="13"/>
        <v>325 Days</v>
      </c>
      <c r="M306" s="11" t="str">
        <f t="shared" ca="1" si="14"/>
        <v>Active</v>
      </c>
    </row>
    <row r="307" spans="1:13" x14ac:dyDescent="0.35">
      <c r="A307">
        <v>202545996</v>
      </c>
      <c r="B307" t="str">
        <f>INDEX('Data Employee'!$B$2:$B$1000, MATCH(A307, 'Data Employee'!$A$2:$A$1000, 0))</f>
        <v>Dwi Kusnandar</v>
      </c>
      <c r="C307" t="str">
        <f>INDEX('Data Employee'!$G$2:$G$1000,MATCH(A307,'Data Employee'!$A$2:$A$1000,0))</f>
        <v>Male</v>
      </c>
      <c r="D307" s="9" t="str" cm="1">
        <f t="array" aca="1" ref="D307" ca="1">IF(J307="","",_xlfn.IFS(DATEDIF(J307,TODAY(),"M")&lt;12,"Contract 1",DATEDIF(J307,TODAY(),"M")&lt;36,"Contract 2",DATEDIF(J307,TODAY(),"M")&lt;60,"Contract 3",DATEDIF(J307,TODAY(),"M")&lt;63,"Probation",TRUE,"Permanent"))</f>
        <v>Contract 1</v>
      </c>
      <c r="E307" s="9" t="str">
        <f t="shared" ca="1" si="12"/>
        <v>12 Month</v>
      </c>
      <c r="F307" s="9" t="str">
        <f>VLOOKUP(A307, 'Data Employee'!$A$2:$U$1000, 19, FALSE)</f>
        <v>Automotive Engineering</v>
      </c>
      <c r="G307" s="9" t="str">
        <f>VLOOKUP(A307, 'Data Employee'!$A$2:$U$1000, 20, FALSE)</f>
        <v>Supply Chain Management</v>
      </c>
      <c r="H307" s="9" t="str">
        <f>INDEX('Data Employee'!$W$2:$W$1000, MATCH(A307, 'Data Employee'!$A$2:$A$1000, 0))</f>
        <v>Data Entry Intern</v>
      </c>
      <c r="I307" t="str">
        <f>INDEX('Data Employee'!$V$2:$V$1000,MATCH(A307,'Data Employee'!$A$2:$A$1000,0))</f>
        <v>Internship</v>
      </c>
      <c r="J307" s="18">
        <f>INDEX('Data Employee'!$L$2:$L$1000, MATCH(A307, 'Data Employee'!$A$2:$A$1000, 0))</f>
        <v>45996</v>
      </c>
      <c r="K307" s="19">
        <f>IFERROR(IF(INDEX('Data Employee'!M:M,MATCH(A307,'Data Employee'!A:A,0))="","",INDEX('Data Employee'!M:M,MATCH(A307,'Data Employee'!A:A,0))),"")</f>
        <v>46361</v>
      </c>
      <c r="L307" s="11" t="str">
        <f t="shared" ca="1" si="13"/>
        <v>125 Days</v>
      </c>
      <c r="M307" s="11" t="str">
        <f t="shared" ca="1" si="14"/>
        <v>Active</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F7FE-7527-4A48-AA94-699B4A4639B8}">
  <sheetPr>
    <pageSetUpPr fitToPage="1"/>
  </sheetPr>
  <dimension ref="A1:AN402"/>
  <sheetViews>
    <sheetView tabSelected="1" zoomScale="80" zoomScaleNormal="80" zoomScalePageLayoutView="48" workbookViewId="0">
      <selection activeCell="A2" sqref="A2:A402"/>
    </sheetView>
  </sheetViews>
  <sheetFormatPr defaultRowHeight="14.5" x14ac:dyDescent="0.35"/>
  <cols>
    <col min="1" max="1" width="23.54296875" bestFit="1" customWidth="1"/>
    <col min="2" max="2" width="26.26953125" bestFit="1" customWidth="1"/>
    <col min="3" max="3" width="30" bestFit="1" customWidth="1"/>
    <col min="4" max="4" width="30.6328125" bestFit="1" customWidth="1"/>
    <col min="5" max="5" width="19" bestFit="1" customWidth="1"/>
    <col min="6" max="6" width="18.1796875" bestFit="1" customWidth="1"/>
    <col min="7" max="7" width="13" bestFit="1" customWidth="1"/>
    <col min="8" max="8" width="19.26953125" bestFit="1" customWidth="1"/>
    <col min="9" max="9" width="19.26953125" customWidth="1"/>
    <col min="10" max="10" width="13.6328125" bestFit="1" customWidth="1"/>
    <col min="11" max="11" width="16.81640625" bestFit="1" customWidth="1"/>
    <col min="12" max="12" width="14.90625" bestFit="1" customWidth="1"/>
    <col min="13" max="13" width="14.6328125" bestFit="1" customWidth="1"/>
    <col min="14" max="14" width="14.54296875" bestFit="1" customWidth="1"/>
    <col min="15" max="15" width="31.26953125" bestFit="1" customWidth="1"/>
    <col min="16" max="16" width="22.08984375" bestFit="1" customWidth="1"/>
    <col min="17" max="17" width="24.7265625" bestFit="1" customWidth="1"/>
    <col min="18" max="18" width="22" bestFit="1" customWidth="1"/>
    <col min="19" max="19" width="28.54296875" bestFit="1" customWidth="1"/>
    <col min="20" max="20" width="24.81640625" bestFit="1" customWidth="1"/>
    <col min="21" max="21" width="36.1796875" bestFit="1" customWidth="1"/>
    <col min="22" max="22" width="36.54296875" bestFit="1" customWidth="1"/>
    <col min="23" max="23" width="44.81640625" bestFit="1" customWidth="1"/>
    <col min="24" max="24" width="21.36328125" bestFit="1" customWidth="1"/>
    <col min="25" max="25" width="21.36328125" customWidth="1"/>
    <col min="26" max="26" width="22.6328125" customWidth="1"/>
    <col min="27" max="27" width="21.54296875" customWidth="1"/>
    <col min="28" max="28" width="25.26953125" customWidth="1"/>
    <col min="29" max="29" width="24.36328125" customWidth="1"/>
    <col min="30" max="30" width="19" bestFit="1" customWidth="1"/>
    <col min="31" max="31" width="32.08984375" bestFit="1" customWidth="1"/>
    <col min="32" max="32" width="21.81640625" bestFit="1" customWidth="1"/>
    <col min="33" max="33" width="36.81640625" style="4" bestFit="1" customWidth="1"/>
    <col min="34" max="39" width="8.7265625" style="4"/>
  </cols>
  <sheetData>
    <row r="1" spans="1:40" s="4" customFormat="1" ht="26" customHeight="1" x14ac:dyDescent="0.35">
      <c r="A1" s="3" t="s">
        <v>0</v>
      </c>
      <c r="B1" s="3" t="s">
        <v>3</v>
      </c>
      <c r="C1" s="2" t="s">
        <v>1</v>
      </c>
      <c r="D1" s="2" t="s">
        <v>2</v>
      </c>
      <c r="E1" s="2" t="s">
        <v>5</v>
      </c>
      <c r="F1" s="2" t="s">
        <v>6</v>
      </c>
      <c r="G1" s="2" t="s">
        <v>4</v>
      </c>
      <c r="H1" s="2" t="s">
        <v>9</v>
      </c>
      <c r="I1" s="2" t="s">
        <v>3858</v>
      </c>
      <c r="J1" s="2" t="s">
        <v>8</v>
      </c>
      <c r="K1" s="2" t="s">
        <v>10</v>
      </c>
      <c r="L1" s="2" t="s">
        <v>14</v>
      </c>
      <c r="M1" s="2" t="s">
        <v>2667</v>
      </c>
      <c r="N1" s="2" t="s">
        <v>2668</v>
      </c>
      <c r="O1" s="2" t="s">
        <v>3721</v>
      </c>
      <c r="P1" s="2" t="s">
        <v>2670</v>
      </c>
      <c r="Q1" s="2" t="s">
        <v>15</v>
      </c>
      <c r="R1" s="2" t="s">
        <v>18</v>
      </c>
      <c r="S1" s="2" t="s">
        <v>2662</v>
      </c>
      <c r="T1" s="2" t="s">
        <v>3011</v>
      </c>
      <c r="U1" s="2" t="s">
        <v>2993</v>
      </c>
      <c r="V1" s="2" t="s">
        <v>24</v>
      </c>
      <c r="W1" s="25" t="s">
        <v>17</v>
      </c>
      <c r="X1" s="2" t="s">
        <v>3833</v>
      </c>
      <c r="Y1" s="2" t="s">
        <v>3856</v>
      </c>
      <c r="Z1" s="2" t="s">
        <v>3006</v>
      </c>
      <c r="AA1" s="2" t="s">
        <v>3007</v>
      </c>
      <c r="AB1" s="2" t="s">
        <v>3008</v>
      </c>
      <c r="AC1" s="2" t="s">
        <v>3009</v>
      </c>
      <c r="AD1" s="2" t="s">
        <v>3010</v>
      </c>
      <c r="AE1" s="2" t="s">
        <v>2661</v>
      </c>
      <c r="AF1" s="2" t="s">
        <v>12</v>
      </c>
      <c r="AG1" s="2" t="s">
        <v>13</v>
      </c>
    </row>
    <row r="2" spans="1:40" x14ac:dyDescent="0.35">
      <c r="A2" s="5">
        <v>201743091</v>
      </c>
      <c r="B2" s="5" t="s">
        <v>1112</v>
      </c>
      <c r="C2" s="5" t="s">
        <v>81</v>
      </c>
      <c r="D2" s="5" t="s">
        <v>392</v>
      </c>
      <c r="E2" s="6" t="s">
        <v>3434</v>
      </c>
      <c r="F2" s="7">
        <v>35084</v>
      </c>
      <c r="G2" s="10" t="s">
        <v>676</v>
      </c>
      <c r="H2" s="15" t="s">
        <v>651</v>
      </c>
      <c r="I2" s="4">
        <f>MIN(COUNTIFS('Data Family'!A:A,A2,'Data Family'!F:F,"Child")+COUNTIFS('Data Family'!A:A,A2,'Data Family'!F:F,"&lt;&gt;Child",'Data Family'!J:J,"Housewife")+COUNTIFS('Data Family'!A:A,A2,'Data Family'!F:F,"&lt;&gt;Child",'Data Family'!J:J,"Unemployment"),3)</f>
        <v>0</v>
      </c>
      <c r="J2" s="10" t="s">
        <v>791</v>
      </c>
      <c r="K2" s="7" t="s">
        <v>701</v>
      </c>
      <c r="L2" s="7">
        <v>43091</v>
      </c>
      <c r="M2" s="7"/>
      <c r="N2" s="7"/>
      <c r="O2" s="4" t="str">
        <f t="shared" ref="O2:O65" ca="1" si="0">IF(AND(M2&lt;&gt;"", M2&lt;=TODAY(), N2=""), "End of Contract", "")</f>
        <v/>
      </c>
      <c r="P2" s="4" t="str">
        <f t="shared" ref="P2:P65" ca="1" si="1">IF(OR(N2&lt;&gt;"", AND(M2&lt;&gt;"",M2&lt;=TODAY())),"Non-Active","Active")</f>
        <v>Active</v>
      </c>
      <c r="Q2" s="4" t="str">
        <f>IF(M2="","PKWTT",IF(DATEDIF(L2,M2,"M")&gt;63,"PKWTT",IF(DATEDIF(L2,M2,"M")&gt;60,"PKWT",IF(DATEDIF(L2,M2,"M")&gt;36,"PKWT",IF(DATEDIF(L2,M2,"M")&gt;12, "PKWT","PKWT")))))</f>
        <v>PKWTT</v>
      </c>
      <c r="R2" s="7" t="s">
        <v>2982</v>
      </c>
      <c r="S2" s="4" t="s">
        <v>2676</v>
      </c>
      <c r="T2" s="4" t="s">
        <v>2643</v>
      </c>
      <c r="U2" s="4" t="s">
        <v>2676</v>
      </c>
      <c r="V2" s="4" t="s">
        <v>3073</v>
      </c>
      <c r="W2" s="4" t="s">
        <v>2652</v>
      </c>
      <c r="X2" s="4" t="str">
        <f>_xlfn.XLOOKUP(V2,Reference!$O:$O,Reference!$N:$N,"Tidak Ketemu")</f>
        <v>G10</v>
      </c>
      <c r="Y2" s="4" t="str">
        <f t="shared" ref="Y2:Y65" si="2">IF(AND(G2="Female",H2="Married"),"TK/0",IF(H2="Married","K/"&amp;I2,"TK/"&amp;I2))</f>
        <v>TK/0</v>
      </c>
      <c r="Z2" s="10" t="s">
        <v>1115</v>
      </c>
      <c r="AA2" s="10" t="s">
        <v>1116</v>
      </c>
      <c r="AB2" s="7" t="s">
        <v>1117</v>
      </c>
      <c r="AC2" s="7" t="s">
        <v>3816</v>
      </c>
      <c r="AD2" s="7" t="s">
        <v>1118</v>
      </c>
      <c r="AE2" s="6" t="s">
        <v>1113</v>
      </c>
      <c r="AF2" s="6" t="s">
        <v>1114</v>
      </c>
      <c r="AG2" s="6" t="s">
        <v>818</v>
      </c>
      <c r="AN2" s="4"/>
    </row>
    <row r="3" spans="1:40" x14ac:dyDescent="0.35">
      <c r="A3" s="5">
        <v>201843228</v>
      </c>
      <c r="B3" s="5" t="s">
        <v>1093</v>
      </c>
      <c r="C3" s="5" t="s">
        <v>85</v>
      </c>
      <c r="D3" s="5" t="s">
        <v>396</v>
      </c>
      <c r="E3" s="6" t="s">
        <v>3434</v>
      </c>
      <c r="F3" s="7">
        <v>35687</v>
      </c>
      <c r="G3" s="10" t="s">
        <v>676</v>
      </c>
      <c r="H3" s="15" t="s">
        <v>651</v>
      </c>
      <c r="I3" s="4">
        <f>MIN(COUNTIFS('Data Family'!A:A,A3,'Data Family'!F:F,"Child")+COUNTIFS('Data Family'!A:A,A3,'Data Family'!F:F,"&lt;&gt;Child",'Data Family'!J:J,"Housewife")+COUNTIFS('Data Family'!A:A,A3,'Data Family'!F:F,"&lt;&gt;Child",'Data Family'!J:J,"Unemployment"),3)</f>
        <v>0</v>
      </c>
      <c r="J3" s="10" t="s">
        <v>791</v>
      </c>
      <c r="K3" s="7" t="s">
        <v>691</v>
      </c>
      <c r="L3" s="7">
        <v>43228</v>
      </c>
      <c r="M3" s="7"/>
      <c r="N3" s="7"/>
      <c r="O3" s="4" t="str">
        <f t="shared" ca="1" si="0"/>
        <v/>
      </c>
      <c r="P3" s="4" t="str">
        <f t="shared" ca="1" si="1"/>
        <v>Active</v>
      </c>
      <c r="Q3" s="4" t="str">
        <f t="shared" ref="Q3:Q66" si="3">IF(M3="","PKWTT",IF(DATEDIF(L3,M3,"M")&gt;63,"PKWTT",IF(DATEDIF(L3,M3,"M")&gt;60,"PKWT",IF(DATEDIF(L3,M3,"M")&gt;36,"PKWT",IF(DATEDIF(L3,M3,"M")&gt;12, "PKWT","PKWT")))))</f>
        <v>PKWTT</v>
      </c>
      <c r="R3" s="7" t="s">
        <v>2982</v>
      </c>
      <c r="S3" s="4" t="s">
        <v>2676</v>
      </c>
      <c r="T3" s="4" t="s">
        <v>2643</v>
      </c>
      <c r="U3" s="4" t="s">
        <v>2676</v>
      </c>
      <c r="V3" s="4" t="s">
        <v>3073</v>
      </c>
      <c r="W3" s="4" t="s">
        <v>2652</v>
      </c>
      <c r="X3" s="4" t="str">
        <f>_xlfn.XLOOKUP(V3,Reference!$O:$O,Reference!$N:$N,"Tidak Ketemu")</f>
        <v>G10</v>
      </c>
      <c r="Y3" s="4" t="str">
        <f t="shared" si="2"/>
        <v>TK/0</v>
      </c>
      <c r="Z3" s="10" t="s">
        <v>1145</v>
      </c>
      <c r="AA3" s="10" t="s">
        <v>1146</v>
      </c>
      <c r="AB3" s="7" t="s">
        <v>1147</v>
      </c>
      <c r="AC3" s="7" t="s">
        <v>3816</v>
      </c>
      <c r="AD3" s="7" t="s">
        <v>1148</v>
      </c>
      <c r="AE3" s="6" t="s">
        <v>1144</v>
      </c>
      <c r="AF3" s="6" t="s">
        <v>1095</v>
      </c>
      <c r="AG3" s="6" t="s">
        <v>818</v>
      </c>
      <c r="AN3" s="4"/>
    </row>
    <row r="4" spans="1:40" x14ac:dyDescent="0.35">
      <c r="A4" s="5">
        <v>202043936</v>
      </c>
      <c r="B4" s="5" t="s">
        <v>1037</v>
      </c>
      <c r="C4" s="5" t="s">
        <v>70</v>
      </c>
      <c r="D4" s="5" t="s">
        <v>381</v>
      </c>
      <c r="E4" s="6" t="s">
        <v>3431</v>
      </c>
      <c r="F4" s="7">
        <v>32901</v>
      </c>
      <c r="G4" s="10" t="s">
        <v>676</v>
      </c>
      <c r="H4" s="15" t="s">
        <v>651</v>
      </c>
      <c r="I4" s="4">
        <f>MIN(COUNTIFS('Data Family'!A:A,A4,'Data Family'!F:F,"Child")+COUNTIFS('Data Family'!A:A,A4,'Data Family'!F:F,"&lt;&gt;Child",'Data Family'!J:J,"Housewife")+COUNTIFS('Data Family'!A:A,A4,'Data Family'!F:F,"&lt;&gt;Child",'Data Family'!J:J,"Unemployment"),3)</f>
        <v>0</v>
      </c>
      <c r="J4" s="10" t="s">
        <v>791</v>
      </c>
      <c r="K4" s="7" t="s">
        <v>691</v>
      </c>
      <c r="L4" s="7">
        <v>45031</v>
      </c>
      <c r="M4" s="7">
        <v>46858</v>
      </c>
      <c r="N4" s="7"/>
      <c r="O4" s="4" t="str">
        <f t="shared" ca="1" si="0"/>
        <v/>
      </c>
      <c r="P4" s="4" t="str">
        <f t="shared" ca="1" si="1"/>
        <v>Active</v>
      </c>
      <c r="Q4" s="4" t="str">
        <f t="shared" si="3"/>
        <v>PKWT</v>
      </c>
      <c r="R4" s="7" t="s">
        <v>2982</v>
      </c>
      <c r="S4" s="4" t="s">
        <v>2676</v>
      </c>
      <c r="T4" s="4" t="s">
        <v>2643</v>
      </c>
      <c r="U4" s="4" t="s">
        <v>2676</v>
      </c>
      <c r="V4" s="4" t="s">
        <v>659</v>
      </c>
      <c r="W4" s="4" t="s">
        <v>903</v>
      </c>
      <c r="X4" s="4" t="str">
        <f>_xlfn.XLOOKUP(V4,Reference!$O:$O,Reference!$N:$N,"Tidak Ketemu")</f>
        <v>G11</v>
      </c>
      <c r="Y4" s="4" t="str">
        <f t="shared" si="2"/>
        <v>TK/0</v>
      </c>
      <c r="Z4" s="10" t="s">
        <v>1040</v>
      </c>
      <c r="AA4" s="10" t="s">
        <v>1041</v>
      </c>
      <c r="AB4" s="7" t="s">
        <v>1042</v>
      </c>
      <c r="AC4" s="7" t="s">
        <v>3816</v>
      </c>
      <c r="AD4" s="17" t="s">
        <v>1043</v>
      </c>
      <c r="AE4" s="6" t="s">
        <v>1038</v>
      </c>
      <c r="AF4" s="6" t="s">
        <v>1039</v>
      </c>
      <c r="AG4" s="6" t="s">
        <v>731</v>
      </c>
      <c r="AN4" s="4"/>
    </row>
    <row r="5" spans="1:40" ht="14.5" customHeight="1" x14ac:dyDescent="0.35">
      <c r="A5" s="5">
        <v>201743026</v>
      </c>
      <c r="B5" s="5" t="s">
        <v>901</v>
      </c>
      <c r="C5" s="5" t="s">
        <v>110</v>
      </c>
      <c r="D5" s="5" t="s">
        <v>421</v>
      </c>
      <c r="E5" s="6" t="s">
        <v>3434</v>
      </c>
      <c r="F5" s="7">
        <v>35653</v>
      </c>
      <c r="G5" s="10" t="s">
        <v>676</v>
      </c>
      <c r="H5" s="15" t="s">
        <v>2680</v>
      </c>
      <c r="I5" s="4">
        <f>MIN(COUNTIFS('Data Family'!A:A,A5,'Data Family'!F:F,"Child")+COUNTIFS('Data Family'!A:A,A5,'Data Family'!F:F,"&lt;&gt;Child",'Data Family'!J:J,"Housewife")+COUNTIFS('Data Family'!A:A,A5,'Data Family'!F:F,"&lt;&gt;Child",'Data Family'!J:J,"Unemployment"),3)</f>
        <v>1</v>
      </c>
      <c r="J5" s="10" t="s">
        <v>791</v>
      </c>
      <c r="K5" s="7" t="s">
        <v>701</v>
      </c>
      <c r="L5" s="7">
        <v>45583</v>
      </c>
      <c r="M5" s="7">
        <v>47409</v>
      </c>
      <c r="N5" s="7"/>
      <c r="O5" s="4" t="str">
        <f t="shared" ca="1" si="0"/>
        <v/>
      </c>
      <c r="P5" s="4" t="str">
        <f t="shared" ca="1" si="1"/>
        <v>Active</v>
      </c>
      <c r="Q5" s="4" t="str">
        <f t="shared" si="3"/>
        <v>PKWT</v>
      </c>
      <c r="R5" s="7" t="s">
        <v>2982</v>
      </c>
      <c r="S5" s="4" t="s">
        <v>2693</v>
      </c>
      <c r="T5" s="4" t="s">
        <v>2643</v>
      </c>
      <c r="U5" s="4" t="s">
        <v>2676</v>
      </c>
      <c r="V5" s="4" t="s">
        <v>659</v>
      </c>
      <c r="W5" s="4" t="s">
        <v>903</v>
      </c>
      <c r="X5" s="4" t="str">
        <f>_xlfn.XLOOKUP(V5,Reference!$O:$O,Reference!$N:$N,"Tidak Ketemu")</f>
        <v>G11</v>
      </c>
      <c r="Y5" s="4" t="str">
        <f t="shared" si="2"/>
        <v>TK/1</v>
      </c>
      <c r="Z5" s="10" t="s">
        <v>1328</v>
      </c>
      <c r="AA5" s="10" t="s">
        <v>1329</v>
      </c>
      <c r="AB5" s="7" t="s">
        <v>1330</v>
      </c>
      <c r="AC5" s="7" t="s">
        <v>3816</v>
      </c>
      <c r="AD5" s="17" t="s">
        <v>1331</v>
      </c>
      <c r="AE5" s="6" t="s">
        <v>1327</v>
      </c>
      <c r="AF5" s="6" t="s">
        <v>902</v>
      </c>
      <c r="AG5" s="6" t="s">
        <v>818</v>
      </c>
      <c r="AN5" s="4"/>
    </row>
    <row r="6" spans="1:40" ht="14.5" customHeight="1" x14ac:dyDescent="0.35">
      <c r="A6" s="5">
        <v>201642668</v>
      </c>
      <c r="B6" s="5" t="s">
        <v>3027</v>
      </c>
      <c r="C6" s="5" t="s">
        <v>188</v>
      </c>
      <c r="D6" s="5" t="s">
        <v>499</v>
      </c>
      <c r="E6" s="6" t="s">
        <v>3443</v>
      </c>
      <c r="F6" s="7">
        <v>34390</v>
      </c>
      <c r="G6" s="10" t="s">
        <v>676</v>
      </c>
      <c r="H6" s="15" t="s">
        <v>2680</v>
      </c>
      <c r="I6" s="4">
        <f>MIN(COUNTIFS('Data Family'!A:A,A6,'Data Family'!F:F,"Child")+COUNTIFS('Data Family'!A:A,A6,'Data Family'!F:F,"&lt;&gt;Child",'Data Family'!J:J,"Housewife")+COUNTIFS('Data Family'!A:A,A6,'Data Family'!F:F,"&lt;&gt;Child",'Data Family'!J:J,"Unemployment"),3)</f>
        <v>2</v>
      </c>
      <c r="J6" s="10" t="s">
        <v>791</v>
      </c>
      <c r="K6" s="7" t="s">
        <v>677</v>
      </c>
      <c r="L6" s="7">
        <v>44494</v>
      </c>
      <c r="M6" s="7">
        <v>46412</v>
      </c>
      <c r="N6" s="7"/>
      <c r="O6" s="4" t="str">
        <f t="shared" ca="1" si="0"/>
        <v/>
      </c>
      <c r="P6" s="4" t="str">
        <f t="shared" ca="1" si="1"/>
        <v>Active</v>
      </c>
      <c r="Q6" s="4" t="str">
        <f t="shared" si="3"/>
        <v>PKWT</v>
      </c>
      <c r="R6" s="7" t="s">
        <v>2982</v>
      </c>
      <c r="S6" s="4" t="s">
        <v>2683</v>
      </c>
      <c r="T6" s="4" t="s">
        <v>2643</v>
      </c>
      <c r="U6" s="4" t="s">
        <v>2676</v>
      </c>
      <c r="V6" s="4" t="s">
        <v>2640</v>
      </c>
      <c r="W6" s="4" t="s">
        <v>2653</v>
      </c>
      <c r="X6" s="4" t="str">
        <f>_xlfn.XLOOKUP(V6,Reference!$O:$O,Reference!$N:$N,"Tidak Ketemu")</f>
        <v>G12</v>
      </c>
      <c r="Y6" s="4" t="str">
        <f t="shared" si="2"/>
        <v>TK/2</v>
      </c>
      <c r="Z6" s="10" t="s">
        <v>1811</v>
      </c>
      <c r="AA6" s="10" t="s">
        <v>1812</v>
      </c>
      <c r="AB6" s="7" t="s">
        <v>1813</v>
      </c>
      <c r="AC6" s="7" t="s">
        <v>3816</v>
      </c>
      <c r="AD6" s="17" t="s">
        <v>1814</v>
      </c>
      <c r="AE6" s="6" t="s">
        <v>1810</v>
      </c>
      <c r="AF6" s="6" t="s">
        <v>1095</v>
      </c>
      <c r="AG6" s="6" t="s">
        <v>704</v>
      </c>
      <c r="AN6" s="4"/>
    </row>
    <row r="7" spans="1:40" ht="14.5" customHeight="1" x14ac:dyDescent="0.35">
      <c r="A7" s="5">
        <v>201843210</v>
      </c>
      <c r="B7" s="5" t="s">
        <v>1529</v>
      </c>
      <c r="C7" s="5" t="s">
        <v>140</v>
      </c>
      <c r="D7" s="5" t="s">
        <v>451</v>
      </c>
      <c r="E7" s="6" t="s">
        <v>3432</v>
      </c>
      <c r="F7" s="7">
        <v>32679</v>
      </c>
      <c r="G7" s="10" t="s">
        <v>648</v>
      </c>
      <c r="H7" s="15" t="s">
        <v>651</v>
      </c>
      <c r="I7" s="4">
        <f>MIN(COUNTIFS('Data Family'!A:A,A7,'Data Family'!F:F,"Child")+COUNTIFS('Data Family'!A:A,A7,'Data Family'!F:F,"&lt;&gt;Child",'Data Family'!J:J,"Housewife")+COUNTIFS('Data Family'!A:A,A7,'Data Family'!F:F,"&lt;&gt;Child",'Data Family'!J:J,"Unemployment"),3)</f>
        <v>0</v>
      </c>
      <c r="J7" s="10" t="s">
        <v>791</v>
      </c>
      <c r="K7" s="7" t="s">
        <v>677</v>
      </c>
      <c r="L7" s="7">
        <v>43210</v>
      </c>
      <c r="M7" s="7"/>
      <c r="N7" s="7"/>
      <c r="O7" s="4" t="str">
        <f t="shared" ca="1" si="0"/>
        <v/>
      </c>
      <c r="P7" s="4" t="str">
        <f t="shared" ca="1" si="1"/>
        <v>Active</v>
      </c>
      <c r="Q7" s="4" t="str">
        <f t="shared" si="3"/>
        <v>PKWTT</v>
      </c>
      <c r="R7" s="7" t="s">
        <v>2983</v>
      </c>
      <c r="S7" s="4" t="s">
        <v>2676</v>
      </c>
      <c r="T7" s="4" t="s">
        <v>2643</v>
      </c>
      <c r="U7" s="4" t="s">
        <v>2676</v>
      </c>
      <c r="V7" s="4" t="s">
        <v>2624</v>
      </c>
      <c r="W7" s="4" t="s">
        <v>2651</v>
      </c>
      <c r="X7" s="4" t="str">
        <f>_xlfn.XLOOKUP(V7,Reference!$O:$O,Reference!$N:$N,"Tidak Ketemu")</f>
        <v>G07</v>
      </c>
      <c r="Y7" s="4" t="str">
        <f t="shared" si="2"/>
        <v>K/0</v>
      </c>
      <c r="Z7" s="10" t="s">
        <v>1532</v>
      </c>
      <c r="AA7" s="10" t="s">
        <v>1533</v>
      </c>
      <c r="AB7" s="7" t="s">
        <v>1534</v>
      </c>
      <c r="AC7" s="7" t="s">
        <v>3816</v>
      </c>
      <c r="AD7" s="17" t="s">
        <v>1535</v>
      </c>
      <c r="AE7" s="6" t="s">
        <v>1530</v>
      </c>
      <c r="AF7" s="6" t="s">
        <v>1531</v>
      </c>
      <c r="AG7" s="6" t="s">
        <v>731</v>
      </c>
      <c r="AN7" s="4"/>
    </row>
    <row r="8" spans="1:40" x14ac:dyDescent="0.35">
      <c r="A8" s="5">
        <v>202043917</v>
      </c>
      <c r="B8" s="5" t="s">
        <v>879</v>
      </c>
      <c r="C8" s="5" t="s">
        <v>50</v>
      </c>
      <c r="D8" s="5" t="s">
        <v>361</v>
      </c>
      <c r="E8" s="6" t="s">
        <v>3423</v>
      </c>
      <c r="F8" s="7">
        <v>32615</v>
      </c>
      <c r="G8" s="10" t="s">
        <v>676</v>
      </c>
      <c r="H8" s="15" t="s">
        <v>651</v>
      </c>
      <c r="I8" s="4">
        <f>MIN(COUNTIFS('Data Family'!A:A,A8,'Data Family'!F:F,"Child")+COUNTIFS('Data Family'!A:A,A8,'Data Family'!F:F,"&lt;&gt;Child",'Data Family'!J:J,"Housewife")+COUNTIFS('Data Family'!A:A,A8,'Data Family'!F:F,"&lt;&gt;Child",'Data Family'!J:J,"Unemployment"),3)</f>
        <v>0</v>
      </c>
      <c r="J8" s="10" t="s">
        <v>791</v>
      </c>
      <c r="K8" s="7" t="s">
        <v>677</v>
      </c>
      <c r="L8" s="7">
        <v>43186</v>
      </c>
      <c r="M8" s="7"/>
      <c r="N8" s="7"/>
      <c r="O8" s="4" t="str">
        <f t="shared" ca="1" si="0"/>
        <v/>
      </c>
      <c r="P8" s="4" t="str">
        <f t="shared" ca="1" si="1"/>
        <v>Active</v>
      </c>
      <c r="Q8" s="4" t="str">
        <f t="shared" si="3"/>
        <v>PKWTT</v>
      </c>
      <c r="R8" s="7" t="s">
        <v>2982</v>
      </c>
      <c r="S8" s="4" t="s">
        <v>2676</v>
      </c>
      <c r="T8" s="4" t="s">
        <v>3015</v>
      </c>
      <c r="U8" s="4" t="s">
        <v>3017</v>
      </c>
      <c r="V8" s="4" t="s">
        <v>659</v>
      </c>
      <c r="W8" s="4" t="s">
        <v>3020</v>
      </c>
      <c r="X8" s="4" t="str">
        <f>_xlfn.XLOOKUP(V8,Reference!$O:$O,Reference!$N:$N,"Tidak Ketemu")</f>
        <v>G11</v>
      </c>
      <c r="Y8" s="4" t="str">
        <f t="shared" si="2"/>
        <v>TK/0</v>
      </c>
      <c r="Z8" s="10" t="s">
        <v>882</v>
      </c>
      <c r="AA8" s="10" t="s">
        <v>883</v>
      </c>
      <c r="AB8" s="7" t="s">
        <v>884</v>
      </c>
      <c r="AC8" s="7" t="s">
        <v>3816</v>
      </c>
      <c r="AD8" s="17" t="s">
        <v>885</v>
      </c>
      <c r="AE8" s="6" t="s">
        <v>880</v>
      </c>
      <c r="AF8" s="6" t="s">
        <v>881</v>
      </c>
      <c r="AG8" s="6" t="s">
        <v>818</v>
      </c>
      <c r="AN8" s="4"/>
    </row>
    <row r="9" spans="1:40" ht="14.5" customHeight="1" x14ac:dyDescent="0.35">
      <c r="A9" s="5">
        <v>201642597</v>
      </c>
      <c r="B9" s="5" t="s">
        <v>2385</v>
      </c>
      <c r="C9" s="5" t="s">
        <v>310</v>
      </c>
      <c r="D9" s="5" t="s">
        <v>621</v>
      </c>
      <c r="E9" s="6" t="s">
        <v>689</v>
      </c>
      <c r="F9" s="7">
        <v>28543</v>
      </c>
      <c r="G9" s="10" t="s">
        <v>648</v>
      </c>
      <c r="H9" s="15" t="s">
        <v>651</v>
      </c>
      <c r="I9" s="4">
        <f>MIN(COUNTIFS('Data Family'!A:A,A9,'Data Family'!F:F,"Child")+COUNTIFS('Data Family'!A:A,A9,'Data Family'!F:F,"&lt;&gt;Child",'Data Family'!J:J,"Housewife")+COUNTIFS('Data Family'!A:A,A9,'Data Family'!F:F,"&lt;&gt;Child",'Data Family'!J:J,"Unemployment"),3)</f>
        <v>2</v>
      </c>
      <c r="J9" s="10" t="s">
        <v>3002</v>
      </c>
      <c r="K9" s="7" t="s">
        <v>691</v>
      </c>
      <c r="L9" s="7">
        <v>42597</v>
      </c>
      <c r="M9" s="7"/>
      <c r="N9" s="7"/>
      <c r="O9" s="4" t="str">
        <f t="shared" ca="1" si="0"/>
        <v/>
      </c>
      <c r="P9" s="4" t="str">
        <f t="shared" ca="1" si="1"/>
        <v>Active</v>
      </c>
      <c r="Q9" s="4" t="str">
        <f t="shared" si="3"/>
        <v>PKWTT</v>
      </c>
      <c r="R9" s="7" t="s">
        <v>2984</v>
      </c>
      <c r="S9" s="4" t="s">
        <v>2676</v>
      </c>
      <c r="T9" s="4" t="s">
        <v>3015</v>
      </c>
      <c r="U9" s="4" t="s">
        <v>3017</v>
      </c>
      <c r="V9" s="4" t="s">
        <v>2621</v>
      </c>
      <c r="W9" s="4" t="s">
        <v>3021</v>
      </c>
      <c r="X9" s="4" t="str">
        <f>_xlfn.XLOOKUP(V9,Reference!$O:$O,Reference!$N:$N,"Tidak Ketemu")</f>
        <v>G06</v>
      </c>
      <c r="Y9" s="4" t="str">
        <f t="shared" si="2"/>
        <v>K/2</v>
      </c>
      <c r="Z9" s="10" t="s">
        <v>2484</v>
      </c>
      <c r="AA9" s="10" t="s">
        <v>2485</v>
      </c>
      <c r="AB9" s="7" t="s">
        <v>2486</v>
      </c>
      <c r="AC9" s="7" t="s">
        <v>3816</v>
      </c>
      <c r="AD9" s="17" t="s">
        <v>2487</v>
      </c>
      <c r="AE9" s="6" t="s">
        <v>2483</v>
      </c>
      <c r="AF9" s="6" t="s">
        <v>2386</v>
      </c>
      <c r="AG9" s="6" t="s">
        <v>778</v>
      </c>
      <c r="AN9" s="4"/>
    </row>
    <row r="10" spans="1:40" ht="14.5" customHeight="1" x14ac:dyDescent="0.35">
      <c r="A10" s="5">
        <v>202043908</v>
      </c>
      <c r="B10" s="5" t="s">
        <v>1266</v>
      </c>
      <c r="C10" s="5" t="s">
        <v>198</v>
      </c>
      <c r="D10" s="5" t="s">
        <v>509</v>
      </c>
      <c r="E10" s="6" t="s">
        <v>3445</v>
      </c>
      <c r="F10" s="7">
        <v>33124</v>
      </c>
      <c r="G10" s="10" t="s">
        <v>648</v>
      </c>
      <c r="H10" s="15" t="s">
        <v>651</v>
      </c>
      <c r="I10" s="4">
        <f>MIN(COUNTIFS('Data Family'!A:A,A10,'Data Family'!F:F,"Child")+COUNTIFS('Data Family'!A:A,A10,'Data Family'!F:F,"&lt;&gt;Child",'Data Family'!J:J,"Housewife")+COUNTIFS('Data Family'!A:A,A10,'Data Family'!F:F,"&lt;&gt;Child",'Data Family'!J:J,"Unemployment"),3)</f>
        <v>1</v>
      </c>
      <c r="J10" s="10" t="s">
        <v>791</v>
      </c>
      <c r="K10" s="7" t="s">
        <v>701</v>
      </c>
      <c r="L10" s="7">
        <v>43542</v>
      </c>
      <c r="M10" s="7"/>
      <c r="N10" s="7"/>
      <c r="O10" s="4" t="str">
        <f t="shared" ca="1" si="0"/>
        <v/>
      </c>
      <c r="P10" s="4" t="str">
        <f t="shared" ca="1" si="1"/>
        <v>Active</v>
      </c>
      <c r="Q10" s="4" t="str">
        <f t="shared" si="3"/>
        <v>PKWTT</v>
      </c>
      <c r="R10" s="7" t="s">
        <v>2983</v>
      </c>
      <c r="S10" s="4" t="s">
        <v>2643</v>
      </c>
      <c r="T10" s="4" t="s">
        <v>3015</v>
      </c>
      <c r="U10" s="4" t="s">
        <v>3017</v>
      </c>
      <c r="V10" s="4" t="s">
        <v>659</v>
      </c>
      <c r="W10" s="4" t="s">
        <v>3020</v>
      </c>
      <c r="X10" s="4" t="str">
        <f>_xlfn.XLOOKUP(V10,Reference!$O:$O,Reference!$N:$N,"Tidak Ketemu")</f>
        <v>G11</v>
      </c>
      <c r="Y10" s="4" t="str">
        <f t="shared" si="2"/>
        <v>K/1</v>
      </c>
      <c r="Z10" s="10" t="s">
        <v>1869</v>
      </c>
      <c r="AA10" s="10" t="s">
        <v>1870</v>
      </c>
      <c r="AB10" s="7" t="s">
        <v>1871</v>
      </c>
      <c r="AC10" s="7" t="s">
        <v>3816</v>
      </c>
      <c r="AD10" s="17" t="s">
        <v>1872</v>
      </c>
      <c r="AE10" s="6" t="s">
        <v>1868</v>
      </c>
      <c r="AF10" s="6" t="s">
        <v>1267</v>
      </c>
      <c r="AG10" s="6" t="s">
        <v>694</v>
      </c>
      <c r="AN10" s="4"/>
    </row>
    <row r="11" spans="1:40" ht="14.5" customHeight="1" x14ac:dyDescent="0.35">
      <c r="A11" s="5">
        <v>202043954</v>
      </c>
      <c r="B11" s="5" t="s">
        <v>3115</v>
      </c>
      <c r="C11" s="5" t="s">
        <v>30</v>
      </c>
      <c r="D11" s="5" t="s">
        <v>341</v>
      </c>
      <c r="E11" s="6" t="s">
        <v>649</v>
      </c>
      <c r="F11" s="7">
        <v>28118</v>
      </c>
      <c r="G11" s="10" t="s">
        <v>676</v>
      </c>
      <c r="H11" s="15" t="s">
        <v>651</v>
      </c>
      <c r="I11" s="4">
        <f>MIN(COUNTIFS('Data Family'!A:A,A11,'Data Family'!F:F,"Child")+COUNTIFS('Data Family'!A:A,A11,'Data Family'!F:F,"&lt;&gt;Child",'Data Family'!J:J,"Housewife")+COUNTIFS('Data Family'!A:A,A11,'Data Family'!F:F,"&lt;&gt;Child",'Data Family'!J:J,"Unemployment"),3)</f>
        <v>0</v>
      </c>
      <c r="J11" s="10" t="s">
        <v>791</v>
      </c>
      <c r="K11" s="7" t="s">
        <v>677</v>
      </c>
      <c r="L11" s="7">
        <v>38110</v>
      </c>
      <c r="M11" s="7"/>
      <c r="N11" s="7"/>
      <c r="O11" s="4" t="str">
        <f t="shared" ca="1" si="0"/>
        <v/>
      </c>
      <c r="P11" s="4" t="str">
        <f t="shared" ca="1" si="1"/>
        <v>Active</v>
      </c>
      <c r="Q11" s="4" t="str">
        <f t="shared" si="3"/>
        <v>PKWTT</v>
      </c>
      <c r="R11" s="7" t="s">
        <v>2983</v>
      </c>
      <c r="S11" s="4" t="s">
        <v>2677</v>
      </c>
      <c r="T11" s="4" t="s">
        <v>3015</v>
      </c>
      <c r="U11" s="4" t="s">
        <v>3016</v>
      </c>
      <c r="V11" s="4" t="s">
        <v>3836</v>
      </c>
      <c r="W11" s="4" t="s">
        <v>3836</v>
      </c>
      <c r="X11" s="4" t="str">
        <f>_xlfn.XLOOKUP(V11,Reference!$O:$O,Reference!$N:$N,"Tidak Ketemu")</f>
        <v>G02</v>
      </c>
      <c r="Y11" s="4" t="str">
        <f t="shared" si="2"/>
        <v>TK/0</v>
      </c>
      <c r="Z11" s="10" t="s">
        <v>716</v>
      </c>
      <c r="AA11" s="10" t="s">
        <v>717</v>
      </c>
      <c r="AB11" s="7" t="s">
        <v>718</v>
      </c>
      <c r="AC11" s="7" t="s">
        <v>3816</v>
      </c>
      <c r="AD11" s="17" t="s">
        <v>719</v>
      </c>
      <c r="AE11" s="6" t="s">
        <v>712</v>
      </c>
      <c r="AF11" s="6" t="s">
        <v>713</v>
      </c>
      <c r="AG11" s="6" t="s">
        <v>656</v>
      </c>
      <c r="AN11" s="4"/>
    </row>
    <row r="12" spans="1:40" ht="14.5" customHeight="1" x14ac:dyDescent="0.35">
      <c r="A12" s="5">
        <v>201943658</v>
      </c>
      <c r="B12" s="5" t="s">
        <v>1425</v>
      </c>
      <c r="C12" s="5" t="s">
        <v>139</v>
      </c>
      <c r="D12" s="5" t="s">
        <v>450</v>
      </c>
      <c r="E12" s="6" t="s">
        <v>3429</v>
      </c>
      <c r="F12" s="7">
        <v>28095</v>
      </c>
      <c r="G12" s="10" t="s">
        <v>648</v>
      </c>
      <c r="H12" s="15" t="s">
        <v>651</v>
      </c>
      <c r="I12" s="4">
        <f>MIN(COUNTIFS('Data Family'!A:A,A12,'Data Family'!F:F,"Child")+COUNTIFS('Data Family'!A:A,A12,'Data Family'!F:F,"&lt;&gt;Child",'Data Family'!J:J,"Housewife")+COUNTIFS('Data Family'!A:A,A12,'Data Family'!F:F,"&lt;&gt;Child",'Data Family'!J:J,"Unemployment"),3)</f>
        <v>1</v>
      </c>
      <c r="J12" s="10" t="s">
        <v>791</v>
      </c>
      <c r="K12" s="7" t="s">
        <v>652</v>
      </c>
      <c r="L12" s="7">
        <v>37084</v>
      </c>
      <c r="M12" s="7"/>
      <c r="N12" s="7"/>
      <c r="O12" s="4" t="str">
        <f t="shared" ca="1" si="0"/>
        <v/>
      </c>
      <c r="P12" s="4" t="str">
        <f t="shared" ca="1" si="1"/>
        <v>Active</v>
      </c>
      <c r="Q12" s="4" t="str">
        <f t="shared" si="3"/>
        <v>PKWTT</v>
      </c>
      <c r="R12" s="7" t="s">
        <v>2983</v>
      </c>
      <c r="S12" s="4" t="s">
        <v>2679</v>
      </c>
      <c r="T12" s="4" t="s">
        <v>3015</v>
      </c>
      <c r="U12" s="4" t="s">
        <v>3016</v>
      </c>
      <c r="V12" s="4" t="s">
        <v>3838</v>
      </c>
      <c r="W12" s="4" t="s">
        <v>3838</v>
      </c>
      <c r="X12" s="4" t="str">
        <f>_xlfn.XLOOKUP(V12,Reference!$O:$O,Reference!$N:$N,"Tidak Ketemu")</f>
        <v>G03</v>
      </c>
      <c r="Y12" s="4" t="str">
        <f t="shared" si="2"/>
        <v>K/1</v>
      </c>
      <c r="Z12" s="10" t="s">
        <v>1523</v>
      </c>
      <c r="AA12" s="10" t="s">
        <v>1524</v>
      </c>
      <c r="AB12" s="7" t="s">
        <v>1525</v>
      </c>
      <c r="AC12" s="7" t="s">
        <v>3816</v>
      </c>
      <c r="AD12" s="17" t="s">
        <v>1526</v>
      </c>
      <c r="AE12" s="6" t="s">
        <v>1522</v>
      </c>
      <c r="AF12" s="6" t="s">
        <v>1426</v>
      </c>
      <c r="AG12" s="6" t="s">
        <v>778</v>
      </c>
      <c r="AN12" s="4"/>
    </row>
    <row r="13" spans="1:40" ht="14.5" customHeight="1" x14ac:dyDescent="0.35">
      <c r="A13" s="5">
        <v>201441797</v>
      </c>
      <c r="B13" s="5" t="s">
        <v>1044</v>
      </c>
      <c r="C13" s="5" t="s">
        <v>71</v>
      </c>
      <c r="D13" s="5" t="s">
        <v>382</v>
      </c>
      <c r="E13" s="6" t="s">
        <v>3424</v>
      </c>
      <c r="F13" s="7">
        <v>26323</v>
      </c>
      <c r="G13" s="10" t="s">
        <v>648</v>
      </c>
      <c r="H13" s="15" t="s">
        <v>651</v>
      </c>
      <c r="I13" s="4">
        <f>MIN(COUNTIFS('Data Family'!A:A,A13,'Data Family'!F:F,"Child")+COUNTIFS('Data Family'!A:A,A13,'Data Family'!F:F,"&lt;&gt;Child",'Data Family'!J:J,"Housewife")+COUNTIFS('Data Family'!A:A,A13,'Data Family'!F:F,"&lt;&gt;Child",'Data Family'!J:J,"Unemployment"),3)</f>
        <v>2</v>
      </c>
      <c r="J13" s="10" t="s">
        <v>3003</v>
      </c>
      <c r="K13" s="7" t="s">
        <v>691</v>
      </c>
      <c r="L13" s="7">
        <v>37414</v>
      </c>
      <c r="M13" s="7"/>
      <c r="N13" s="7"/>
      <c r="O13" s="4" t="str">
        <f t="shared" ca="1" si="0"/>
        <v/>
      </c>
      <c r="P13" s="4" t="str">
        <f t="shared" ca="1" si="1"/>
        <v>Active</v>
      </c>
      <c r="Q13" s="4" t="str">
        <f t="shared" si="3"/>
        <v>PKWTT</v>
      </c>
      <c r="R13" s="7" t="s">
        <v>2984</v>
      </c>
      <c r="S13" s="4" t="s">
        <v>2676</v>
      </c>
      <c r="T13" s="4" t="s">
        <v>3015</v>
      </c>
      <c r="U13" s="4" t="s">
        <v>3016</v>
      </c>
      <c r="V13" s="4" t="s">
        <v>3838</v>
      </c>
      <c r="W13" s="4" t="s">
        <v>3838</v>
      </c>
      <c r="X13" s="4" t="str">
        <f>_xlfn.XLOOKUP(V13,Reference!$O:$O,Reference!$N:$N,"Tidak Ketemu")</f>
        <v>G03</v>
      </c>
      <c r="Y13" s="4" t="str">
        <f t="shared" si="2"/>
        <v>K/2</v>
      </c>
      <c r="Z13" s="10" t="s">
        <v>1047</v>
      </c>
      <c r="AA13" s="10" t="s">
        <v>1048</v>
      </c>
      <c r="AB13" s="7" t="s">
        <v>1049</v>
      </c>
      <c r="AC13" s="7" t="s">
        <v>3816</v>
      </c>
      <c r="AD13" s="17" t="s">
        <v>1050</v>
      </c>
      <c r="AE13" s="6" t="s">
        <v>1045</v>
      </c>
      <c r="AF13" s="6" t="s">
        <v>1046</v>
      </c>
      <c r="AG13" s="6" t="s">
        <v>680</v>
      </c>
      <c r="AN13" s="4"/>
    </row>
    <row r="14" spans="1:40" ht="14.5" customHeight="1" x14ac:dyDescent="0.35">
      <c r="A14" s="5">
        <v>202244911</v>
      </c>
      <c r="B14" s="5" t="s">
        <v>3024</v>
      </c>
      <c r="C14" s="5" t="s">
        <v>220</v>
      </c>
      <c r="D14" s="5" t="s">
        <v>531</v>
      </c>
      <c r="E14" s="6" t="s">
        <v>3450</v>
      </c>
      <c r="F14" s="7">
        <v>32692</v>
      </c>
      <c r="G14" s="10" t="s">
        <v>676</v>
      </c>
      <c r="H14" s="15" t="s">
        <v>651</v>
      </c>
      <c r="I14" s="4">
        <f>MIN(COUNTIFS('Data Family'!A:A,A14,'Data Family'!F:F,"Child")+COUNTIFS('Data Family'!A:A,A14,'Data Family'!F:F,"&lt;&gt;Child",'Data Family'!J:J,"Housewife")+COUNTIFS('Data Family'!A:A,A14,'Data Family'!F:F,"&lt;&gt;Child",'Data Family'!J:J,"Unemployment"),3)</f>
        <v>0</v>
      </c>
      <c r="J14" s="10" t="s">
        <v>3002</v>
      </c>
      <c r="K14" s="7" t="s">
        <v>701</v>
      </c>
      <c r="L14" s="7">
        <v>44911</v>
      </c>
      <c r="M14" s="7">
        <v>46737</v>
      </c>
      <c r="N14" s="7"/>
      <c r="O14" s="4" t="str">
        <f t="shared" ca="1" si="0"/>
        <v/>
      </c>
      <c r="P14" s="4" t="str">
        <f t="shared" ca="1" si="1"/>
        <v>Active</v>
      </c>
      <c r="Q14" s="4" t="str">
        <f t="shared" si="3"/>
        <v>PKWT</v>
      </c>
      <c r="R14" s="7" t="s">
        <v>2983</v>
      </c>
      <c r="S14" s="4" t="s">
        <v>2683</v>
      </c>
      <c r="T14" s="4" t="s">
        <v>3015</v>
      </c>
      <c r="U14" s="4" t="s">
        <v>3019</v>
      </c>
      <c r="V14" s="4" t="s">
        <v>3073</v>
      </c>
      <c r="W14" s="4" t="s">
        <v>3019</v>
      </c>
      <c r="X14" s="4" t="str">
        <f>_xlfn.XLOOKUP(V14,Reference!$O:$O,Reference!$N:$N,"Tidak Ketemu")</f>
        <v>G10</v>
      </c>
      <c r="Y14" s="4" t="str">
        <f t="shared" si="2"/>
        <v>TK/0</v>
      </c>
      <c r="Z14" s="10" t="s">
        <v>1995</v>
      </c>
      <c r="AA14" s="10" t="s">
        <v>1996</v>
      </c>
      <c r="AB14" s="7" t="s">
        <v>1997</v>
      </c>
      <c r="AC14" s="7" t="s">
        <v>3816</v>
      </c>
      <c r="AD14" s="17" t="s">
        <v>1998</v>
      </c>
      <c r="AE14" s="6" t="s">
        <v>1994</v>
      </c>
      <c r="AF14" s="6" t="s">
        <v>1969</v>
      </c>
      <c r="AG14" s="6" t="s">
        <v>778</v>
      </c>
      <c r="AN14" s="4"/>
    </row>
    <row r="15" spans="1:40" ht="14.5" customHeight="1" x14ac:dyDescent="0.35">
      <c r="A15" s="5">
        <v>201542050</v>
      </c>
      <c r="B15" s="5" t="s">
        <v>921</v>
      </c>
      <c r="C15" s="5" t="s">
        <v>250</v>
      </c>
      <c r="D15" s="5" t="s">
        <v>561</v>
      </c>
      <c r="E15" s="6" t="s">
        <v>3447</v>
      </c>
      <c r="F15" s="7">
        <v>33170</v>
      </c>
      <c r="G15" s="10" t="s">
        <v>648</v>
      </c>
      <c r="H15" s="15" t="s">
        <v>651</v>
      </c>
      <c r="I15" s="4">
        <f>MIN(COUNTIFS('Data Family'!A:A,A15,'Data Family'!F:F,"Child")+COUNTIFS('Data Family'!A:A,A15,'Data Family'!F:F,"&lt;&gt;Child",'Data Family'!J:J,"Housewife")+COUNTIFS('Data Family'!A:A,A15,'Data Family'!F:F,"&lt;&gt;Child",'Data Family'!J:J,"Unemployment"),3)</f>
        <v>0</v>
      </c>
      <c r="J15" s="10" t="s">
        <v>3001</v>
      </c>
      <c r="K15" s="7" t="s">
        <v>691</v>
      </c>
      <c r="L15" s="7">
        <v>42050</v>
      </c>
      <c r="M15" s="7"/>
      <c r="N15" s="7"/>
      <c r="O15" s="4" t="str">
        <f t="shared" ca="1" si="0"/>
        <v/>
      </c>
      <c r="P15" s="4" t="str">
        <f t="shared" ca="1" si="1"/>
        <v>Active</v>
      </c>
      <c r="Q15" s="4" t="str">
        <f t="shared" si="3"/>
        <v>PKWTT</v>
      </c>
      <c r="R15" s="7" t="s">
        <v>2982</v>
      </c>
      <c r="S15" s="4" t="s">
        <v>2693</v>
      </c>
      <c r="T15" s="4" t="s">
        <v>2643</v>
      </c>
      <c r="U15" s="4" t="s">
        <v>2665</v>
      </c>
      <c r="V15" s="4" t="s">
        <v>3073</v>
      </c>
      <c r="W15" s="4" t="s">
        <v>695</v>
      </c>
      <c r="X15" s="4" t="str">
        <f>_xlfn.XLOOKUP(V15,Reference!$O:$O,Reference!$N:$N,"Tidak Ketemu")</f>
        <v>G10</v>
      </c>
      <c r="Y15" s="4" t="str">
        <f t="shared" si="2"/>
        <v>K/0</v>
      </c>
      <c r="Z15" s="10" t="s">
        <v>2159</v>
      </c>
      <c r="AA15" s="10" t="s">
        <v>2160</v>
      </c>
      <c r="AB15" s="7" t="s">
        <v>2161</v>
      </c>
      <c r="AC15" s="7" t="s">
        <v>3816</v>
      </c>
      <c r="AD15" s="17" t="s">
        <v>2162</v>
      </c>
      <c r="AE15" s="6" t="s">
        <v>2158</v>
      </c>
      <c r="AF15" s="6" t="s">
        <v>922</v>
      </c>
      <c r="AG15" s="6" t="s">
        <v>694</v>
      </c>
      <c r="AN15" s="4"/>
    </row>
    <row r="16" spans="1:40" ht="14.5" customHeight="1" x14ac:dyDescent="0.35">
      <c r="A16" s="5">
        <v>202144304</v>
      </c>
      <c r="B16" s="5" t="s">
        <v>1487</v>
      </c>
      <c r="C16" s="5" t="s">
        <v>134</v>
      </c>
      <c r="D16" s="5" t="s">
        <v>445</v>
      </c>
      <c r="E16" s="6" t="s">
        <v>3431</v>
      </c>
      <c r="F16" s="7">
        <v>32735</v>
      </c>
      <c r="G16" s="10" t="s">
        <v>676</v>
      </c>
      <c r="H16" s="15" t="s">
        <v>651</v>
      </c>
      <c r="I16" s="4">
        <f>MIN(COUNTIFS('Data Family'!A:A,A16,'Data Family'!F:F,"Child")+COUNTIFS('Data Family'!A:A,A16,'Data Family'!F:F,"&lt;&gt;Child",'Data Family'!J:J,"Housewife")+COUNTIFS('Data Family'!A:A,A16,'Data Family'!F:F,"&lt;&gt;Child",'Data Family'!J:J,"Unemployment"),3)</f>
        <v>1</v>
      </c>
      <c r="J16" s="10" t="s">
        <v>3001</v>
      </c>
      <c r="K16" s="7" t="s">
        <v>677</v>
      </c>
      <c r="L16" s="7">
        <v>45765</v>
      </c>
      <c r="M16" s="7">
        <v>46495</v>
      </c>
      <c r="N16" s="7"/>
      <c r="O16" s="4" t="str">
        <f t="shared" ca="1" si="0"/>
        <v/>
      </c>
      <c r="P16" s="4" t="str">
        <f t="shared" ca="1" si="1"/>
        <v>Active</v>
      </c>
      <c r="Q16" s="4" t="str">
        <f t="shared" si="3"/>
        <v>PKWT</v>
      </c>
      <c r="R16" s="7" t="s">
        <v>2982</v>
      </c>
      <c r="S16" s="4" t="s">
        <v>2693</v>
      </c>
      <c r="T16" s="4" t="s">
        <v>2643</v>
      </c>
      <c r="U16" s="4" t="s">
        <v>2665</v>
      </c>
      <c r="V16" s="4" t="s">
        <v>3073</v>
      </c>
      <c r="W16" s="4" t="s">
        <v>695</v>
      </c>
      <c r="X16" s="4" t="str">
        <f>_xlfn.XLOOKUP(V16,Reference!$O:$O,Reference!$N:$N,"Tidak Ketemu")</f>
        <v>G10</v>
      </c>
      <c r="Y16" s="4" t="str">
        <f t="shared" si="2"/>
        <v>TK/0</v>
      </c>
      <c r="Z16" s="10" t="s">
        <v>1490</v>
      </c>
      <c r="AA16" s="10" t="s">
        <v>1491</v>
      </c>
      <c r="AB16" s="7" t="s">
        <v>1492</v>
      </c>
      <c r="AC16" s="7" t="s">
        <v>3816</v>
      </c>
      <c r="AD16" s="17" t="s">
        <v>1493</v>
      </c>
      <c r="AE16" s="6" t="s">
        <v>1488</v>
      </c>
      <c r="AF16" s="6" t="s">
        <v>1489</v>
      </c>
      <c r="AG16" s="6" t="s">
        <v>656</v>
      </c>
      <c r="AN16" s="4"/>
    </row>
    <row r="17" spans="1:40" ht="14.5" customHeight="1" x14ac:dyDescent="0.35">
      <c r="A17" s="5">
        <v>202043907</v>
      </c>
      <c r="B17" s="5" t="s">
        <v>1788</v>
      </c>
      <c r="C17" s="5" t="s">
        <v>184</v>
      </c>
      <c r="D17" s="5" t="s">
        <v>495</v>
      </c>
      <c r="E17" s="6" t="s">
        <v>3425</v>
      </c>
      <c r="F17" s="7">
        <v>34844</v>
      </c>
      <c r="G17" s="10" t="s">
        <v>676</v>
      </c>
      <c r="H17" s="15" t="s">
        <v>2680</v>
      </c>
      <c r="I17" s="4">
        <f>MIN(COUNTIFS('Data Family'!A:A,A17,'Data Family'!F:F,"Child")+COUNTIFS('Data Family'!A:A,A17,'Data Family'!F:F,"&lt;&gt;Child",'Data Family'!J:J,"Housewife")+COUNTIFS('Data Family'!A:A,A17,'Data Family'!F:F,"&lt;&gt;Child",'Data Family'!J:J,"Unemployment"),3)</f>
        <v>2</v>
      </c>
      <c r="J17" s="10" t="s">
        <v>791</v>
      </c>
      <c r="K17" s="7" t="s">
        <v>652</v>
      </c>
      <c r="L17" s="7">
        <v>43907</v>
      </c>
      <c r="M17" s="7"/>
      <c r="N17" s="7"/>
      <c r="O17" s="4" t="str">
        <f t="shared" ca="1" si="0"/>
        <v/>
      </c>
      <c r="P17" s="4" t="str">
        <f t="shared" ca="1" si="1"/>
        <v>Active</v>
      </c>
      <c r="Q17" s="4" t="str">
        <f t="shared" si="3"/>
        <v>PKWTT</v>
      </c>
      <c r="R17" s="7" t="s">
        <v>2982</v>
      </c>
      <c r="S17" s="4" t="s">
        <v>2676</v>
      </c>
      <c r="T17" s="4" t="s">
        <v>2643</v>
      </c>
      <c r="U17" s="4" t="s">
        <v>2665</v>
      </c>
      <c r="V17" s="4" t="s">
        <v>659</v>
      </c>
      <c r="W17" s="4" t="s">
        <v>2649</v>
      </c>
      <c r="X17" s="4" t="str">
        <f>_xlfn.XLOOKUP(V17,Reference!$O:$O,Reference!$N:$N,"Tidak Ketemu")</f>
        <v>G11</v>
      </c>
      <c r="Y17" s="4" t="str">
        <f t="shared" si="2"/>
        <v>TK/2</v>
      </c>
      <c r="Z17" s="10" t="s">
        <v>1791</v>
      </c>
      <c r="AA17" s="10" t="s">
        <v>1792</v>
      </c>
      <c r="AB17" s="7" t="s">
        <v>1793</v>
      </c>
      <c r="AC17" s="7" t="s">
        <v>3816</v>
      </c>
      <c r="AD17" s="17" t="s">
        <v>1794</v>
      </c>
      <c r="AE17" s="6" t="s">
        <v>1789</v>
      </c>
      <c r="AF17" s="6" t="s">
        <v>1790</v>
      </c>
      <c r="AG17" s="6" t="s">
        <v>818</v>
      </c>
      <c r="AN17" s="4"/>
    </row>
    <row r="18" spans="1:40" ht="14.5" customHeight="1" x14ac:dyDescent="0.35">
      <c r="A18" s="5">
        <v>201742744</v>
      </c>
      <c r="B18" s="5" t="s">
        <v>1895</v>
      </c>
      <c r="C18" s="5" t="s">
        <v>203</v>
      </c>
      <c r="D18" s="5" t="s">
        <v>514</v>
      </c>
      <c r="E18" s="6" t="s">
        <v>3443</v>
      </c>
      <c r="F18" s="7">
        <v>35872</v>
      </c>
      <c r="G18" s="10" t="s">
        <v>676</v>
      </c>
      <c r="H18" s="15" t="s">
        <v>651</v>
      </c>
      <c r="I18" s="4">
        <f>MIN(COUNTIFS('Data Family'!A:A,A18,'Data Family'!F:F,"Child")+COUNTIFS('Data Family'!A:A,A18,'Data Family'!F:F,"&lt;&gt;Child",'Data Family'!J:J,"Housewife")+COUNTIFS('Data Family'!A:A,A18,'Data Family'!F:F,"&lt;&gt;Child",'Data Family'!J:J,"Unemployment"),3)</f>
        <v>0</v>
      </c>
      <c r="J18" s="10" t="s">
        <v>791</v>
      </c>
      <c r="K18" s="7" t="s">
        <v>652</v>
      </c>
      <c r="L18" s="7">
        <v>46031</v>
      </c>
      <c r="M18" s="7">
        <v>46396</v>
      </c>
      <c r="N18" s="7"/>
      <c r="O18" s="4" t="str">
        <f t="shared" ca="1" si="0"/>
        <v/>
      </c>
      <c r="P18" s="4" t="str">
        <f t="shared" ca="1" si="1"/>
        <v>Active</v>
      </c>
      <c r="Q18" s="4" t="str">
        <f t="shared" si="3"/>
        <v>PKWT</v>
      </c>
      <c r="R18" s="7" t="s">
        <v>2982</v>
      </c>
      <c r="S18" s="4" t="s">
        <v>2682</v>
      </c>
      <c r="T18" s="4" t="s">
        <v>2643</v>
      </c>
      <c r="U18" s="4" t="s">
        <v>2665</v>
      </c>
      <c r="V18" s="4" t="s">
        <v>2640</v>
      </c>
      <c r="W18" s="4" t="s">
        <v>2650</v>
      </c>
      <c r="X18" s="4" t="str">
        <f>_xlfn.XLOOKUP(V18,Reference!$O:$O,Reference!$N:$N,"Tidak Ketemu")</f>
        <v>G12</v>
      </c>
      <c r="Y18" s="4" t="str">
        <f t="shared" si="2"/>
        <v>TK/0</v>
      </c>
      <c r="Z18" s="10" t="s">
        <v>1898</v>
      </c>
      <c r="AA18" s="10" t="s">
        <v>1899</v>
      </c>
      <c r="AB18" s="7" t="s">
        <v>1900</v>
      </c>
      <c r="AC18" s="7" t="s">
        <v>3816</v>
      </c>
      <c r="AD18" s="17" t="s">
        <v>1901</v>
      </c>
      <c r="AE18" s="6" t="s">
        <v>1896</v>
      </c>
      <c r="AF18" s="6" t="s">
        <v>1897</v>
      </c>
      <c r="AG18" s="6" t="s">
        <v>680</v>
      </c>
      <c r="AN18" s="4"/>
    </row>
    <row r="19" spans="1:40" ht="14.5" customHeight="1" x14ac:dyDescent="0.35">
      <c r="A19" s="5">
        <v>202445629</v>
      </c>
      <c r="B19" s="5" t="s">
        <v>3050</v>
      </c>
      <c r="C19" s="5" t="s">
        <v>123</v>
      </c>
      <c r="D19" s="12">
        <v>2206649275120280</v>
      </c>
      <c r="E19" s="6" t="s">
        <v>3443</v>
      </c>
      <c r="F19" s="7">
        <v>31364</v>
      </c>
      <c r="G19" s="10" t="s">
        <v>648</v>
      </c>
      <c r="H19" s="15" t="s">
        <v>651</v>
      </c>
      <c r="I19" s="4">
        <f>MIN(COUNTIFS('Data Family'!A:A,A19,'Data Family'!F:F,"Child")+COUNTIFS('Data Family'!A:A,A19,'Data Family'!F:F,"&lt;&gt;Child",'Data Family'!J:J,"Housewife")+COUNTIFS('Data Family'!A:A,A19,'Data Family'!F:F,"&lt;&gt;Child",'Data Family'!J:J,"Unemployment"),3)</f>
        <v>0</v>
      </c>
      <c r="J19" s="10" t="s">
        <v>3002</v>
      </c>
      <c r="K19" s="7" t="s">
        <v>701</v>
      </c>
      <c r="L19" s="7">
        <v>42707</v>
      </c>
      <c r="M19" s="7"/>
      <c r="N19" s="7"/>
      <c r="O19" s="4" t="str">
        <f t="shared" ca="1" si="0"/>
        <v/>
      </c>
      <c r="P19" s="4" t="str">
        <f t="shared" ca="1" si="1"/>
        <v>Active</v>
      </c>
      <c r="Q19" s="4" t="str">
        <f t="shared" si="3"/>
        <v>PKWTT</v>
      </c>
      <c r="R19" s="7" t="s">
        <v>2983</v>
      </c>
      <c r="S19" s="4" t="s">
        <v>2676</v>
      </c>
      <c r="T19" s="4" t="s">
        <v>2643</v>
      </c>
      <c r="U19" s="4" t="s">
        <v>2665</v>
      </c>
      <c r="V19" s="4" t="s">
        <v>2621</v>
      </c>
      <c r="W19" s="4" t="s">
        <v>3049</v>
      </c>
      <c r="X19" s="4" t="str">
        <f>_xlfn.XLOOKUP(V19,Reference!$O:$O,Reference!$N:$N,"Tidak Ketemu")</f>
        <v>G06</v>
      </c>
      <c r="Y19" s="4" t="str">
        <f t="shared" si="2"/>
        <v>K/0</v>
      </c>
      <c r="Z19" s="10" t="s">
        <v>1411</v>
      </c>
      <c r="AA19" s="10" t="s">
        <v>1412</v>
      </c>
      <c r="AB19" s="7" t="s">
        <v>1413</v>
      </c>
      <c r="AC19" s="7" t="s">
        <v>3816</v>
      </c>
      <c r="AD19" s="17" t="s">
        <v>1414</v>
      </c>
      <c r="AE19" s="6" t="s">
        <v>1409</v>
      </c>
      <c r="AF19" s="6" t="s">
        <v>1410</v>
      </c>
      <c r="AG19" s="6" t="s">
        <v>694</v>
      </c>
      <c r="AN19" s="4"/>
    </row>
    <row r="20" spans="1:40" ht="14.5" customHeight="1" x14ac:dyDescent="0.35">
      <c r="A20" s="5">
        <v>201743013</v>
      </c>
      <c r="B20" s="5" t="s">
        <v>955</v>
      </c>
      <c r="C20" s="5" t="s">
        <v>59</v>
      </c>
      <c r="D20" s="5" t="s">
        <v>370</v>
      </c>
      <c r="E20" s="6" t="s">
        <v>3447</v>
      </c>
      <c r="F20" s="7">
        <v>28809</v>
      </c>
      <c r="G20" s="10" t="s">
        <v>648</v>
      </c>
      <c r="H20" s="15" t="s">
        <v>651</v>
      </c>
      <c r="I20" s="4">
        <f>MIN(COUNTIFS('Data Family'!A:A,A20,'Data Family'!F:F,"Child")+COUNTIFS('Data Family'!A:A,A20,'Data Family'!F:F,"&lt;&gt;Child",'Data Family'!J:J,"Housewife")+COUNTIFS('Data Family'!A:A,A20,'Data Family'!F:F,"&lt;&gt;Child",'Data Family'!J:J,"Unemployment"),3)</f>
        <v>2</v>
      </c>
      <c r="J20" s="10" t="s">
        <v>3002</v>
      </c>
      <c r="K20" s="7" t="s">
        <v>701</v>
      </c>
      <c r="L20" s="7">
        <v>43013</v>
      </c>
      <c r="M20" s="7"/>
      <c r="N20" s="7"/>
      <c r="O20" s="4" t="str">
        <f t="shared" ca="1" si="0"/>
        <v/>
      </c>
      <c r="P20" s="4" t="str">
        <f t="shared" ca="1" si="1"/>
        <v>Active</v>
      </c>
      <c r="Q20" s="4" t="str">
        <f t="shared" si="3"/>
        <v>PKWTT</v>
      </c>
      <c r="R20" s="7" t="s">
        <v>2984</v>
      </c>
      <c r="S20" s="4" t="s">
        <v>2676</v>
      </c>
      <c r="T20" s="4" t="s">
        <v>2643</v>
      </c>
      <c r="U20" s="4" t="s">
        <v>2665</v>
      </c>
      <c r="V20" s="4" t="s">
        <v>2642</v>
      </c>
      <c r="W20" s="4" t="s">
        <v>2642</v>
      </c>
      <c r="X20" s="4" t="str">
        <f>_xlfn.XLOOKUP(V20,Reference!$O:$O,Reference!$N:$N,"Tidak Ketemu")</f>
        <v>G05</v>
      </c>
      <c r="Y20" s="4" t="str">
        <f t="shared" si="2"/>
        <v>K/2</v>
      </c>
      <c r="Z20" s="10" t="s">
        <v>958</v>
      </c>
      <c r="AA20" s="10" t="s">
        <v>959</v>
      </c>
      <c r="AB20" s="7" t="s">
        <v>960</v>
      </c>
      <c r="AC20" s="7" t="s">
        <v>3816</v>
      </c>
      <c r="AD20" s="17" t="s">
        <v>961</v>
      </c>
      <c r="AE20" s="6" t="s">
        <v>956</v>
      </c>
      <c r="AF20" s="6" t="s">
        <v>957</v>
      </c>
      <c r="AG20" s="6" t="s">
        <v>694</v>
      </c>
      <c r="AN20" s="4"/>
    </row>
    <row r="21" spans="1:40" ht="14.5" customHeight="1" x14ac:dyDescent="0.35">
      <c r="A21" s="5">
        <v>202244751</v>
      </c>
      <c r="B21" s="5" t="s">
        <v>1656</v>
      </c>
      <c r="C21" s="5" t="s">
        <v>163</v>
      </c>
      <c r="D21" s="5" t="s">
        <v>474</v>
      </c>
      <c r="E21" s="6" t="s">
        <v>689</v>
      </c>
      <c r="F21" s="7">
        <v>31683</v>
      </c>
      <c r="G21" s="10" t="s">
        <v>648</v>
      </c>
      <c r="H21" s="15" t="s">
        <v>651</v>
      </c>
      <c r="I21" s="4">
        <f>MIN(COUNTIFS('Data Family'!A:A,A21,'Data Family'!F:F,"Child")+COUNTIFS('Data Family'!A:A,A21,'Data Family'!F:F,"&lt;&gt;Child",'Data Family'!J:J,"Housewife")+COUNTIFS('Data Family'!A:A,A21,'Data Family'!F:F,"&lt;&gt;Child",'Data Family'!J:J,"Unemployment"),3)</f>
        <v>0</v>
      </c>
      <c r="J21" s="10" t="s">
        <v>791</v>
      </c>
      <c r="K21" s="7" t="s">
        <v>691</v>
      </c>
      <c r="L21" s="7">
        <v>42194</v>
      </c>
      <c r="M21" s="7"/>
      <c r="N21" s="7"/>
      <c r="O21" s="4" t="str">
        <f t="shared" ca="1" si="0"/>
        <v/>
      </c>
      <c r="P21" s="4" t="str">
        <f t="shared" ca="1" si="1"/>
        <v>Active</v>
      </c>
      <c r="Q21" s="4" t="str">
        <f t="shared" si="3"/>
        <v>PKWTT</v>
      </c>
      <c r="R21" s="7" t="s">
        <v>2983</v>
      </c>
      <c r="S21" s="4" t="s">
        <v>2676</v>
      </c>
      <c r="T21" s="4" t="s">
        <v>2643</v>
      </c>
      <c r="U21" s="4" t="s">
        <v>2665</v>
      </c>
      <c r="V21" s="4" t="s">
        <v>2624</v>
      </c>
      <c r="W21" s="4" t="s">
        <v>2648</v>
      </c>
      <c r="X21" s="4" t="str">
        <f>_xlfn.XLOOKUP(V21,Reference!$O:$O,Reference!$N:$N,"Tidak Ketemu")</f>
        <v>G07</v>
      </c>
      <c r="Y21" s="4" t="str">
        <f t="shared" si="2"/>
        <v>K/0</v>
      </c>
      <c r="Z21" s="10" t="s">
        <v>1659</v>
      </c>
      <c r="AA21" s="10" t="s">
        <v>1660</v>
      </c>
      <c r="AB21" s="7" t="s">
        <v>1661</v>
      </c>
      <c r="AC21" s="7" t="s">
        <v>3816</v>
      </c>
      <c r="AD21" s="17" t="s">
        <v>1662</v>
      </c>
      <c r="AE21" s="6" t="s">
        <v>1657</v>
      </c>
      <c r="AF21" s="6" t="s">
        <v>1658</v>
      </c>
      <c r="AG21" s="6" t="s">
        <v>694</v>
      </c>
      <c r="AN21" s="4"/>
    </row>
    <row r="22" spans="1:40" ht="14.5" customHeight="1" x14ac:dyDescent="0.35">
      <c r="A22" s="5">
        <v>201943709</v>
      </c>
      <c r="B22" s="5" t="s">
        <v>3028</v>
      </c>
      <c r="C22" s="5" t="s">
        <v>49</v>
      </c>
      <c r="D22" s="5" t="s">
        <v>360</v>
      </c>
      <c r="E22" s="6" t="s">
        <v>689</v>
      </c>
      <c r="F22" s="7">
        <v>32348</v>
      </c>
      <c r="G22" s="10" t="s">
        <v>648</v>
      </c>
      <c r="H22" s="15" t="s">
        <v>651</v>
      </c>
      <c r="I22" s="4">
        <f>MIN(COUNTIFS('Data Family'!A:A,A22,'Data Family'!F:F,"Child")+COUNTIFS('Data Family'!A:A,A22,'Data Family'!F:F,"&lt;&gt;Child",'Data Family'!J:J,"Housewife")+COUNTIFS('Data Family'!A:A,A22,'Data Family'!F:F,"&lt;&gt;Child",'Data Family'!J:J,"Unemployment"),3)</f>
        <v>0</v>
      </c>
      <c r="J22" s="10" t="s">
        <v>791</v>
      </c>
      <c r="K22" s="7" t="s">
        <v>691</v>
      </c>
      <c r="L22" s="7">
        <v>42979</v>
      </c>
      <c r="M22" s="7"/>
      <c r="N22" s="7"/>
      <c r="O22" s="4" t="str">
        <f t="shared" ca="1" si="0"/>
        <v/>
      </c>
      <c r="P22" s="4" t="str">
        <f t="shared" ca="1" si="1"/>
        <v>Active</v>
      </c>
      <c r="Q22" s="4" t="str">
        <f t="shared" si="3"/>
        <v>PKWTT</v>
      </c>
      <c r="R22" s="7" t="s">
        <v>2983</v>
      </c>
      <c r="S22" s="4" t="s">
        <v>2679</v>
      </c>
      <c r="T22" s="4" t="s">
        <v>739</v>
      </c>
      <c r="U22" s="4" t="s">
        <v>3000</v>
      </c>
      <c r="V22" s="4" t="s">
        <v>2621</v>
      </c>
      <c r="W22" s="4" t="s">
        <v>2635</v>
      </c>
      <c r="X22" s="4" t="str">
        <f>_xlfn.XLOOKUP(V22,Reference!$O:$O,Reference!$N:$N,"Tidak Ketemu")</f>
        <v>G06</v>
      </c>
      <c r="Y22" s="4" t="str">
        <f t="shared" si="2"/>
        <v>K/0</v>
      </c>
      <c r="Z22" s="10" t="s">
        <v>875</v>
      </c>
      <c r="AA22" s="10" t="s">
        <v>876</v>
      </c>
      <c r="AB22" s="7" t="s">
        <v>877</v>
      </c>
      <c r="AC22" s="7" t="s">
        <v>3816</v>
      </c>
      <c r="AD22" s="17" t="s">
        <v>878</v>
      </c>
      <c r="AE22" s="6" t="s">
        <v>873</v>
      </c>
      <c r="AF22" s="6" t="s">
        <v>874</v>
      </c>
      <c r="AG22" s="6" t="s">
        <v>778</v>
      </c>
      <c r="AN22" s="4"/>
    </row>
    <row r="23" spans="1:40" ht="14.5" customHeight="1" x14ac:dyDescent="0.35">
      <c r="A23" s="5">
        <v>201743013</v>
      </c>
      <c r="B23" s="5" t="s">
        <v>967</v>
      </c>
      <c r="C23" s="5" t="s">
        <v>61</v>
      </c>
      <c r="D23" s="5" t="s">
        <v>372</v>
      </c>
      <c r="E23" s="6" t="s">
        <v>3429</v>
      </c>
      <c r="F23" s="7">
        <v>32853</v>
      </c>
      <c r="G23" s="10" t="s">
        <v>648</v>
      </c>
      <c r="H23" s="15" t="s">
        <v>651</v>
      </c>
      <c r="I23" s="4">
        <f>MIN(COUNTIFS('Data Family'!A:A,A23,'Data Family'!F:F,"Child")+COUNTIFS('Data Family'!A:A,A23,'Data Family'!F:F,"&lt;&gt;Child",'Data Family'!J:J,"Housewife")+COUNTIFS('Data Family'!A:A,A23,'Data Family'!F:F,"&lt;&gt;Child",'Data Family'!J:J,"Unemployment"),3)</f>
        <v>2</v>
      </c>
      <c r="J23" s="10" t="s">
        <v>791</v>
      </c>
      <c r="K23" s="7" t="s">
        <v>691</v>
      </c>
      <c r="L23" s="7">
        <v>43743</v>
      </c>
      <c r="M23" s="7"/>
      <c r="N23" s="7"/>
      <c r="O23" s="4" t="str">
        <f t="shared" ca="1" si="0"/>
        <v/>
      </c>
      <c r="P23" s="4" t="str">
        <f t="shared" ca="1" si="1"/>
        <v>Active</v>
      </c>
      <c r="Q23" s="4" t="str">
        <f t="shared" si="3"/>
        <v>PKWTT</v>
      </c>
      <c r="R23" s="7" t="s">
        <v>2983</v>
      </c>
      <c r="S23" s="4" t="s">
        <v>2677</v>
      </c>
      <c r="T23" s="4" t="s">
        <v>739</v>
      </c>
      <c r="U23" s="4" t="s">
        <v>3000</v>
      </c>
      <c r="V23" s="4" t="s">
        <v>2624</v>
      </c>
      <c r="W23" s="4" t="s">
        <v>3406</v>
      </c>
      <c r="X23" s="4" t="str">
        <f>_xlfn.XLOOKUP(V23,Reference!$O:$O,Reference!$N:$N,"Tidak Ketemu")</f>
        <v>G07</v>
      </c>
      <c r="Y23" s="4" t="str">
        <f t="shared" si="2"/>
        <v>K/2</v>
      </c>
      <c r="Z23" s="10" t="s">
        <v>970</v>
      </c>
      <c r="AA23" s="10" t="s">
        <v>971</v>
      </c>
      <c r="AB23" s="7" t="s">
        <v>972</v>
      </c>
      <c r="AC23" s="7" t="s">
        <v>3816</v>
      </c>
      <c r="AD23" s="17" t="s">
        <v>973</v>
      </c>
      <c r="AE23" s="6" t="s">
        <v>968</v>
      </c>
      <c r="AF23" s="6" t="s">
        <v>969</v>
      </c>
      <c r="AG23" s="6" t="s">
        <v>694</v>
      </c>
      <c r="AN23" s="4"/>
    </row>
    <row r="24" spans="1:40" ht="14.5" customHeight="1" x14ac:dyDescent="0.35">
      <c r="A24" s="5">
        <v>202044117</v>
      </c>
      <c r="B24" s="5" t="s">
        <v>3033</v>
      </c>
      <c r="C24" s="5" t="s">
        <v>82</v>
      </c>
      <c r="D24" s="5" t="s">
        <v>393</v>
      </c>
      <c r="E24" s="6" t="s">
        <v>3429</v>
      </c>
      <c r="F24" s="7">
        <v>33071</v>
      </c>
      <c r="G24" s="10" t="s">
        <v>648</v>
      </c>
      <c r="H24" s="15" t="s">
        <v>651</v>
      </c>
      <c r="I24" s="4">
        <f>MIN(COUNTIFS('Data Family'!A:A,A24,'Data Family'!F:F,"Child")+COUNTIFS('Data Family'!A:A,A24,'Data Family'!F:F,"&lt;&gt;Child",'Data Family'!J:J,"Housewife")+COUNTIFS('Data Family'!A:A,A24,'Data Family'!F:F,"&lt;&gt;Child",'Data Family'!J:J,"Unemployment"),3)</f>
        <v>0</v>
      </c>
      <c r="J24" s="10" t="s">
        <v>791</v>
      </c>
      <c r="K24" s="7" t="s">
        <v>652</v>
      </c>
      <c r="L24" s="7">
        <v>43386</v>
      </c>
      <c r="M24" s="7"/>
      <c r="N24" s="7"/>
      <c r="O24" s="4" t="str">
        <f t="shared" ca="1" si="0"/>
        <v/>
      </c>
      <c r="P24" s="4" t="str">
        <f t="shared" ca="1" si="1"/>
        <v>Active</v>
      </c>
      <c r="Q24" s="4" t="str">
        <f t="shared" si="3"/>
        <v>PKWTT</v>
      </c>
      <c r="R24" s="7" t="s">
        <v>2983</v>
      </c>
      <c r="S24" s="4" t="s">
        <v>2677</v>
      </c>
      <c r="T24" s="4" t="s">
        <v>739</v>
      </c>
      <c r="U24" s="4" t="s">
        <v>3000</v>
      </c>
      <c r="V24" s="4" t="s">
        <v>3073</v>
      </c>
      <c r="W24" s="4" t="s">
        <v>2638</v>
      </c>
      <c r="X24" s="4" t="str">
        <f>_xlfn.XLOOKUP(V24,Reference!$O:$O,Reference!$N:$N,"Tidak Ketemu")</f>
        <v>G10</v>
      </c>
      <c r="Y24" s="4" t="str">
        <f t="shared" si="2"/>
        <v>K/0</v>
      </c>
      <c r="Z24" s="10" t="s">
        <v>1126</v>
      </c>
      <c r="AA24" s="10" t="s">
        <v>1127</v>
      </c>
      <c r="AB24" s="7" t="s">
        <v>1128</v>
      </c>
      <c r="AC24" s="7" t="s">
        <v>3816</v>
      </c>
      <c r="AD24" s="17" t="s">
        <v>1129</v>
      </c>
      <c r="AE24" s="6" t="s">
        <v>1124</v>
      </c>
      <c r="AF24" s="6" t="s">
        <v>1125</v>
      </c>
      <c r="AG24" s="6" t="s">
        <v>778</v>
      </c>
      <c r="AN24" s="4"/>
    </row>
    <row r="25" spans="1:40" ht="14.5" customHeight="1" x14ac:dyDescent="0.35">
      <c r="A25" s="5">
        <v>202043987</v>
      </c>
      <c r="B25" s="5" t="s">
        <v>3029</v>
      </c>
      <c r="C25" s="5" t="s">
        <v>102</v>
      </c>
      <c r="D25" s="5" t="s">
        <v>413</v>
      </c>
      <c r="E25" s="6" t="s">
        <v>3430</v>
      </c>
      <c r="F25" s="7">
        <v>33684</v>
      </c>
      <c r="G25" s="10" t="s">
        <v>676</v>
      </c>
      <c r="H25" s="15" t="s">
        <v>651</v>
      </c>
      <c r="I25" s="4">
        <f>MIN(COUNTIFS('Data Family'!A:A,A25,'Data Family'!F:F,"Child")+COUNTIFS('Data Family'!A:A,A25,'Data Family'!F:F,"&lt;&gt;Child",'Data Family'!J:J,"Housewife")+COUNTIFS('Data Family'!A:A,A25,'Data Family'!F:F,"&lt;&gt;Child",'Data Family'!J:J,"Unemployment"),3)</f>
        <v>0</v>
      </c>
      <c r="J25" s="10" t="s">
        <v>791</v>
      </c>
      <c r="K25" s="7" t="s">
        <v>677</v>
      </c>
      <c r="L25" s="7">
        <v>43987</v>
      </c>
      <c r="M25" s="7"/>
      <c r="N25" s="7"/>
      <c r="O25" s="4" t="str">
        <f t="shared" ca="1" si="0"/>
        <v/>
      </c>
      <c r="P25" s="4" t="str">
        <f t="shared" ca="1" si="1"/>
        <v>Active</v>
      </c>
      <c r="Q25" s="4" t="str">
        <f t="shared" si="3"/>
        <v>PKWTT</v>
      </c>
      <c r="R25" s="7" t="s">
        <v>2982</v>
      </c>
      <c r="S25" s="4" t="s">
        <v>2677</v>
      </c>
      <c r="T25" s="4" t="s">
        <v>739</v>
      </c>
      <c r="U25" s="4" t="s">
        <v>3000</v>
      </c>
      <c r="V25" s="4" t="s">
        <v>3073</v>
      </c>
      <c r="W25" s="4" t="s">
        <v>740</v>
      </c>
      <c r="X25" s="4" t="str">
        <f>_xlfn.XLOOKUP(V25,Reference!$O:$O,Reference!$N:$N,"Tidak Ketemu")</f>
        <v>G10</v>
      </c>
      <c r="Y25" s="4" t="str">
        <f t="shared" si="2"/>
        <v>TK/0</v>
      </c>
      <c r="Z25" s="10" t="s">
        <v>1276</v>
      </c>
      <c r="AA25" s="10" t="s">
        <v>1277</v>
      </c>
      <c r="AB25" s="7" t="s">
        <v>1278</v>
      </c>
      <c r="AC25" s="7" t="s">
        <v>3816</v>
      </c>
      <c r="AD25" s="17" t="s">
        <v>1279</v>
      </c>
      <c r="AE25" s="6" t="s">
        <v>1275</v>
      </c>
      <c r="AF25" s="6" t="s">
        <v>881</v>
      </c>
      <c r="AG25" s="6" t="s">
        <v>680</v>
      </c>
      <c r="AN25" s="4"/>
    </row>
    <row r="26" spans="1:40" ht="14.5" customHeight="1" x14ac:dyDescent="0.35">
      <c r="A26" s="5">
        <v>201943752</v>
      </c>
      <c r="B26" s="5" t="s">
        <v>1132</v>
      </c>
      <c r="C26" s="5" t="s">
        <v>83</v>
      </c>
      <c r="D26" s="5" t="s">
        <v>394</v>
      </c>
      <c r="E26" s="6" t="s">
        <v>3424</v>
      </c>
      <c r="F26" s="7">
        <v>34230</v>
      </c>
      <c r="G26" s="10" t="s">
        <v>648</v>
      </c>
      <c r="H26" s="15" t="s">
        <v>651</v>
      </c>
      <c r="I26" s="4">
        <f>MIN(COUNTIFS('Data Family'!A:A,A26,'Data Family'!F:F,"Child")+COUNTIFS('Data Family'!A:A,A26,'Data Family'!F:F,"&lt;&gt;Child",'Data Family'!J:J,"Housewife")+COUNTIFS('Data Family'!A:A,A26,'Data Family'!F:F,"&lt;&gt;Child",'Data Family'!J:J,"Unemployment"),3)</f>
        <v>0</v>
      </c>
      <c r="J26" s="10" t="s">
        <v>791</v>
      </c>
      <c r="K26" s="7" t="s">
        <v>701</v>
      </c>
      <c r="L26" s="7">
        <v>43752</v>
      </c>
      <c r="M26" s="7"/>
      <c r="N26" s="7"/>
      <c r="O26" s="4" t="str">
        <f t="shared" ca="1" si="0"/>
        <v/>
      </c>
      <c r="P26" s="4" t="str">
        <f t="shared" ca="1" si="1"/>
        <v>Active</v>
      </c>
      <c r="Q26" s="4" t="str">
        <f t="shared" si="3"/>
        <v>PKWTT</v>
      </c>
      <c r="R26" s="7" t="s">
        <v>2982</v>
      </c>
      <c r="S26" s="4" t="s">
        <v>2643</v>
      </c>
      <c r="T26" s="4" t="s">
        <v>739</v>
      </c>
      <c r="U26" s="4" t="s">
        <v>3000</v>
      </c>
      <c r="V26" s="4" t="s">
        <v>3073</v>
      </c>
      <c r="W26" s="4" t="s">
        <v>841</v>
      </c>
      <c r="X26" s="4" t="str">
        <f>_xlfn.XLOOKUP(V26,Reference!$O:$O,Reference!$N:$N,"Tidak Ketemu")</f>
        <v>G10</v>
      </c>
      <c r="Y26" s="4" t="str">
        <f t="shared" si="2"/>
        <v>K/0</v>
      </c>
      <c r="Z26" s="10" t="s">
        <v>1135</v>
      </c>
      <c r="AA26" s="10" t="s">
        <v>1136</v>
      </c>
      <c r="AB26" s="7" t="s">
        <v>1137</v>
      </c>
      <c r="AC26" s="7" t="s">
        <v>3816</v>
      </c>
      <c r="AD26" s="17" t="s">
        <v>1138</v>
      </c>
      <c r="AE26" s="6" t="s">
        <v>1133</v>
      </c>
      <c r="AF26" s="6" t="s">
        <v>1134</v>
      </c>
      <c r="AG26" s="6" t="s">
        <v>778</v>
      </c>
      <c r="AN26" s="4"/>
    </row>
    <row r="27" spans="1:40" ht="14.5" customHeight="1" x14ac:dyDescent="0.35">
      <c r="A27" s="5">
        <v>202144365</v>
      </c>
      <c r="B27" s="5" t="s">
        <v>675</v>
      </c>
      <c r="C27" s="5" t="s">
        <v>242</v>
      </c>
      <c r="D27" s="5" t="s">
        <v>553</v>
      </c>
      <c r="E27" s="6" t="s">
        <v>3447</v>
      </c>
      <c r="F27" s="7">
        <v>34595</v>
      </c>
      <c r="G27" s="10" t="s">
        <v>676</v>
      </c>
      <c r="H27" s="15" t="s">
        <v>651</v>
      </c>
      <c r="I27" s="4">
        <f>MIN(COUNTIFS('Data Family'!A:A,A27,'Data Family'!F:F,"Child")+COUNTIFS('Data Family'!A:A,A27,'Data Family'!F:F,"&lt;&gt;Child",'Data Family'!J:J,"Housewife")+COUNTIFS('Data Family'!A:A,A27,'Data Family'!F:F,"&lt;&gt;Child",'Data Family'!J:J,"Unemployment"),3)</f>
        <v>2</v>
      </c>
      <c r="J27" s="10" t="s">
        <v>791</v>
      </c>
      <c r="K27" s="7" t="s">
        <v>691</v>
      </c>
      <c r="L27" s="7">
        <v>45887</v>
      </c>
      <c r="M27" s="7">
        <v>46617</v>
      </c>
      <c r="N27" s="7"/>
      <c r="O27" s="4" t="str">
        <f t="shared" ca="1" si="0"/>
        <v/>
      </c>
      <c r="P27" s="4" t="str">
        <f t="shared" ca="1" si="1"/>
        <v>Active</v>
      </c>
      <c r="Q27" s="4" t="str">
        <f t="shared" si="3"/>
        <v>PKWT</v>
      </c>
      <c r="R27" s="7" t="s">
        <v>2982</v>
      </c>
      <c r="S27" s="4" t="s">
        <v>2677</v>
      </c>
      <c r="T27" s="4" t="s">
        <v>739</v>
      </c>
      <c r="U27" s="4" t="s">
        <v>3000</v>
      </c>
      <c r="V27" s="4" t="s">
        <v>659</v>
      </c>
      <c r="W27" s="4" t="s">
        <v>764</v>
      </c>
      <c r="X27" s="4" t="str">
        <f>_xlfn.XLOOKUP(V27,Reference!$O:$O,Reference!$N:$N,"Tidak Ketemu")</f>
        <v>G11</v>
      </c>
      <c r="Y27" s="4" t="str">
        <f t="shared" si="2"/>
        <v>TK/0</v>
      </c>
      <c r="Z27" s="10" t="s">
        <v>2117</v>
      </c>
      <c r="AA27" s="10" t="s">
        <v>2118</v>
      </c>
      <c r="AB27" s="7" t="s">
        <v>2119</v>
      </c>
      <c r="AC27" s="7" t="s">
        <v>3816</v>
      </c>
      <c r="AD27" s="17" t="s">
        <v>2120</v>
      </c>
      <c r="AE27" s="6" t="s">
        <v>2116</v>
      </c>
      <c r="AF27" s="6" t="s">
        <v>679</v>
      </c>
      <c r="AG27" s="6" t="s">
        <v>656</v>
      </c>
      <c r="AN27" s="4"/>
    </row>
    <row r="28" spans="1:40" ht="14.5" customHeight="1" x14ac:dyDescent="0.35">
      <c r="A28" s="5">
        <v>202044146</v>
      </c>
      <c r="B28" s="5" t="s">
        <v>700</v>
      </c>
      <c r="C28" s="5" t="s">
        <v>226</v>
      </c>
      <c r="D28" s="5" t="s">
        <v>537</v>
      </c>
      <c r="E28" s="6" t="s">
        <v>689</v>
      </c>
      <c r="F28" s="7">
        <v>35139</v>
      </c>
      <c r="G28" s="10" t="s">
        <v>648</v>
      </c>
      <c r="H28" s="15" t="s">
        <v>651</v>
      </c>
      <c r="I28" s="4">
        <f>MIN(COUNTIFS('Data Family'!A:A,A28,'Data Family'!F:F,"Child")+COUNTIFS('Data Family'!A:A,A28,'Data Family'!F:F,"&lt;&gt;Child",'Data Family'!J:J,"Housewife")+COUNTIFS('Data Family'!A:A,A28,'Data Family'!F:F,"&lt;&gt;Child",'Data Family'!J:J,"Unemployment"),3)</f>
        <v>2</v>
      </c>
      <c r="J28" s="10" t="s">
        <v>791</v>
      </c>
      <c r="K28" s="7" t="s">
        <v>701</v>
      </c>
      <c r="L28" s="7">
        <v>44146</v>
      </c>
      <c r="M28" s="7"/>
      <c r="N28" s="7"/>
      <c r="O28" s="4" t="str">
        <f t="shared" ca="1" si="0"/>
        <v/>
      </c>
      <c r="P28" s="4" t="str">
        <f t="shared" ca="1" si="1"/>
        <v>Active</v>
      </c>
      <c r="Q28" s="4" t="str">
        <f t="shared" si="3"/>
        <v>PKWTT</v>
      </c>
      <c r="R28" s="7" t="s">
        <v>2982</v>
      </c>
      <c r="S28" s="4" t="s">
        <v>2677</v>
      </c>
      <c r="T28" s="4" t="s">
        <v>739</v>
      </c>
      <c r="U28" s="4" t="s">
        <v>3000</v>
      </c>
      <c r="V28" s="4" t="s">
        <v>659</v>
      </c>
      <c r="W28" s="4" t="s">
        <v>764</v>
      </c>
      <c r="X28" s="4" t="str">
        <f>_xlfn.XLOOKUP(V28,Reference!$O:$O,Reference!$N:$N,"Tidak Ketemu")</f>
        <v>G11</v>
      </c>
      <c r="Y28" s="4" t="str">
        <f t="shared" si="2"/>
        <v>K/2</v>
      </c>
      <c r="Z28" s="10" t="s">
        <v>2029</v>
      </c>
      <c r="AA28" s="10" t="s">
        <v>2030</v>
      </c>
      <c r="AB28" s="7" t="s">
        <v>2031</v>
      </c>
      <c r="AC28" s="7" t="s">
        <v>3816</v>
      </c>
      <c r="AD28" s="17" t="s">
        <v>2032</v>
      </c>
      <c r="AE28" s="6" t="s">
        <v>2028</v>
      </c>
      <c r="AF28" s="6" t="s">
        <v>703</v>
      </c>
      <c r="AG28" s="6" t="s">
        <v>704</v>
      </c>
      <c r="AN28" s="4"/>
    </row>
    <row r="29" spans="1:40" ht="14.5" customHeight="1" x14ac:dyDescent="0.35">
      <c r="A29" s="5">
        <v>202044084</v>
      </c>
      <c r="B29" s="5" t="s">
        <v>3031</v>
      </c>
      <c r="C29" s="5" t="s">
        <v>79</v>
      </c>
      <c r="D29" s="5" t="s">
        <v>390</v>
      </c>
      <c r="E29" s="6" t="s">
        <v>3447</v>
      </c>
      <c r="F29" s="7">
        <v>35523</v>
      </c>
      <c r="G29" s="10" t="s">
        <v>676</v>
      </c>
      <c r="H29" s="15" t="s">
        <v>666</v>
      </c>
      <c r="I29" s="4">
        <f>MIN(COUNTIFS('Data Family'!A:A,A29,'Data Family'!F:F,"Child")+COUNTIFS('Data Family'!A:A,A29,'Data Family'!F:F,"&lt;&gt;Child",'Data Family'!J:J,"Housewife")+COUNTIFS('Data Family'!A:A,A29,'Data Family'!F:F,"&lt;&gt;Child",'Data Family'!J:J,"Unemployment"),3)</f>
        <v>1</v>
      </c>
      <c r="J29" s="10" t="s">
        <v>791</v>
      </c>
      <c r="K29" s="7" t="s">
        <v>652</v>
      </c>
      <c r="L29" s="7">
        <v>44084</v>
      </c>
      <c r="M29" s="7"/>
      <c r="N29" s="7"/>
      <c r="O29" s="4" t="str">
        <f t="shared" ca="1" si="0"/>
        <v/>
      </c>
      <c r="P29" s="4" t="str">
        <f t="shared" ca="1" si="1"/>
        <v>Active</v>
      </c>
      <c r="Q29" s="4" t="str">
        <f t="shared" si="3"/>
        <v>PKWTT</v>
      </c>
      <c r="R29" s="7" t="s">
        <v>2982</v>
      </c>
      <c r="S29" s="4" t="s">
        <v>2683</v>
      </c>
      <c r="T29" s="4" t="s">
        <v>739</v>
      </c>
      <c r="U29" s="4" t="s">
        <v>3000</v>
      </c>
      <c r="V29" s="4" t="s">
        <v>659</v>
      </c>
      <c r="W29" s="4" t="s">
        <v>819</v>
      </c>
      <c r="X29" s="4" t="str">
        <f>_xlfn.XLOOKUP(V29,Reference!$O:$O,Reference!$N:$N,"Tidak Ketemu")</f>
        <v>G11</v>
      </c>
      <c r="Y29" s="4" t="str">
        <f t="shared" si="2"/>
        <v>TK/1</v>
      </c>
      <c r="Z29" s="10" t="s">
        <v>1101</v>
      </c>
      <c r="AA29" s="10" t="s">
        <v>1102</v>
      </c>
      <c r="AB29" s="7" t="s">
        <v>1103</v>
      </c>
      <c r="AC29" s="7" t="s">
        <v>3816</v>
      </c>
      <c r="AD29" s="17" t="s">
        <v>1104</v>
      </c>
      <c r="AE29" s="6" t="s">
        <v>1100</v>
      </c>
      <c r="AF29" s="6" t="s">
        <v>902</v>
      </c>
      <c r="AG29" s="6" t="s">
        <v>731</v>
      </c>
      <c r="AN29" s="4"/>
    </row>
    <row r="30" spans="1:40" ht="14.5" customHeight="1" x14ac:dyDescent="0.35">
      <c r="A30" s="5">
        <v>201642614</v>
      </c>
      <c r="B30" s="5" t="s">
        <v>1051</v>
      </c>
      <c r="C30" s="5" t="s">
        <v>175</v>
      </c>
      <c r="D30" s="5" t="s">
        <v>486</v>
      </c>
      <c r="E30" s="6" t="s">
        <v>689</v>
      </c>
      <c r="F30" s="7">
        <v>35692</v>
      </c>
      <c r="G30" s="10" t="s">
        <v>648</v>
      </c>
      <c r="H30" s="15" t="s">
        <v>651</v>
      </c>
      <c r="I30" s="4">
        <f>MIN(COUNTIFS('Data Family'!A:A,A30,'Data Family'!F:F,"Child")+COUNTIFS('Data Family'!A:A,A30,'Data Family'!F:F,"&lt;&gt;Child",'Data Family'!J:J,"Housewife")+COUNTIFS('Data Family'!A:A,A30,'Data Family'!F:F,"&lt;&gt;Child",'Data Family'!J:J,"Unemployment"),3)</f>
        <v>1</v>
      </c>
      <c r="J30" s="10" t="s">
        <v>791</v>
      </c>
      <c r="K30" s="7" t="s">
        <v>691</v>
      </c>
      <c r="L30" s="7">
        <v>45536</v>
      </c>
      <c r="M30" s="7">
        <v>46266</v>
      </c>
      <c r="N30" s="7"/>
      <c r="O30" s="4" t="str">
        <f t="shared" ca="1" si="0"/>
        <v/>
      </c>
      <c r="P30" s="4" t="str">
        <f t="shared" ca="1" si="1"/>
        <v>Active</v>
      </c>
      <c r="Q30" s="4" t="str">
        <f t="shared" si="3"/>
        <v>PKWT</v>
      </c>
      <c r="R30" s="7" t="s">
        <v>2982</v>
      </c>
      <c r="S30" s="4" t="s">
        <v>2682</v>
      </c>
      <c r="T30" s="4" t="s">
        <v>739</v>
      </c>
      <c r="U30" s="4" t="s">
        <v>3000</v>
      </c>
      <c r="V30" s="4" t="s">
        <v>659</v>
      </c>
      <c r="W30" s="4" t="s">
        <v>1024</v>
      </c>
      <c r="X30" s="4" t="str">
        <f>_xlfn.XLOOKUP(V30,Reference!$O:$O,Reference!$N:$N,"Tidak Ketemu")</f>
        <v>G11</v>
      </c>
      <c r="Y30" s="4" t="str">
        <f t="shared" si="2"/>
        <v>K/1</v>
      </c>
      <c r="Z30" s="10" t="s">
        <v>1734</v>
      </c>
      <c r="AA30" s="10" t="s">
        <v>1735</v>
      </c>
      <c r="AB30" s="7" t="s">
        <v>1736</v>
      </c>
      <c r="AC30" s="7" t="s">
        <v>3816</v>
      </c>
      <c r="AD30" s="17" t="s">
        <v>1737</v>
      </c>
      <c r="AE30" s="6" t="s">
        <v>1733</v>
      </c>
      <c r="AF30" s="6" t="s">
        <v>1053</v>
      </c>
      <c r="AG30" s="6" t="s">
        <v>704</v>
      </c>
      <c r="AN30" s="4"/>
    </row>
    <row r="31" spans="1:40" ht="14.5" customHeight="1" x14ac:dyDescent="0.35">
      <c r="A31" s="5">
        <v>202044094</v>
      </c>
      <c r="B31" s="5" t="s">
        <v>2276</v>
      </c>
      <c r="C31" s="5" t="s">
        <v>271</v>
      </c>
      <c r="D31" s="5" t="s">
        <v>582</v>
      </c>
      <c r="E31" s="6" t="s">
        <v>3444</v>
      </c>
      <c r="F31" s="7">
        <v>35927</v>
      </c>
      <c r="G31" s="10" t="s">
        <v>648</v>
      </c>
      <c r="H31" s="15" t="s">
        <v>651</v>
      </c>
      <c r="I31" s="4">
        <f>MIN(COUNTIFS('Data Family'!A:A,A31,'Data Family'!F:F,"Child")+COUNTIFS('Data Family'!A:A,A31,'Data Family'!F:F,"&lt;&gt;Child",'Data Family'!J:J,"Housewife")+COUNTIFS('Data Family'!A:A,A31,'Data Family'!F:F,"&lt;&gt;Child",'Data Family'!J:J,"Unemployment"),3)</f>
        <v>0</v>
      </c>
      <c r="J31" s="10" t="s">
        <v>791</v>
      </c>
      <c r="K31" s="7" t="s">
        <v>701</v>
      </c>
      <c r="L31" s="7">
        <v>44094</v>
      </c>
      <c r="M31" s="7"/>
      <c r="N31" s="7"/>
      <c r="O31" s="4" t="str">
        <f t="shared" ca="1" si="0"/>
        <v/>
      </c>
      <c r="P31" s="4" t="str">
        <f t="shared" ca="1" si="1"/>
        <v>Active</v>
      </c>
      <c r="Q31" s="4" t="str">
        <f t="shared" si="3"/>
        <v>PKWTT</v>
      </c>
      <c r="R31" s="7" t="s">
        <v>2982</v>
      </c>
      <c r="S31" s="4" t="s">
        <v>2684</v>
      </c>
      <c r="T31" s="4" t="s">
        <v>739</v>
      </c>
      <c r="U31" s="4" t="s">
        <v>3000</v>
      </c>
      <c r="V31" s="4" t="s">
        <v>659</v>
      </c>
      <c r="W31" s="4" t="s">
        <v>819</v>
      </c>
      <c r="X31" s="4" t="str">
        <f>_xlfn.XLOOKUP(V31,Reference!$O:$O,Reference!$N:$N,"Tidak Ketemu")</f>
        <v>G11</v>
      </c>
      <c r="Y31" s="4" t="str">
        <f t="shared" si="2"/>
        <v>K/0</v>
      </c>
      <c r="Z31" s="10" t="s">
        <v>2279</v>
      </c>
      <c r="AA31" s="10" t="s">
        <v>2280</v>
      </c>
      <c r="AB31" s="7" t="s">
        <v>2281</v>
      </c>
      <c r="AC31" s="7" t="s">
        <v>3816</v>
      </c>
      <c r="AD31" s="17" t="s">
        <v>2282</v>
      </c>
      <c r="AE31" s="6" t="s">
        <v>2277</v>
      </c>
      <c r="AF31" s="6" t="s">
        <v>2278</v>
      </c>
      <c r="AG31" s="6" t="s">
        <v>731</v>
      </c>
      <c r="AN31" s="4"/>
    </row>
    <row r="32" spans="1:40" ht="14.5" customHeight="1" x14ac:dyDescent="0.35">
      <c r="A32" s="5">
        <v>202044053</v>
      </c>
      <c r="B32" s="5" t="s">
        <v>2366</v>
      </c>
      <c r="C32" s="5" t="s">
        <v>289</v>
      </c>
      <c r="D32" s="5" t="s">
        <v>600</v>
      </c>
      <c r="E32" s="6" t="s">
        <v>3436</v>
      </c>
      <c r="F32" s="7">
        <v>35803</v>
      </c>
      <c r="G32" s="10" t="s">
        <v>676</v>
      </c>
      <c r="H32" s="15" t="s">
        <v>666</v>
      </c>
      <c r="I32" s="4">
        <f>MIN(COUNTIFS('Data Family'!A:A,A32,'Data Family'!F:F,"Child")+COUNTIFS('Data Family'!A:A,A32,'Data Family'!F:F,"&lt;&gt;Child",'Data Family'!J:J,"Housewife")+COUNTIFS('Data Family'!A:A,A32,'Data Family'!F:F,"&lt;&gt;Child",'Data Family'!J:J,"Unemployment"),3)</f>
        <v>0</v>
      </c>
      <c r="J32" s="10" t="s">
        <v>791</v>
      </c>
      <c r="K32" s="7" t="s">
        <v>691</v>
      </c>
      <c r="L32" s="7">
        <v>44053</v>
      </c>
      <c r="M32" s="7"/>
      <c r="N32" s="7"/>
      <c r="O32" s="4" t="str">
        <f t="shared" ca="1" si="0"/>
        <v/>
      </c>
      <c r="P32" s="4" t="str">
        <f t="shared" ca="1" si="1"/>
        <v>Active</v>
      </c>
      <c r="Q32" s="4" t="str">
        <f t="shared" si="3"/>
        <v>PKWTT</v>
      </c>
      <c r="R32" s="7" t="s">
        <v>2982</v>
      </c>
      <c r="S32" s="4" t="s">
        <v>2684</v>
      </c>
      <c r="T32" s="4" t="s">
        <v>739</v>
      </c>
      <c r="U32" s="4" t="s">
        <v>3000</v>
      </c>
      <c r="V32" s="4" t="s">
        <v>659</v>
      </c>
      <c r="W32" s="4" t="s">
        <v>819</v>
      </c>
      <c r="X32" s="4" t="str">
        <f>_xlfn.XLOOKUP(V32,Reference!$O:$O,Reference!$N:$N,"Tidak Ketemu")</f>
        <v>G11</v>
      </c>
      <c r="Y32" s="4" t="str">
        <f t="shared" si="2"/>
        <v>TK/0</v>
      </c>
      <c r="Z32" s="10" t="s">
        <v>2369</v>
      </c>
      <c r="AA32" s="10" t="s">
        <v>2370</v>
      </c>
      <c r="AB32" s="7" t="s">
        <v>2371</v>
      </c>
      <c r="AC32" s="7" t="s">
        <v>3816</v>
      </c>
      <c r="AD32" s="17" t="s">
        <v>2372</v>
      </c>
      <c r="AE32" s="6" t="s">
        <v>2367</v>
      </c>
      <c r="AF32" s="6" t="s">
        <v>2368</v>
      </c>
      <c r="AG32" s="6" t="s">
        <v>656</v>
      </c>
      <c r="AN32" s="4"/>
    </row>
    <row r="33" spans="1:40" ht="14.5" customHeight="1" x14ac:dyDescent="0.35">
      <c r="A33" s="5">
        <v>201642722</v>
      </c>
      <c r="B33" s="5" t="s">
        <v>2201</v>
      </c>
      <c r="C33" s="5" t="s">
        <v>291</v>
      </c>
      <c r="D33" s="5" t="s">
        <v>602</v>
      </c>
      <c r="E33" s="6" t="s">
        <v>649</v>
      </c>
      <c r="F33" s="7">
        <v>35665</v>
      </c>
      <c r="G33" s="10" t="s">
        <v>648</v>
      </c>
      <c r="H33" s="15" t="s">
        <v>651</v>
      </c>
      <c r="I33" s="4">
        <f>MIN(COUNTIFS('Data Family'!A:A,A33,'Data Family'!F:F,"Child")+COUNTIFS('Data Family'!A:A,A33,'Data Family'!F:F,"&lt;&gt;Child",'Data Family'!J:J,"Housewife")+COUNTIFS('Data Family'!A:A,A33,'Data Family'!F:F,"&lt;&gt;Child",'Data Family'!J:J,"Unemployment"),3)</f>
        <v>2</v>
      </c>
      <c r="J33" s="10" t="s">
        <v>791</v>
      </c>
      <c r="K33" s="7" t="s">
        <v>691</v>
      </c>
      <c r="L33" s="7">
        <v>45278</v>
      </c>
      <c r="M33" s="7">
        <v>46374</v>
      </c>
      <c r="N33" s="7"/>
      <c r="O33" s="4" t="str">
        <f t="shared" ca="1" si="0"/>
        <v/>
      </c>
      <c r="P33" s="4" t="str">
        <f t="shared" ca="1" si="1"/>
        <v>Active</v>
      </c>
      <c r="Q33" s="4" t="str">
        <f t="shared" si="3"/>
        <v>PKWT</v>
      </c>
      <c r="R33" s="7" t="s">
        <v>2982</v>
      </c>
      <c r="S33" s="4" t="s">
        <v>2679</v>
      </c>
      <c r="T33" s="4" t="s">
        <v>739</v>
      </c>
      <c r="U33" s="4" t="s">
        <v>3000</v>
      </c>
      <c r="V33" s="4" t="s">
        <v>659</v>
      </c>
      <c r="W33" s="4" t="s">
        <v>764</v>
      </c>
      <c r="X33" s="4" t="str">
        <f>_xlfn.XLOOKUP(V33,Reference!$O:$O,Reference!$N:$N,"Tidak Ketemu")</f>
        <v>G11</v>
      </c>
      <c r="Y33" s="4" t="str">
        <f t="shared" si="2"/>
        <v>K/2</v>
      </c>
      <c r="Z33" s="10" t="s">
        <v>2379</v>
      </c>
      <c r="AA33" s="10" t="s">
        <v>2380</v>
      </c>
      <c r="AB33" s="7" t="s">
        <v>2381</v>
      </c>
      <c r="AC33" s="7" t="s">
        <v>3816</v>
      </c>
      <c r="AD33" s="17" t="s">
        <v>2382</v>
      </c>
      <c r="AE33" s="6" t="s">
        <v>2378</v>
      </c>
      <c r="AF33" s="6" t="s">
        <v>2203</v>
      </c>
      <c r="AG33" s="6" t="s">
        <v>818</v>
      </c>
      <c r="AN33" s="4"/>
    </row>
    <row r="34" spans="1:40" ht="14.5" customHeight="1" x14ac:dyDescent="0.35">
      <c r="A34" s="5">
        <v>202545684</v>
      </c>
      <c r="B34" s="5" t="s">
        <v>1827</v>
      </c>
      <c r="C34" s="5" t="s">
        <v>205</v>
      </c>
      <c r="D34" s="5" t="s">
        <v>516</v>
      </c>
      <c r="E34" s="6" t="s">
        <v>742</v>
      </c>
      <c r="F34" s="7">
        <v>40409</v>
      </c>
      <c r="G34" s="10" t="s">
        <v>676</v>
      </c>
      <c r="H34" s="15" t="s">
        <v>666</v>
      </c>
      <c r="I34" s="4">
        <f>MIN(COUNTIFS('Data Family'!A:A,A34,'Data Family'!F:F,"Child")+COUNTIFS('Data Family'!A:A,A34,'Data Family'!F:F,"&lt;&gt;Child",'Data Family'!J:J,"Housewife")+COUNTIFS('Data Family'!A:A,A34,'Data Family'!F:F,"&lt;&gt;Child",'Data Family'!J:J,"Unemployment"),3)</f>
        <v>0</v>
      </c>
      <c r="J34" s="10" t="s">
        <v>791</v>
      </c>
      <c r="K34" s="7" t="s">
        <v>701</v>
      </c>
      <c r="L34" s="7">
        <v>46049</v>
      </c>
      <c r="M34" s="7">
        <v>46414</v>
      </c>
      <c r="N34" s="7"/>
      <c r="O34" s="4" t="str">
        <f t="shared" ca="1" si="0"/>
        <v/>
      </c>
      <c r="P34" s="4" t="str">
        <f t="shared" ca="1" si="1"/>
        <v>Active</v>
      </c>
      <c r="Q34" s="4" t="str">
        <f t="shared" si="3"/>
        <v>PKWT</v>
      </c>
      <c r="R34" s="7" t="s">
        <v>2980</v>
      </c>
      <c r="S34" s="4" t="s">
        <v>2988</v>
      </c>
      <c r="T34" s="4" t="s">
        <v>739</v>
      </c>
      <c r="U34" s="4" t="s">
        <v>3000</v>
      </c>
      <c r="V34" s="4" t="s">
        <v>2681</v>
      </c>
      <c r="W34" s="4" t="s">
        <v>3849</v>
      </c>
      <c r="X34" s="4" t="str">
        <f>_xlfn.XLOOKUP(V34,Reference!$O:$O,Reference!$N:$N,"Tidak Ketemu")</f>
        <v>G14</v>
      </c>
      <c r="Y34" s="4" t="str">
        <f t="shared" si="2"/>
        <v>TK/0</v>
      </c>
      <c r="Z34" s="10" t="s">
        <v>1910</v>
      </c>
      <c r="AA34" s="10" t="s">
        <v>1911</v>
      </c>
      <c r="AB34" s="7" t="s">
        <v>1912</v>
      </c>
      <c r="AC34" s="7" t="s">
        <v>3817</v>
      </c>
      <c r="AD34" s="7" t="s">
        <v>1913</v>
      </c>
      <c r="AE34" s="6" t="s">
        <v>1909</v>
      </c>
      <c r="AF34" s="6" t="s">
        <v>1829</v>
      </c>
      <c r="AG34" s="6" t="s">
        <v>731</v>
      </c>
      <c r="AN34" s="4"/>
    </row>
    <row r="35" spans="1:40" ht="14.5" customHeight="1" x14ac:dyDescent="0.35">
      <c r="A35" s="5">
        <v>202044026</v>
      </c>
      <c r="B35" s="5" t="s">
        <v>3030</v>
      </c>
      <c r="C35" s="5" t="s">
        <v>32</v>
      </c>
      <c r="D35" s="5" t="s">
        <v>343</v>
      </c>
      <c r="E35" s="6" t="s">
        <v>649</v>
      </c>
      <c r="F35" s="7">
        <v>38615</v>
      </c>
      <c r="G35" s="10" t="s">
        <v>676</v>
      </c>
      <c r="H35" s="15" t="s">
        <v>666</v>
      </c>
      <c r="I35" s="4">
        <f>MIN(COUNTIFS('Data Family'!A:A,A35,'Data Family'!F:F,"Child")+COUNTIFS('Data Family'!A:A,A35,'Data Family'!F:F,"&lt;&gt;Child",'Data Family'!J:J,"Housewife")+COUNTIFS('Data Family'!A:A,A35,'Data Family'!F:F,"&lt;&gt;Child",'Data Family'!J:J,"Unemployment"),3)</f>
        <v>0</v>
      </c>
      <c r="J35" s="10" t="s">
        <v>791</v>
      </c>
      <c r="K35" s="7" t="s">
        <v>691</v>
      </c>
      <c r="L35" s="7">
        <v>44026</v>
      </c>
      <c r="M35" s="7"/>
      <c r="N35" s="7"/>
      <c r="O35" s="4" t="str">
        <f t="shared" ca="1" si="0"/>
        <v/>
      </c>
      <c r="P35" s="4" t="str">
        <f t="shared" ca="1" si="1"/>
        <v>Active</v>
      </c>
      <c r="Q35" s="4" t="str">
        <f t="shared" si="3"/>
        <v>PKWTT</v>
      </c>
      <c r="R35" s="7" t="s">
        <v>2978</v>
      </c>
      <c r="S35" s="4" t="s">
        <v>2990</v>
      </c>
      <c r="T35" s="4" t="s">
        <v>739</v>
      </c>
      <c r="U35" s="4" t="s">
        <v>3000</v>
      </c>
      <c r="V35" s="4" t="s">
        <v>2640</v>
      </c>
      <c r="W35" s="4" t="s">
        <v>2639</v>
      </c>
      <c r="X35" s="4" t="str">
        <f>_xlfn.XLOOKUP(V35,Reference!$O:$O,Reference!$N:$N,"Tidak Ketemu")</f>
        <v>G12</v>
      </c>
      <c r="Y35" s="4" t="str">
        <f t="shared" si="2"/>
        <v>TK/0</v>
      </c>
      <c r="Z35" s="10" t="s">
        <v>734</v>
      </c>
      <c r="AA35" s="10" t="s">
        <v>735</v>
      </c>
      <c r="AB35" s="7" t="s">
        <v>736</v>
      </c>
      <c r="AC35" s="7" t="s">
        <v>3816</v>
      </c>
      <c r="AD35" s="17" t="s">
        <v>737</v>
      </c>
      <c r="AE35" s="6" t="s">
        <v>729</v>
      </c>
      <c r="AF35" s="6" t="s">
        <v>730</v>
      </c>
      <c r="AG35" s="6" t="s">
        <v>731</v>
      </c>
      <c r="AN35" s="4"/>
    </row>
    <row r="36" spans="1:40" ht="14.5" customHeight="1" x14ac:dyDescent="0.35">
      <c r="A36" s="5">
        <v>202244602</v>
      </c>
      <c r="B36" s="5" t="s">
        <v>1506</v>
      </c>
      <c r="C36" s="5" t="s">
        <v>137</v>
      </c>
      <c r="D36" s="5" t="s">
        <v>448</v>
      </c>
      <c r="E36" s="6" t="s">
        <v>689</v>
      </c>
      <c r="F36" s="7">
        <v>38615</v>
      </c>
      <c r="G36" s="10" t="s">
        <v>676</v>
      </c>
      <c r="H36" s="15" t="s">
        <v>666</v>
      </c>
      <c r="I36" s="4">
        <f>MIN(COUNTIFS('Data Family'!A:A,A36,'Data Family'!F:F,"Child")+COUNTIFS('Data Family'!A:A,A36,'Data Family'!F:F,"&lt;&gt;Child",'Data Family'!J:J,"Housewife")+COUNTIFS('Data Family'!A:A,A36,'Data Family'!F:F,"&lt;&gt;Child",'Data Family'!J:J,"Unemployment"),3)</f>
        <v>0</v>
      </c>
      <c r="J36" s="10" t="s">
        <v>791</v>
      </c>
      <c r="K36" s="7" t="s">
        <v>677</v>
      </c>
      <c r="L36" s="7">
        <v>44602</v>
      </c>
      <c r="M36" s="7">
        <v>46428</v>
      </c>
      <c r="N36" s="7"/>
      <c r="O36" s="4" t="str">
        <f t="shared" ca="1" si="0"/>
        <v/>
      </c>
      <c r="P36" s="4" t="str">
        <f t="shared" ca="1" si="1"/>
        <v>Active</v>
      </c>
      <c r="Q36" s="4" t="str">
        <f t="shared" si="3"/>
        <v>PKWT</v>
      </c>
      <c r="R36" s="7" t="s">
        <v>2978</v>
      </c>
      <c r="S36" s="4" t="s">
        <v>2991</v>
      </c>
      <c r="T36" s="4" t="s">
        <v>739</v>
      </c>
      <c r="U36" s="4" t="s">
        <v>3000</v>
      </c>
      <c r="V36" s="4" t="s">
        <v>2640</v>
      </c>
      <c r="W36" s="4" t="s">
        <v>2639</v>
      </c>
      <c r="X36" s="4" t="str">
        <f>_xlfn.XLOOKUP(V36,Reference!$O:$O,Reference!$N:$N,"Tidak Ketemu")</f>
        <v>G12</v>
      </c>
      <c r="Y36" s="4" t="str">
        <f t="shared" si="2"/>
        <v>TK/0</v>
      </c>
      <c r="Z36" s="10" t="s">
        <v>1509</v>
      </c>
      <c r="AA36" s="10" t="s">
        <v>1510</v>
      </c>
      <c r="AB36" s="7" t="s">
        <v>1511</v>
      </c>
      <c r="AC36" s="7" t="s">
        <v>3816</v>
      </c>
      <c r="AD36" s="17" t="s">
        <v>1512</v>
      </c>
      <c r="AE36" s="6" t="s">
        <v>1507</v>
      </c>
      <c r="AF36" s="6" t="s">
        <v>1508</v>
      </c>
      <c r="AG36" s="6" t="s">
        <v>731</v>
      </c>
      <c r="AN36" s="4"/>
    </row>
    <row r="37" spans="1:40" ht="14.5" customHeight="1" x14ac:dyDescent="0.35">
      <c r="A37" s="5">
        <v>202043999</v>
      </c>
      <c r="B37" s="5" t="s">
        <v>1217</v>
      </c>
      <c r="C37" s="5" t="s">
        <v>138</v>
      </c>
      <c r="D37" s="5" t="s">
        <v>449</v>
      </c>
      <c r="E37" s="6" t="s">
        <v>3436</v>
      </c>
      <c r="F37" s="7" t="s">
        <v>3094</v>
      </c>
      <c r="G37" s="10" t="s">
        <v>648</v>
      </c>
      <c r="H37" s="15" t="s">
        <v>651</v>
      </c>
      <c r="I37" s="4">
        <f>MIN(COUNTIFS('Data Family'!A:A,A37,'Data Family'!F:F,"Child")+COUNTIFS('Data Family'!A:A,A37,'Data Family'!F:F,"&lt;&gt;Child",'Data Family'!J:J,"Housewife")+COUNTIFS('Data Family'!A:A,A37,'Data Family'!F:F,"&lt;&gt;Child",'Data Family'!J:J,"Unemployment"),3)</f>
        <v>0</v>
      </c>
      <c r="J37" s="10" t="s">
        <v>791</v>
      </c>
      <c r="K37" s="7" t="s">
        <v>701</v>
      </c>
      <c r="L37" s="7">
        <v>42355</v>
      </c>
      <c r="M37" s="7"/>
      <c r="N37" s="7"/>
      <c r="O37" s="4" t="str">
        <f t="shared" ca="1" si="0"/>
        <v/>
      </c>
      <c r="P37" s="4" t="str">
        <f t="shared" ca="1" si="1"/>
        <v>Active</v>
      </c>
      <c r="Q37" s="4" t="str">
        <f t="shared" si="3"/>
        <v>PKWTT</v>
      </c>
      <c r="R37" s="7" t="s">
        <v>2983</v>
      </c>
      <c r="S37" s="4" t="s">
        <v>2689</v>
      </c>
      <c r="T37" s="4" t="s">
        <v>732</v>
      </c>
      <c r="U37" s="4" t="s">
        <v>732</v>
      </c>
      <c r="V37" s="4" t="s">
        <v>2621</v>
      </c>
      <c r="W37" s="4" t="s">
        <v>3091</v>
      </c>
      <c r="X37" s="4" t="str">
        <f>_xlfn.XLOOKUP(V37,Reference!$O:$O,Reference!$N:$N,"Tidak Ketemu")</f>
        <v>G06</v>
      </c>
      <c r="Y37" s="4" t="str">
        <f t="shared" si="2"/>
        <v>K/0</v>
      </c>
      <c r="Z37" s="10" t="s">
        <v>1518</v>
      </c>
      <c r="AA37" s="10" t="s">
        <v>1519</v>
      </c>
      <c r="AB37" s="7" t="s">
        <v>1520</v>
      </c>
      <c r="AC37" s="7" t="s">
        <v>3816</v>
      </c>
      <c r="AD37" s="17" t="s">
        <v>1521</v>
      </c>
      <c r="AE37" s="6" t="s">
        <v>1517</v>
      </c>
      <c r="AF37" s="6" t="s">
        <v>1218</v>
      </c>
      <c r="AG37" s="6" t="s">
        <v>680</v>
      </c>
      <c r="AN37" s="4"/>
    </row>
    <row r="38" spans="1:40" ht="14.5" customHeight="1" x14ac:dyDescent="0.35">
      <c r="A38" s="5">
        <v>201743014</v>
      </c>
      <c r="B38" s="5" t="s">
        <v>1199</v>
      </c>
      <c r="C38" s="5" t="s">
        <v>151</v>
      </c>
      <c r="D38" s="5" t="s">
        <v>462</v>
      </c>
      <c r="E38" s="6" t="s">
        <v>664</v>
      </c>
      <c r="F38" s="7">
        <v>34109</v>
      </c>
      <c r="G38" s="10" t="s">
        <v>648</v>
      </c>
      <c r="H38" s="15" t="s">
        <v>651</v>
      </c>
      <c r="I38" s="4">
        <f>MIN(COUNTIFS('Data Family'!A:A,A38,'Data Family'!F:F,"Child")+COUNTIFS('Data Family'!A:A,A38,'Data Family'!F:F,"&lt;&gt;Child",'Data Family'!J:J,"Housewife")+COUNTIFS('Data Family'!A:A,A38,'Data Family'!F:F,"&lt;&gt;Child",'Data Family'!J:J,"Unemployment"),3)</f>
        <v>0</v>
      </c>
      <c r="J38" s="10" t="s">
        <v>791</v>
      </c>
      <c r="K38" s="7" t="s">
        <v>677</v>
      </c>
      <c r="L38" s="7">
        <v>43014</v>
      </c>
      <c r="M38" s="7"/>
      <c r="N38" s="7"/>
      <c r="O38" s="4" t="str">
        <f t="shared" ca="1" si="0"/>
        <v/>
      </c>
      <c r="P38" s="4" t="str">
        <f t="shared" ca="1" si="1"/>
        <v>Active</v>
      </c>
      <c r="Q38" s="4" t="str">
        <f t="shared" si="3"/>
        <v>PKWTT</v>
      </c>
      <c r="R38" s="7" t="s">
        <v>2983</v>
      </c>
      <c r="S38" s="4" t="s">
        <v>2687</v>
      </c>
      <c r="T38" s="4" t="s">
        <v>732</v>
      </c>
      <c r="U38" s="4" t="s">
        <v>732</v>
      </c>
      <c r="V38" s="4" t="s">
        <v>2624</v>
      </c>
      <c r="W38" s="4" t="s">
        <v>3092</v>
      </c>
      <c r="X38" s="4" t="str">
        <f>_xlfn.XLOOKUP(V38,Reference!$O:$O,Reference!$N:$N,"Tidak Ketemu")</f>
        <v>G07</v>
      </c>
      <c r="Y38" s="4" t="str">
        <f t="shared" si="2"/>
        <v>K/0</v>
      </c>
      <c r="Z38" s="10" t="s">
        <v>1595</v>
      </c>
      <c r="AA38" s="10" t="s">
        <v>1596</v>
      </c>
      <c r="AB38" s="7" t="s">
        <v>1597</v>
      </c>
      <c r="AC38" s="7" t="s">
        <v>3816</v>
      </c>
      <c r="AD38" s="17" t="s">
        <v>1598</v>
      </c>
      <c r="AE38" s="6" t="s">
        <v>1594</v>
      </c>
      <c r="AF38" s="6" t="s">
        <v>1200</v>
      </c>
      <c r="AG38" s="6" t="s">
        <v>778</v>
      </c>
      <c r="AN38" s="4"/>
    </row>
    <row r="39" spans="1:40" x14ac:dyDescent="0.35">
      <c r="A39" s="5">
        <v>201642621</v>
      </c>
      <c r="B39" s="5" t="s">
        <v>981</v>
      </c>
      <c r="C39" s="5" t="s">
        <v>236</v>
      </c>
      <c r="D39" s="5" t="s">
        <v>547</v>
      </c>
      <c r="E39" s="6" t="s">
        <v>3437</v>
      </c>
      <c r="F39" s="7">
        <v>35425</v>
      </c>
      <c r="G39" s="10" t="s">
        <v>648</v>
      </c>
      <c r="H39" s="15" t="s">
        <v>651</v>
      </c>
      <c r="I39" s="4">
        <f>MIN(COUNTIFS('Data Family'!A:A,A39,'Data Family'!F:F,"Child")+COUNTIFS('Data Family'!A:A,A39,'Data Family'!F:F,"&lt;&gt;Child",'Data Family'!J:J,"Housewife")+COUNTIFS('Data Family'!A:A,A39,'Data Family'!F:F,"&lt;&gt;Child",'Data Family'!J:J,"Unemployment"),3)</f>
        <v>2</v>
      </c>
      <c r="J39" s="10" t="s">
        <v>791</v>
      </c>
      <c r="K39" s="7" t="s">
        <v>691</v>
      </c>
      <c r="L39" s="7">
        <v>42621</v>
      </c>
      <c r="M39" s="7"/>
      <c r="N39" s="7"/>
      <c r="O39" s="4" t="str">
        <f t="shared" ca="1" si="0"/>
        <v/>
      </c>
      <c r="P39" s="4" t="str">
        <f t="shared" ca="1" si="1"/>
        <v>Active</v>
      </c>
      <c r="Q39" s="4" t="str">
        <f t="shared" si="3"/>
        <v>PKWTT</v>
      </c>
      <c r="R39" s="7" t="s">
        <v>2982</v>
      </c>
      <c r="S39" s="4" t="s">
        <v>2689</v>
      </c>
      <c r="T39" s="4" t="s">
        <v>732</v>
      </c>
      <c r="U39" s="4" t="s">
        <v>732</v>
      </c>
      <c r="V39" s="4" t="s">
        <v>3072</v>
      </c>
      <c r="W39" s="4" t="s">
        <v>3850</v>
      </c>
      <c r="X39" s="4" t="str">
        <f>_xlfn.XLOOKUP(V39,Reference!$O:$O,Reference!$N:$N,"Tidak Ketemu")</f>
        <v>G09</v>
      </c>
      <c r="Y39" s="4" t="str">
        <f t="shared" si="2"/>
        <v>K/2</v>
      </c>
      <c r="Z39" s="10" t="s">
        <v>2085</v>
      </c>
      <c r="AA39" s="10" t="s">
        <v>2086</v>
      </c>
      <c r="AB39" s="7" t="s">
        <v>2087</v>
      </c>
      <c r="AC39" s="7" t="s">
        <v>3816</v>
      </c>
      <c r="AD39" s="17" t="s">
        <v>2088</v>
      </c>
      <c r="AE39" s="6" t="s">
        <v>2084</v>
      </c>
      <c r="AF39" s="6" t="s">
        <v>983</v>
      </c>
      <c r="AG39" s="6" t="s">
        <v>656</v>
      </c>
      <c r="AN39" s="4"/>
    </row>
    <row r="40" spans="1:40" x14ac:dyDescent="0.35">
      <c r="A40" s="5">
        <v>201642522</v>
      </c>
      <c r="B40" s="5" t="s">
        <v>849</v>
      </c>
      <c r="C40" s="5" t="s">
        <v>272</v>
      </c>
      <c r="D40" s="5" t="s">
        <v>583</v>
      </c>
      <c r="E40" s="6" t="s">
        <v>742</v>
      </c>
      <c r="F40" s="7">
        <v>35514</v>
      </c>
      <c r="G40" s="10" t="s">
        <v>648</v>
      </c>
      <c r="H40" s="15" t="s">
        <v>651</v>
      </c>
      <c r="I40" s="4">
        <f>MIN(COUNTIFS('Data Family'!A:A,A40,'Data Family'!F:F,"Child")+COUNTIFS('Data Family'!A:A,A40,'Data Family'!F:F,"&lt;&gt;Child",'Data Family'!J:J,"Housewife")+COUNTIFS('Data Family'!A:A,A40,'Data Family'!F:F,"&lt;&gt;Child",'Data Family'!J:J,"Unemployment"),3)</f>
        <v>2</v>
      </c>
      <c r="J40" s="10" t="s">
        <v>791</v>
      </c>
      <c r="K40" s="7" t="s">
        <v>701</v>
      </c>
      <c r="L40" s="7">
        <v>42522</v>
      </c>
      <c r="M40" s="7"/>
      <c r="N40" s="7"/>
      <c r="O40" s="4" t="str">
        <f t="shared" ca="1" si="0"/>
        <v/>
      </c>
      <c r="P40" s="4" t="str">
        <f t="shared" ca="1" si="1"/>
        <v>Active</v>
      </c>
      <c r="Q40" s="4" t="str">
        <f t="shared" si="3"/>
        <v>PKWTT</v>
      </c>
      <c r="R40" s="7" t="s">
        <v>2982</v>
      </c>
      <c r="S40" s="4" t="s">
        <v>2689</v>
      </c>
      <c r="T40" s="4" t="s">
        <v>732</v>
      </c>
      <c r="U40" s="4" t="s">
        <v>732</v>
      </c>
      <c r="V40" s="4" t="s">
        <v>3072</v>
      </c>
      <c r="W40" s="4" t="s">
        <v>3850</v>
      </c>
      <c r="X40" s="4" t="str">
        <f>_xlfn.XLOOKUP(V40,Reference!$O:$O,Reference!$N:$N,"Tidak Ketemu")</f>
        <v>G09</v>
      </c>
      <c r="Y40" s="4" t="str">
        <f t="shared" si="2"/>
        <v>K/2</v>
      </c>
      <c r="Z40" s="10" t="s">
        <v>2284</v>
      </c>
      <c r="AA40" s="10" t="s">
        <v>2285</v>
      </c>
      <c r="AB40" s="7" t="s">
        <v>2286</v>
      </c>
      <c r="AC40" s="7" t="s">
        <v>3816</v>
      </c>
      <c r="AD40" s="17" t="s">
        <v>2287</v>
      </c>
      <c r="AE40" s="6" t="s">
        <v>2283</v>
      </c>
      <c r="AF40" s="6" t="s">
        <v>851</v>
      </c>
      <c r="AG40" s="6" t="s">
        <v>731</v>
      </c>
      <c r="AN40" s="4"/>
    </row>
    <row r="41" spans="1:40" ht="14.5" customHeight="1" x14ac:dyDescent="0.35">
      <c r="A41" s="5">
        <v>202043964</v>
      </c>
      <c r="B41" s="5" t="s">
        <v>1702</v>
      </c>
      <c r="C41" s="5" t="s">
        <v>285</v>
      </c>
      <c r="D41" s="5" t="s">
        <v>596</v>
      </c>
      <c r="E41" s="6" t="s">
        <v>742</v>
      </c>
      <c r="F41" s="7">
        <v>35282</v>
      </c>
      <c r="G41" s="10" t="s">
        <v>648</v>
      </c>
      <c r="H41" s="15" t="s">
        <v>651</v>
      </c>
      <c r="I41" s="4">
        <f>MIN(COUNTIFS('Data Family'!A:A,A41,'Data Family'!F:F,"Child")+COUNTIFS('Data Family'!A:A,A41,'Data Family'!F:F,"&lt;&gt;Child",'Data Family'!J:J,"Housewife")+COUNTIFS('Data Family'!A:A,A41,'Data Family'!F:F,"&lt;&gt;Child",'Data Family'!J:J,"Unemployment"),3)</f>
        <v>1</v>
      </c>
      <c r="J41" s="10" t="s">
        <v>791</v>
      </c>
      <c r="K41" s="7" t="s">
        <v>701</v>
      </c>
      <c r="L41" s="7">
        <v>43964</v>
      </c>
      <c r="M41" s="7"/>
      <c r="N41" s="7"/>
      <c r="O41" s="4" t="str">
        <f t="shared" ca="1" si="0"/>
        <v/>
      </c>
      <c r="P41" s="4" t="str">
        <f t="shared" ca="1" si="1"/>
        <v>Active</v>
      </c>
      <c r="Q41" s="4" t="str">
        <f t="shared" si="3"/>
        <v>PKWTT</v>
      </c>
      <c r="R41" s="7" t="s">
        <v>2982</v>
      </c>
      <c r="S41" s="4" t="s">
        <v>2689</v>
      </c>
      <c r="T41" s="4" t="s">
        <v>732</v>
      </c>
      <c r="U41" s="4" t="s">
        <v>732</v>
      </c>
      <c r="V41" s="4" t="s">
        <v>3072</v>
      </c>
      <c r="W41" s="4" t="s">
        <v>3851</v>
      </c>
      <c r="X41" s="4" t="str">
        <f>_xlfn.XLOOKUP(V41,Reference!$O:$O,Reference!$N:$N,"Tidak Ketemu")</f>
        <v>G09</v>
      </c>
      <c r="Y41" s="4" t="str">
        <f t="shared" si="2"/>
        <v>K/1</v>
      </c>
      <c r="Z41" s="10" t="s">
        <v>2347</v>
      </c>
      <c r="AA41" s="10" t="s">
        <v>2348</v>
      </c>
      <c r="AB41" s="7" t="s">
        <v>2349</v>
      </c>
      <c r="AC41" s="7" t="s">
        <v>3816</v>
      </c>
      <c r="AD41" s="17" t="s">
        <v>2350</v>
      </c>
      <c r="AE41" s="6" t="s">
        <v>2346</v>
      </c>
      <c r="AF41" s="6" t="s">
        <v>1704</v>
      </c>
      <c r="AG41" s="6" t="s">
        <v>694</v>
      </c>
      <c r="AN41" s="4"/>
    </row>
    <row r="42" spans="1:40" ht="14.5" customHeight="1" x14ac:dyDescent="0.35">
      <c r="A42" s="5">
        <v>202044158</v>
      </c>
      <c r="B42" s="5" t="s">
        <v>901</v>
      </c>
      <c r="C42" s="5" t="s">
        <v>251</v>
      </c>
      <c r="D42" s="5" t="s">
        <v>562</v>
      </c>
      <c r="E42" s="6" t="s">
        <v>649</v>
      </c>
      <c r="F42" s="7">
        <v>35295</v>
      </c>
      <c r="G42" s="10" t="s">
        <v>648</v>
      </c>
      <c r="H42" s="15" t="s">
        <v>651</v>
      </c>
      <c r="I42" s="4">
        <f>MIN(COUNTIFS('Data Family'!A:A,A42,'Data Family'!F:F,"Child")+COUNTIFS('Data Family'!A:A,A42,'Data Family'!F:F,"&lt;&gt;Child",'Data Family'!J:J,"Housewife")+COUNTIFS('Data Family'!A:A,A42,'Data Family'!F:F,"&lt;&gt;Child",'Data Family'!J:J,"Unemployment"),3)</f>
        <v>1</v>
      </c>
      <c r="J42" s="10" t="s">
        <v>791</v>
      </c>
      <c r="K42" s="7" t="s">
        <v>677</v>
      </c>
      <c r="L42" s="7">
        <v>44158</v>
      </c>
      <c r="M42" s="7"/>
      <c r="N42" s="7"/>
      <c r="O42" s="4" t="str">
        <f t="shared" ca="1" si="0"/>
        <v/>
      </c>
      <c r="P42" s="4" t="str">
        <f t="shared" ca="1" si="1"/>
        <v>Active</v>
      </c>
      <c r="Q42" s="4" t="str">
        <f t="shared" si="3"/>
        <v>PKWTT</v>
      </c>
      <c r="R42" s="7" t="s">
        <v>2982</v>
      </c>
      <c r="S42" s="4" t="s">
        <v>2689</v>
      </c>
      <c r="T42" s="4" t="s">
        <v>732</v>
      </c>
      <c r="U42" s="4" t="s">
        <v>732</v>
      </c>
      <c r="V42" s="4" t="s">
        <v>3072</v>
      </c>
      <c r="W42" s="4" t="s">
        <v>3851</v>
      </c>
      <c r="X42" s="4" t="str">
        <f>_xlfn.XLOOKUP(V42,Reference!$O:$O,Reference!$N:$N,"Tidak Ketemu")</f>
        <v>G09</v>
      </c>
      <c r="Y42" s="4" t="str">
        <f t="shared" si="2"/>
        <v>K/1</v>
      </c>
      <c r="Z42" s="10" t="s">
        <v>2164</v>
      </c>
      <c r="AA42" s="10" t="s">
        <v>2165</v>
      </c>
      <c r="AB42" s="7" t="s">
        <v>2166</v>
      </c>
      <c r="AC42" s="7" t="s">
        <v>3816</v>
      </c>
      <c r="AD42" s="17" t="s">
        <v>2167</v>
      </c>
      <c r="AE42" s="6" t="s">
        <v>2163</v>
      </c>
      <c r="AF42" s="6" t="s">
        <v>902</v>
      </c>
      <c r="AG42" s="6" t="s">
        <v>818</v>
      </c>
      <c r="AN42" s="4"/>
    </row>
    <row r="43" spans="1:40" ht="14.5" customHeight="1" x14ac:dyDescent="0.35">
      <c r="A43" s="5">
        <v>202144222</v>
      </c>
      <c r="B43" s="5" t="s">
        <v>1861</v>
      </c>
      <c r="C43" s="5" t="s">
        <v>197</v>
      </c>
      <c r="D43" s="5" t="s">
        <v>508</v>
      </c>
      <c r="E43" s="6" t="s">
        <v>3437</v>
      </c>
      <c r="F43" s="7">
        <v>35851</v>
      </c>
      <c r="G43" s="10" t="s">
        <v>648</v>
      </c>
      <c r="H43" s="15" t="s">
        <v>666</v>
      </c>
      <c r="I43" s="4">
        <f>MIN(COUNTIFS('Data Family'!A:A,A43,'Data Family'!F:F,"Child")+COUNTIFS('Data Family'!A:A,A43,'Data Family'!F:F,"&lt;&gt;Child",'Data Family'!J:J,"Housewife")+COUNTIFS('Data Family'!A:A,A43,'Data Family'!F:F,"&lt;&gt;Child",'Data Family'!J:J,"Unemployment"),3)</f>
        <v>0</v>
      </c>
      <c r="J43" s="10" t="s">
        <v>791</v>
      </c>
      <c r="K43" s="7" t="s">
        <v>677</v>
      </c>
      <c r="L43" s="7">
        <v>44222</v>
      </c>
      <c r="M43" s="7"/>
      <c r="N43" s="7"/>
      <c r="O43" s="4" t="str">
        <f t="shared" ca="1" si="0"/>
        <v/>
      </c>
      <c r="P43" s="4" t="str">
        <f t="shared" ca="1" si="1"/>
        <v>Active</v>
      </c>
      <c r="Q43" s="4" t="str">
        <f t="shared" si="3"/>
        <v>PKWTT</v>
      </c>
      <c r="R43" s="7" t="s">
        <v>2982</v>
      </c>
      <c r="S43" s="4" t="s">
        <v>2689</v>
      </c>
      <c r="T43" s="4" t="s">
        <v>732</v>
      </c>
      <c r="U43" s="4" t="s">
        <v>732</v>
      </c>
      <c r="V43" s="4" t="s">
        <v>3072</v>
      </c>
      <c r="W43" s="4" t="s">
        <v>3852</v>
      </c>
      <c r="X43" s="4" t="str">
        <f>_xlfn.XLOOKUP(V43,Reference!$O:$O,Reference!$N:$N,"Tidak Ketemu")</f>
        <v>G09</v>
      </c>
      <c r="Y43" s="4" t="str">
        <f t="shared" si="2"/>
        <v>TK/0</v>
      </c>
      <c r="Z43" s="10" t="s">
        <v>1864</v>
      </c>
      <c r="AA43" s="10" t="s">
        <v>1865</v>
      </c>
      <c r="AB43" s="7" t="s">
        <v>1866</v>
      </c>
      <c r="AC43" s="7" t="s">
        <v>3816</v>
      </c>
      <c r="AD43" s="17" t="s">
        <v>1867</v>
      </c>
      <c r="AE43" s="6" t="s">
        <v>1862</v>
      </c>
      <c r="AF43" s="6" t="s">
        <v>1863</v>
      </c>
      <c r="AG43" s="6" t="s">
        <v>778</v>
      </c>
      <c r="AN43" s="4"/>
    </row>
    <row r="44" spans="1:40" ht="14.5" customHeight="1" x14ac:dyDescent="0.35">
      <c r="A44" s="5">
        <v>201642559</v>
      </c>
      <c r="B44" s="5" t="s">
        <v>856</v>
      </c>
      <c r="C44" s="5" t="s">
        <v>287</v>
      </c>
      <c r="D44" s="5" t="s">
        <v>598</v>
      </c>
      <c r="E44" s="6" t="s">
        <v>742</v>
      </c>
      <c r="F44" s="7">
        <v>35743</v>
      </c>
      <c r="G44" s="10" t="s">
        <v>676</v>
      </c>
      <c r="H44" s="15" t="s">
        <v>666</v>
      </c>
      <c r="I44" s="4">
        <f>MIN(COUNTIFS('Data Family'!A:A,A44,'Data Family'!F:F,"Child")+COUNTIFS('Data Family'!A:A,A44,'Data Family'!F:F,"&lt;&gt;Child",'Data Family'!J:J,"Housewife")+COUNTIFS('Data Family'!A:A,A44,'Data Family'!F:F,"&lt;&gt;Child",'Data Family'!J:J,"Unemployment"),3)</f>
        <v>0</v>
      </c>
      <c r="J44" s="10" t="s">
        <v>791</v>
      </c>
      <c r="K44" s="7" t="s">
        <v>677</v>
      </c>
      <c r="L44" s="7">
        <v>42559</v>
      </c>
      <c r="M44" s="7"/>
      <c r="N44" s="7"/>
      <c r="O44" s="4" t="str">
        <f t="shared" ca="1" si="0"/>
        <v/>
      </c>
      <c r="P44" s="4" t="str">
        <f t="shared" ca="1" si="1"/>
        <v>Active</v>
      </c>
      <c r="Q44" s="4" t="str">
        <f t="shared" si="3"/>
        <v>PKWTT</v>
      </c>
      <c r="R44" s="7" t="s">
        <v>2982</v>
      </c>
      <c r="S44" s="4" t="s">
        <v>2691</v>
      </c>
      <c r="T44" s="4" t="s">
        <v>732</v>
      </c>
      <c r="U44" s="4" t="s">
        <v>732</v>
      </c>
      <c r="V44" s="4" t="s">
        <v>3072</v>
      </c>
      <c r="W44" s="4" t="s">
        <v>3852</v>
      </c>
      <c r="X44" s="4" t="str">
        <f>_xlfn.XLOOKUP(V44,Reference!$O:$O,Reference!$N:$N,"Tidak Ketemu")</f>
        <v>G09</v>
      </c>
      <c r="Y44" s="4" t="str">
        <f t="shared" si="2"/>
        <v>TK/0</v>
      </c>
      <c r="Z44" s="10" t="s">
        <v>2357</v>
      </c>
      <c r="AA44" s="10" t="s">
        <v>2358</v>
      </c>
      <c r="AB44" s="7" t="s">
        <v>2359</v>
      </c>
      <c r="AC44" s="7" t="s">
        <v>3816</v>
      </c>
      <c r="AD44" s="17" t="s">
        <v>2360</v>
      </c>
      <c r="AE44" s="6" t="s">
        <v>2356</v>
      </c>
      <c r="AF44" s="6" t="s">
        <v>857</v>
      </c>
      <c r="AG44" s="6" t="s">
        <v>704</v>
      </c>
      <c r="AN44" s="4"/>
    </row>
    <row r="45" spans="1:40" ht="14.5" customHeight="1" x14ac:dyDescent="0.35">
      <c r="A45" s="5">
        <v>201642499</v>
      </c>
      <c r="B45" s="5" t="s">
        <v>1201</v>
      </c>
      <c r="C45" s="5" t="s">
        <v>199</v>
      </c>
      <c r="D45" s="5" t="s">
        <v>510</v>
      </c>
      <c r="E45" s="6" t="s">
        <v>742</v>
      </c>
      <c r="F45" s="7">
        <v>36073</v>
      </c>
      <c r="G45" s="10" t="s">
        <v>676</v>
      </c>
      <c r="H45" s="15" t="s">
        <v>651</v>
      </c>
      <c r="I45" s="4">
        <f>MIN(COUNTIFS('Data Family'!A:A,A45,'Data Family'!F:F,"Child")+COUNTIFS('Data Family'!A:A,A45,'Data Family'!F:F,"&lt;&gt;Child",'Data Family'!J:J,"Housewife")+COUNTIFS('Data Family'!A:A,A45,'Data Family'!F:F,"&lt;&gt;Child",'Data Family'!J:J,"Unemployment"),3)</f>
        <v>0</v>
      </c>
      <c r="J45" s="10" t="s">
        <v>791</v>
      </c>
      <c r="K45" s="7" t="s">
        <v>677</v>
      </c>
      <c r="L45" s="7">
        <v>45055</v>
      </c>
      <c r="M45" s="7">
        <v>46882</v>
      </c>
      <c r="N45" s="7"/>
      <c r="O45" s="4" t="str">
        <f t="shared" ca="1" si="0"/>
        <v/>
      </c>
      <c r="P45" s="4" t="str">
        <f t="shared" ca="1" si="1"/>
        <v>Active</v>
      </c>
      <c r="Q45" s="4" t="str">
        <f t="shared" si="3"/>
        <v>PKWT</v>
      </c>
      <c r="R45" s="7" t="s">
        <v>2982</v>
      </c>
      <c r="S45" s="4" t="s">
        <v>2691</v>
      </c>
      <c r="T45" s="4" t="s">
        <v>732</v>
      </c>
      <c r="U45" s="4" t="s">
        <v>732</v>
      </c>
      <c r="V45" s="4" t="s">
        <v>3073</v>
      </c>
      <c r="W45" s="4" t="s">
        <v>3093</v>
      </c>
      <c r="X45" s="4" t="str">
        <f>_xlfn.XLOOKUP(V45,Reference!$O:$O,Reference!$N:$N,"Tidak Ketemu")</f>
        <v>G10</v>
      </c>
      <c r="Y45" s="4" t="str">
        <f t="shared" si="2"/>
        <v>TK/0</v>
      </c>
      <c r="Z45" s="10" t="s">
        <v>1874</v>
      </c>
      <c r="AA45" s="10" t="s">
        <v>1875</v>
      </c>
      <c r="AB45" s="7" t="s">
        <v>1876</v>
      </c>
      <c r="AC45" s="7" t="s">
        <v>3816</v>
      </c>
      <c r="AD45" s="17" t="s">
        <v>1877</v>
      </c>
      <c r="AE45" s="6" t="s">
        <v>1873</v>
      </c>
      <c r="AF45" s="6" t="s">
        <v>1203</v>
      </c>
      <c r="AG45" s="6" t="s">
        <v>731</v>
      </c>
      <c r="AN45" s="4"/>
    </row>
    <row r="46" spans="1:40" ht="14.5" customHeight="1" x14ac:dyDescent="0.35">
      <c r="A46" s="5">
        <v>201943613</v>
      </c>
      <c r="B46" s="5" t="s">
        <v>827</v>
      </c>
      <c r="C46" s="5" t="s">
        <v>75</v>
      </c>
      <c r="D46" s="5" t="s">
        <v>386</v>
      </c>
      <c r="E46" s="6" t="s">
        <v>3438</v>
      </c>
      <c r="F46" s="7">
        <v>36059</v>
      </c>
      <c r="G46" s="10" t="s">
        <v>648</v>
      </c>
      <c r="H46" s="15" t="s">
        <v>666</v>
      </c>
      <c r="I46" s="4">
        <f>MIN(COUNTIFS('Data Family'!A:A,A46,'Data Family'!F:F,"Child")+COUNTIFS('Data Family'!A:A,A46,'Data Family'!F:F,"&lt;&gt;Child",'Data Family'!J:J,"Housewife")+COUNTIFS('Data Family'!A:A,A46,'Data Family'!F:F,"&lt;&gt;Child",'Data Family'!J:J,"Unemployment"),3)</f>
        <v>0</v>
      </c>
      <c r="J46" s="10" t="s">
        <v>791</v>
      </c>
      <c r="K46" s="7" t="s">
        <v>652</v>
      </c>
      <c r="L46" s="7">
        <v>45440</v>
      </c>
      <c r="M46" s="7">
        <v>47266</v>
      </c>
      <c r="N46" s="7"/>
      <c r="O46" s="4" t="str">
        <f t="shared" ca="1" si="0"/>
        <v/>
      </c>
      <c r="P46" s="4" t="str">
        <f t="shared" ca="1" si="1"/>
        <v>Active</v>
      </c>
      <c r="Q46" s="4" t="str">
        <f t="shared" si="3"/>
        <v>PKWT</v>
      </c>
      <c r="R46" s="7" t="s">
        <v>2982</v>
      </c>
      <c r="S46" s="4" t="s">
        <v>2691</v>
      </c>
      <c r="T46" s="4" t="s">
        <v>732</v>
      </c>
      <c r="U46" s="4" t="s">
        <v>732</v>
      </c>
      <c r="V46" s="4" t="s">
        <v>3073</v>
      </c>
      <c r="W46" s="4" t="s">
        <v>3093</v>
      </c>
      <c r="X46" s="4" t="str">
        <f>_xlfn.XLOOKUP(V46,Reference!$O:$O,Reference!$N:$N,"Tidak Ketemu")</f>
        <v>G10</v>
      </c>
      <c r="Y46" s="4" t="str">
        <f t="shared" si="2"/>
        <v>TK/0</v>
      </c>
      <c r="Z46" s="10" t="s">
        <v>1077</v>
      </c>
      <c r="AA46" s="10" t="s">
        <v>1078</v>
      </c>
      <c r="AB46" s="7" t="s">
        <v>1079</v>
      </c>
      <c r="AC46" s="7" t="s">
        <v>3816</v>
      </c>
      <c r="AD46" s="17" t="s">
        <v>1080</v>
      </c>
      <c r="AE46" s="6" t="s">
        <v>1076</v>
      </c>
      <c r="AF46" s="6" t="s">
        <v>829</v>
      </c>
      <c r="AG46" s="6" t="s">
        <v>680</v>
      </c>
      <c r="AN46" s="4"/>
    </row>
    <row r="47" spans="1:40" ht="14.5" customHeight="1" x14ac:dyDescent="0.35">
      <c r="A47" s="5">
        <v>202043913</v>
      </c>
      <c r="B47" s="5" t="s">
        <v>1231</v>
      </c>
      <c r="C47" s="5" t="s">
        <v>96</v>
      </c>
      <c r="D47" s="5" t="s">
        <v>407</v>
      </c>
      <c r="E47" s="6" t="s">
        <v>649</v>
      </c>
      <c r="F47" s="7">
        <v>36091</v>
      </c>
      <c r="G47" s="10" t="s">
        <v>648</v>
      </c>
      <c r="H47" s="15" t="s">
        <v>666</v>
      </c>
      <c r="I47" s="4">
        <f>MIN(COUNTIFS('Data Family'!A:A,A47,'Data Family'!F:F,"Child")+COUNTIFS('Data Family'!A:A,A47,'Data Family'!F:F,"&lt;&gt;Child",'Data Family'!J:J,"Housewife")+COUNTIFS('Data Family'!A:A,A47,'Data Family'!F:F,"&lt;&gt;Child",'Data Family'!J:J,"Unemployment"),3)</f>
        <v>0</v>
      </c>
      <c r="J47" s="10" t="s">
        <v>791</v>
      </c>
      <c r="K47" s="7" t="s">
        <v>677</v>
      </c>
      <c r="L47" s="7">
        <v>45739</v>
      </c>
      <c r="M47" s="7">
        <v>46469</v>
      </c>
      <c r="N47" s="7"/>
      <c r="O47" s="4" t="str">
        <f t="shared" ca="1" si="0"/>
        <v/>
      </c>
      <c r="P47" s="4" t="str">
        <f t="shared" ca="1" si="1"/>
        <v>Active</v>
      </c>
      <c r="Q47" s="4" t="str">
        <f t="shared" si="3"/>
        <v>PKWT</v>
      </c>
      <c r="R47" s="7" t="s">
        <v>2982</v>
      </c>
      <c r="S47" s="4" t="s">
        <v>2691</v>
      </c>
      <c r="T47" s="4" t="s">
        <v>732</v>
      </c>
      <c r="U47" s="4" t="s">
        <v>732</v>
      </c>
      <c r="V47" s="4" t="s">
        <v>3073</v>
      </c>
      <c r="W47" s="4" t="s">
        <v>3093</v>
      </c>
      <c r="X47" s="4" t="str">
        <f>_xlfn.XLOOKUP(V47,Reference!$O:$O,Reference!$N:$N,"Tidak Ketemu")</f>
        <v>G10</v>
      </c>
      <c r="Y47" s="4" t="str">
        <f t="shared" si="2"/>
        <v>TK/0</v>
      </c>
      <c r="Z47" s="10" t="s">
        <v>1234</v>
      </c>
      <c r="AA47" s="10" t="s">
        <v>1235</v>
      </c>
      <c r="AB47" s="7" t="s">
        <v>1236</v>
      </c>
      <c r="AC47" s="7" t="s">
        <v>3816</v>
      </c>
      <c r="AD47" s="17" t="s">
        <v>1237</v>
      </c>
      <c r="AE47" s="6" t="s">
        <v>1232</v>
      </c>
      <c r="AF47" s="6" t="s">
        <v>1233</v>
      </c>
      <c r="AG47" s="6" t="s">
        <v>680</v>
      </c>
      <c r="AN47" s="4"/>
    </row>
    <row r="48" spans="1:40" ht="14.5" customHeight="1" x14ac:dyDescent="0.35">
      <c r="A48" s="5">
        <v>202244621</v>
      </c>
      <c r="B48" s="5" t="s">
        <v>3076</v>
      </c>
      <c r="C48" s="5" t="s">
        <v>210</v>
      </c>
      <c r="D48" s="5" t="s">
        <v>521</v>
      </c>
      <c r="E48" s="6" t="s">
        <v>738</v>
      </c>
      <c r="F48" s="7">
        <v>36302</v>
      </c>
      <c r="G48" s="10" t="s">
        <v>648</v>
      </c>
      <c r="H48" s="15" t="s">
        <v>666</v>
      </c>
      <c r="I48" s="4">
        <f>MIN(COUNTIFS('Data Family'!A:A,A48,'Data Family'!F:F,"Child")+COUNTIFS('Data Family'!A:A,A48,'Data Family'!F:F,"&lt;&gt;Child",'Data Family'!J:J,"Housewife")+COUNTIFS('Data Family'!A:A,A48,'Data Family'!F:F,"&lt;&gt;Child",'Data Family'!J:J,"Unemployment"),3)</f>
        <v>0</v>
      </c>
      <c r="J48" s="10" t="s">
        <v>791</v>
      </c>
      <c r="K48" s="7" t="s">
        <v>677</v>
      </c>
      <c r="L48" s="7">
        <v>44621</v>
      </c>
      <c r="M48" s="7">
        <v>46447</v>
      </c>
      <c r="N48" s="7"/>
      <c r="O48" s="4" t="str">
        <f t="shared" ca="1" si="0"/>
        <v/>
      </c>
      <c r="P48" s="4" t="str">
        <f t="shared" ca="1" si="1"/>
        <v>Active</v>
      </c>
      <c r="Q48" s="4" t="str">
        <f t="shared" si="3"/>
        <v>PKWT</v>
      </c>
      <c r="R48" s="7" t="s">
        <v>2982</v>
      </c>
      <c r="S48" s="4" t="s">
        <v>2679</v>
      </c>
      <c r="T48" s="4" t="s">
        <v>2999</v>
      </c>
      <c r="U48" s="4" t="s">
        <v>1169</v>
      </c>
      <c r="V48" s="4" t="s">
        <v>3073</v>
      </c>
      <c r="W48" s="4" t="s">
        <v>1170</v>
      </c>
      <c r="X48" s="4" t="str">
        <f>_xlfn.XLOOKUP(V48,Reference!$O:$O,Reference!$N:$N,"Tidak Ketemu")</f>
        <v>G10</v>
      </c>
      <c r="Y48" s="4" t="str">
        <f t="shared" si="2"/>
        <v>TK/0</v>
      </c>
      <c r="Z48" s="10" t="s">
        <v>1941</v>
      </c>
      <c r="AA48" s="10" t="s">
        <v>1942</v>
      </c>
      <c r="AB48" s="7" t="s">
        <v>1943</v>
      </c>
      <c r="AC48" s="7" t="s">
        <v>3816</v>
      </c>
      <c r="AD48" s="17" t="s">
        <v>1944</v>
      </c>
      <c r="AE48" s="6" t="s">
        <v>1940</v>
      </c>
      <c r="AF48" s="6" t="s">
        <v>1120</v>
      </c>
      <c r="AG48" s="6" t="s">
        <v>818</v>
      </c>
      <c r="AN48" s="4"/>
    </row>
    <row r="49" spans="1:40" ht="14.5" customHeight="1" x14ac:dyDescent="0.35">
      <c r="A49" s="5">
        <v>201742985</v>
      </c>
      <c r="B49" s="5" t="s">
        <v>2009</v>
      </c>
      <c r="C49" s="5" t="s">
        <v>269</v>
      </c>
      <c r="D49" s="5" t="s">
        <v>580</v>
      </c>
      <c r="E49" s="6" t="s">
        <v>742</v>
      </c>
      <c r="F49" s="7">
        <v>35723</v>
      </c>
      <c r="G49" s="10" t="s">
        <v>648</v>
      </c>
      <c r="H49" s="15" t="s">
        <v>651</v>
      </c>
      <c r="I49" s="4">
        <f>MIN(COUNTIFS('Data Family'!A:A,A49,'Data Family'!F:F,"Child")+COUNTIFS('Data Family'!A:A,A49,'Data Family'!F:F,"&lt;&gt;Child",'Data Family'!J:J,"Housewife")+COUNTIFS('Data Family'!A:A,A49,'Data Family'!F:F,"&lt;&gt;Child",'Data Family'!J:J,"Unemployment"),3)</f>
        <v>0</v>
      </c>
      <c r="J49" s="10" t="s">
        <v>791</v>
      </c>
      <c r="K49" s="7" t="s">
        <v>677</v>
      </c>
      <c r="L49" s="7">
        <v>44081</v>
      </c>
      <c r="M49" s="7"/>
      <c r="N49" s="7"/>
      <c r="O49" s="4" t="str">
        <f t="shared" ca="1" si="0"/>
        <v/>
      </c>
      <c r="P49" s="4" t="str">
        <f t="shared" ca="1" si="1"/>
        <v>Active</v>
      </c>
      <c r="Q49" s="4" t="str">
        <f t="shared" si="3"/>
        <v>PKWTT</v>
      </c>
      <c r="R49" s="7" t="s">
        <v>2982</v>
      </c>
      <c r="S49" s="4" t="s">
        <v>2687</v>
      </c>
      <c r="T49" s="4" t="s">
        <v>732</v>
      </c>
      <c r="U49" s="4" t="s">
        <v>732</v>
      </c>
      <c r="V49" s="4" t="s">
        <v>659</v>
      </c>
      <c r="W49" s="4" t="s">
        <v>733</v>
      </c>
      <c r="X49" s="4" t="str">
        <f>_xlfn.XLOOKUP(V49,Reference!$O:$O,Reference!$N:$N,"Tidak Ketemu")</f>
        <v>G11</v>
      </c>
      <c r="Y49" s="4" t="str">
        <f t="shared" si="2"/>
        <v>K/0</v>
      </c>
      <c r="Z49" s="10" t="s">
        <v>2265</v>
      </c>
      <c r="AA49" s="10" t="s">
        <v>2266</v>
      </c>
      <c r="AB49" s="7" t="s">
        <v>2267</v>
      </c>
      <c r="AC49" s="7" t="s">
        <v>3816</v>
      </c>
      <c r="AD49" s="17" t="s">
        <v>2268</v>
      </c>
      <c r="AE49" s="6" t="s">
        <v>2264</v>
      </c>
      <c r="AF49" s="6" t="s">
        <v>2011</v>
      </c>
      <c r="AG49" s="6" t="s">
        <v>731</v>
      </c>
      <c r="AN49" s="4"/>
    </row>
    <row r="50" spans="1:40" ht="14.5" customHeight="1" x14ac:dyDescent="0.35">
      <c r="A50" s="5">
        <v>202545966</v>
      </c>
      <c r="B50" s="5" t="s">
        <v>842</v>
      </c>
      <c r="C50" s="5" t="s">
        <v>317</v>
      </c>
      <c r="D50" s="5" t="s">
        <v>628</v>
      </c>
      <c r="E50" s="6" t="s">
        <v>689</v>
      </c>
      <c r="F50" s="7">
        <v>36348</v>
      </c>
      <c r="G50" s="10" t="s">
        <v>648</v>
      </c>
      <c r="H50" s="15" t="s">
        <v>666</v>
      </c>
      <c r="I50" s="4">
        <f>MIN(COUNTIFS('Data Family'!A:A,A50,'Data Family'!F:F,"Child")+COUNTIFS('Data Family'!A:A,A50,'Data Family'!F:F,"&lt;&gt;Child",'Data Family'!J:J,"Housewife")+COUNTIFS('Data Family'!A:A,A50,'Data Family'!F:F,"&lt;&gt;Child",'Data Family'!J:J,"Unemployment"),3)</f>
        <v>0</v>
      </c>
      <c r="J50" s="10" t="s">
        <v>791</v>
      </c>
      <c r="K50" s="7" t="s">
        <v>701</v>
      </c>
      <c r="L50" s="7">
        <v>45966</v>
      </c>
      <c r="M50" s="7">
        <v>46696</v>
      </c>
      <c r="N50" s="7"/>
      <c r="O50" s="4" t="str">
        <f t="shared" ca="1" si="0"/>
        <v/>
      </c>
      <c r="P50" s="4" t="str">
        <f t="shared" ca="1" si="1"/>
        <v>Active</v>
      </c>
      <c r="Q50" s="4" t="str">
        <f t="shared" si="3"/>
        <v>PKWT</v>
      </c>
      <c r="R50" s="7" t="s">
        <v>2982</v>
      </c>
      <c r="S50" s="4" t="s">
        <v>2687</v>
      </c>
      <c r="T50" s="4" t="s">
        <v>732</v>
      </c>
      <c r="U50" s="4" t="s">
        <v>732</v>
      </c>
      <c r="V50" s="4" t="s">
        <v>659</v>
      </c>
      <c r="W50" s="4" t="s">
        <v>733</v>
      </c>
      <c r="X50" s="4" t="str">
        <f>_xlfn.XLOOKUP(V50,Reference!$O:$O,Reference!$N:$N,"Tidak Ketemu")</f>
        <v>G11</v>
      </c>
      <c r="Y50" s="4" t="str">
        <f t="shared" si="2"/>
        <v>TK/0</v>
      </c>
      <c r="Z50" s="10" t="s">
        <v>2519</v>
      </c>
      <c r="AA50" s="10" t="s">
        <v>2520</v>
      </c>
      <c r="AB50" s="7" t="s">
        <v>2521</v>
      </c>
      <c r="AC50" s="7" t="s">
        <v>3816</v>
      </c>
      <c r="AD50" s="17" t="s">
        <v>2522</v>
      </c>
      <c r="AE50" s="6" t="s">
        <v>2518</v>
      </c>
      <c r="AF50" s="6" t="s">
        <v>844</v>
      </c>
      <c r="AG50" s="6" t="s">
        <v>704</v>
      </c>
      <c r="AN50" s="4"/>
    </row>
    <row r="51" spans="1:40" ht="14.5" customHeight="1" x14ac:dyDescent="0.35">
      <c r="A51" s="5">
        <v>201843438</v>
      </c>
      <c r="B51" s="5" t="s">
        <v>1260</v>
      </c>
      <c r="C51" s="5" t="s">
        <v>157</v>
      </c>
      <c r="D51" s="5" t="s">
        <v>468</v>
      </c>
      <c r="E51" s="6" t="s">
        <v>809</v>
      </c>
      <c r="F51" s="7">
        <v>36581</v>
      </c>
      <c r="G51" s="10" t="s">
        <v>676</v>
      </c>
      <c r="H51" s="15" t="s">
        <v>666</v>
      </c>
      <c r="I51" s="4">
        <f>MIN(COUNTIFS('Data Family'!A:A,A51,'Data Family'!F:F,"Child")+COUNTIFS('Data Family'!A:A,A51,'Data Family'!F:F,"&lt;&gt;Child",'Data Family'!J:J,"Housewife")+COUNTIFS('Data Family'!A:A,A51,'Data Family'!F:F,"&lt;&gt;Child",'Data Family'!J:J,"Unemployment"),3)</f>
        <v>0</v>
      </c>
      <c r="J51" s="10" t="s">
        <v>791</v>
      </c>
      <c r="K51" s="7" t="s">
        <v>701</v>
      </c>
      <c r="L51" s="7">
        <v>44899</v>
      </c>
      <c r="M51" s="7">
        <v>46725</v>
      </c>
      <c r="N51" s="7"/>
      <c r="O51" s="4" t="str">
        <f t="shared" ca="1" si="0"/>
        <v/>
      </c>
      <c r="P51" s="4" t="str">
        <f t="shared" ca="1" si="1"/>
        <v>Active</v>
      </c>
      <c r="Q51" s="4" t="str">
        <f t="shared" si="3"/>
        <v>PKWT</v>
      </c>
      <c r="R51" s="7" t="s">
        <v>2982</v>
      </c>
      <c r="S51" s="4" t="s">
        <v>2687</v>
      </c>
      <c r="T51" s="4" t="s">
        <v>732</v>
      </c>
      <c r="U51" s="4" t="s">
        <v>732</v>
      </c>
      <c r="V51" s="4" t="s">
        <v>659</v>
      </c>
      <c r="W51" s="4" t="s">
        <v>733</v>
      </c>
      <c r="X51" s="4" t="str">
        <f>_xlfn.XLOOKUP(V51,Reference!$O:$O,Reference!$N:$N,"Tidak Ketemu")</f>
        <v>G11</v>
      </c>
      <c r="Y51" s="4" t="str">
        <f t="shared" si="2"/>
        <v>TK/0</v>
      </c>
      <c r="Z51" s="10" t="s">
        <v>1627</v>
      </c>
      <c r="AA51" s="10" t="s">
        <v>1628</v>
      </c>
      <c r="AB51" s="7" t="s">
        <v>1629</v>
      </c>
      <c r="AC51" s="7" t="s">
        <v>3816</v>
      </c>
      <c r="AD51" s="17" t="s">
        <v>1630</v>
      </c>
      <c r="AE51" s="6" t="s">
        <v>1626</v>
      </c>
      <c r="AF51" s="6" t="s">
        <v>1261</v>
      </c>
      <c r="AG51" s="6" t="s">
        <v>818</v>
      </c>
      <c r="AN51" s="4"/>
    </row>
    <row r="52" spans="1:40" ht="14.5" customHeight="1" x14ac:dyDescent="0.35">
      <c r="A52" s="5">
        <v>202545815</v>
      </c>
      <c r="B52" s="5" t="s">
        <v>3963</v>
      </c>
      <c r="C52" s="5" t="s">
        <v>145</v>
      </c>
      <c r="D52" s="5" t="s">
        <v>456</v>
      </c>
      <c r="E52" s="6" t="s">
        <v>809</v>
      </c>
      <c r="F52" s="7">
        <v>36597</v>
      </c>
      <c r="G52" s="10" t="s">
        <v>648</v>
      </c>
      <c r="H52" s="15" t="s">
        <v>666</v>
      </c>
      <c r="I52" s="4">
        <f>MIN(COUNTIFS('Data Family'!A:A,A52,'Data Family'!F:F,"Child")+COUNTIFS('Data Family'!A:A,A52,'Data Family'!F:F,"&lt;&gt;Child",'Data Family'!J:J,"Housewife")+COUNTIFS('Data Family'!A:A,A52,'Data Family'!F:F,"&lt;&gt;Child",'Data Family'!J:J,"Unemployment"),3)</f>
        <v>0</v>
      </c>
      <c r="J52" s="10" t="s">
        <v>791</v>
      </c>
      <c r="K52" s="7" t="s">
        <v>691</v>
      </c>
      <c r="L52" s="7">
        <v>45450</v>
      </c>
      <c r="M52" s="7">
        <v>46545</v>
      </c>
      <c r="N52" s="7"/>
      <c r="O52" s="4" t="str">
        <f t="shared" ca="1" si="0"/>
        <v/>
      </c>
      <c r="P52" s="4" t="str">
        <f t="shared" ca="1" si="1"/>
        <v>Active</v>
      </c>
      <c r="Q52" s="4" t="str">
        <f t="shared" si="3"/>
        <v>PKWT</v>
      </c>
      <c r="R52" s="7" t="s">
        <v>2982</v>
      </c>
      <c r="S52" s="4" t="s">
        <v>2679</v>
      </c>
      <c r="T52" s="4" t="s">
        <v>2999</v>
      </c>
      <c r="U52" s="4" t="s">
        <v>1169</v>
      </c>
      <c r="V52" s="4" t="s">
        <v>3073</v>
      </c>
      <c r="W52" s="4" t="s">
        <v>1170</v>
      </c>
      <c r="X52" s="4" t="str">
        <f>_xlfn.XLOOKUP(V52,Reference!$O:$O,Reference!$N:$N,"Tidak Ketemu")</f>
        <v>G10</v>
      </c>
      <c r="Y52" s="4" t="str">
        <f t="shared" si="2"/>
        <v>TK/0</v>
      </c>
      <c r="Z52" s="10" t="s">
        <v>1561</v>
      </c>
      <c r="AA52" s="10" t="s">
        <v>1562</v>
      </c>
      <c r="AB52" s="7" t="s">
        <v>1563</v>
      </c>
      <c r="AC52" s="7" t="s">
        <v>3816</v>
      </c>
      <c r="AD52" s="17" t="s">
        <v>1564</v>
      </c>
      <c r="AE52" s="6" t="s">
        <v>1560</v>
      </c>
      <c r="AF52" s="6" t="s">
        <v>1211</v>
      </c>
      <c r="AG52" s="6" t="s">
        <v>694</v>
      </c>
      <c r="AN52" s="4"/>
    </row>
    <row r="53" spans="1:40" ht="14.5" customHeight="1" x14ac:dyDescent="0.35">
      <c r="A53" s="5">
        <v>201843428</v>
      </c>
      <c r="B53" s="5" t="s">
        <v>3098</v>
      </c>
      <c r="C53" s="5" t="s">
        <v>178</v>
      </c>
      <c r="D53" s="5" t="s">
        <v>489</v>
      </c>
      <c r="E53" s="6" t="s">
        <v>664</v>
      </c>
      <c r="F53" s="7">
        <v>40004</v>
      </c>
      <c r="G53" s="10" t="s">
        <v>648</v>
      </c>
      <c r="H53" s="15" t="s">
        <v>666</v>
      </c>
      <c r="I53" s="4">
        <f>MIN(COUNTIFS('Data Family'!A:A,A53,'Data Family'!F:F,"Child")+COUNTIFS('Data Family'!A:A,A53,'Data Family'!F:F,"&lt;&gt;Child",'Data Family'!J:J,"Housewife")+COUNTIFS('Data Family'!A:A,A53,'Data Family'!F:F,"&lt;&gt;Child",'Data Family'!J:J,"Unemployment"),3)</f>
        <v>0</v>
      </c>
      <c r="J53" s="10" t="s">
        <v>791</v>
      </c>
      <c r="K53" s="7" t="s">
        <v>691</v>
      </c>
      <c r="L53" s="7">
        <v>45985</v>
      </c>
      <c r="M53" s="7">
        <v>46350</v>
      </c>
      <c r="N53" s="7"/>
      <c r="O53" s="4" t="str">
        <f t="shared" ca="1" si="0"/>
        <v/>
      </c>
      <c r="P53" s="4" t="str">
        <f t="shared" ca="1" si="1"/>
        <v>Active</v>
      </c>
      <c r="Q53" s="4" t="str">
        <f t="shared" si="3"/>
        <v>PKWT</v>
      </c>
      <c r="R53" s="7" t="s">
        <v>2980</v>
      </c>
      <c r="S53" s="4" t="s">
        <v>2985</v>
      </c>
      <c r="T53" s="4" t="s">
        <v>732</v>
      </c>
      <c r="U53" s="4" t="s">
        <v>732</v>
      </c>
      <c r="V53" s="4" t="s">
        <v>2681</v>
      </c>
      <c r="W53" s="4" t="s">
        <v>3416</v>
      </c>
      <c r="X53" s="4" t="str">
        <f>_xlfn.XLOOKUP(V53,Reference!$O:$O,Reference!$N:$N,"Tidak Ketemu")</f>
        <v>G14</v>
      </c>
      <c r="Y53" s="4" t="str">
        <f t="shared" si="2"/>
        <v>TK/0</v>
      </c>
      <c r="Z53" s="10" t="s">
        <v>1753</v>
      </c>
      <c r="AA53" s="10" t="s">
        <v>1754</v>
      </c>
      <c r="AB53" s="7" t="s">
        <v>1755</v>
      </c>
      <c r="AC53" s="7" t="s">
        <v>3817</v>
      </c>
      <c r="AD53" s="7" t="s">
        <v>1756</v>
      </c>
      <c r="AE53" s="6" t="s">
        <v>1752</v>
      </c>
      <c r="AF53" s="6" t="s">
        <v>1722</v>
      </c>
      <c r="AG53" s="6" t="s">
        <v>778</v>
      </c>
      <c r="AN53" s="4"/>
    </row>
    <row r="54" spans="1:40" ht="14.5" customHeight="1" x14ac:dyDescent="0.35">
      <c r="A54" s="5">
        <v>201642522</v>
      </c>
      <c r="B54" s="5" t="s">
        <v>3099</v>
      </c>
      <c r="C54" s="5" t="s">
        <v>256</v>
      </c>
      <c r="D54" s="5" t="s">
        <v>567</v>
      </c>
      <c r="E54" s="6" t="s">
        <v>768</v>
      </c>
      <c r="F54" s="7">
        <v>40080</v>
      </c>
      <c r="G54" s="10" t="s">
        <v>648</v>
      </c>
      <c r="H54" s="15" t="s">
        <v>666</v>
      </c>
      <c r="I54" s="4">
        <f>MIN(COUNTIFS('Data Family'!A:A,A54,'Data Family'!F:F,"Child")+COUNTIFS('Data Family'!A:A,A54,'Data Family'!F:F,"&lt;&gt;Child",'Data Family'!J:J,"Housewife")+COUNTIFS('Data Family'!A:A,A54,'Data Family'!F:F,"&lt;&gt;Child",'Data Family'!J:J,"Unemployment"),3)</f>
        <v>2</v>
      </c>
      <c r="J54" s="10" t="s">
        <v>791</v>
      </c>
      <c r="K54" s="7" t="s">
        <v>691</v>
      </c>
      <c r="L54" s="7">
        <v>46174</v>
      </c>
      <c r="M54" s="7">
        <v>46539</v>
      </c>
      <c r="N54" s="7"/>
      <c r="O54" s="4" t="str">
        <f t="shared" ca="1" si="0"/>
        <v/>
      </c>
      <c r="P54" s="4" t="str">
        <f t="shared" ca="1" si="1"/>
        <v>Active</v>
      </c>
      <c r="Q54" s="4" t="str">
        <f t="shared" si="3"/>
        <v>PKWT</v>
      </c>
      <c r="R54" s="7" t="s">
        <v>2980</v>
      </c>
      <c r="S54" s="4" t="s">
        <v>2985</v>
      </c>
      <c r="T54" s="4" t="s">
        <v>732</v>
      </c>
      <c r="U54" s="4" t="s">
        <v>732</v>
      </c>
      <c r="V54" s="4" t="s">
        <v>2681</v>
      </c>
      <c r="W54" s="4" t="s">
        <v>3416</v>
      </c>
      <c r="X54" s="4" t="str">
        <f>_xlfn.XLOOKUP(V54,Reference!$O:$O,Reference!$N:$N,"Tidak Ketemu")</f>
        <v>G14</v>
      </c>
      <c r="Y54" s="4" t="str">
        <f t="shared" si="2"/>
        <v>TK/2</v>
      </c>
      <c r="Z54" s="10" t="s">
        <v>2190</v>
      </c>
      <c r="AA54" s="10" t="s">
        <v>2191</v>
      </c>
      <c r="AB54" s="7" t="s">
        <v>2192</v>
      </c>
      <c r="AC54" s="7" t="s">
        <v>3817</v>
      </c>
      <c r="AD54" s="7" t="s">
        <v>2193</v>
      </c>
      <c r="AE54" s="6" t="s">
        <v>2189</v>
      </c>
      <c r="AF54" s="6" t="s">
        <v>1013</v>
      </c>
      <c r="AG54" s="6" t="s">
        <v>656</v>
      </c>
      <c r="AN54" s="4"/>
    </row>
    <row r="55" spans="1:40" ht="14.5" customHeight="1" x14ac:dyDescent="0.35">
      <c r="A55" s="5">
        <v>202345041</v>
      </c>
      <c r="B55" s="5" t="s">
        <v>1210</v>
      </c>
      <c r="C55" s="5" t="s">
        <v>100</v>
      </c>
      <c r="D55" s="5" t="s">
        <v>411</v>
      </c>
      <c r="E55" s="6" t="s">
        <v>3448</v>
      </c>
      <c r="F55" s="7">
        <v>36257</v>
      </c>
      <c r="G55" s="10" t="s">
        <v>676</v>
      </c>
      <c r="H55" s="15" t="s">
        <v>651</v>
      </c>
      <c r="I55" s="4">
        <f>MIN(COUNTIFS('Data Family'!A:A,A55,'Data Family'!F:F,"Child")+COUNTIFS('Data Family'!A:A,A55,'Data Family'!F:F,"&lt;&gt;Child",'Data Family'!J:J,"Housewife")+COUNTIFS('Data Family'!A:A,A55,'Data Family'!F:F,"&lt;&gt;Child",'Data Family'!J:J,"Unemployment"),3)</f>
        <v>1</v>
      </c>
      <c r="J55" s="10" t="s">
        <v>791</v>
      </c>
      <c r="K55" s="7" t="s">
        <v>701</v>
      </c>
      <c r="L55" s="7">
        <v>45041</v>
      </c>
      <c r="M55" s="7">
        <v>46868</v>
      </c>
      <c r="N55" s="7"/>
      <c r="O55" s="4" t="str">
        <f t="shared" ca="1" si="0"/>
        <v/>
      </c>
      <c r="P55" s="4" t="str">
        <f t="shared" ca="1" si="1"/>
        <v>Active</v>
      </c>
      <c r="Q55" s="4" t="str">
        <f t="shared" si="3"/>
        <v>PKWT</v>
      </c>
      <c r="R55" s="7" t="s">
        <v>2982</v>
      </c>
      <c r="S55" s="4" t="s">
        <v>2988</v>
      </c>
      <c r="T55" s="4" t="s">
        <v>681</v>
      </c>
      <c r="U55" s="4" t="s">
        <v>2988</v>
      </c>
      <c r="V55" s="4" t="s">
        <v>3073</v>
      </c>
      <c r="W55" s="4" t="s">
        <v>682</v>
      </c>
      <c r="X55" s="4" t="str">
        <f>_xlfn.XLOOKUP(V55,Reference!$O:$O,Reference!$N:$N,"Tidak Ketemu")</f>
        <v>G10</v>
      </c>
      <c r="Y55" s="4" t="str">
        <f t="shared" si="2"/>
        <v>TK/0</v>
      </c>
      <c r="Z55" s="10" t="s">
        <v>1256</v>
      </c>
      <c r="AA55" s="10" t="s">
        <v>1257</v>
      </c>
      <c r="AB55" s="7" t="s">
        <v>1258</v>
      </c>
      <c r="AC55" s="7" t="s">
        <v>3816</v>
      </c>
      <c r="AD55" s="17" t="s">
        <v>1259</v>
      </c>
      <c r="AE55" s="6" t="s">
        <v>1255</v>
      </c>
      <c r="AF55" s="6" t="s">
        <v>1211</v>
      </c>
      <c r="AG55" s="6" t="s">
        <v>731</v>
      </c>
      <c r="AN55" s="4"/>
    </row>
    <row r="56" spans="1:40" x14ac:dyDescent="0.35">
      <c r="A56" s="5">
        <v>201642675</v>
      </c>
      <c r="B56" s="5" t="s">
        <v>3075</v>
      </c>
      <c r="C56" s="5" t="s">
        <v>312</v>
      </c>
      <c r="D56" s="5" t="s">
        <v>623</v>
      </c>
      <c r="E56" s="6" t="s">
        <v>3441</v>
      </c>
      <c r="F56" s="7">
        <v>29875</v>
      </c>
      <c r="G56" s="10" t="s">
        <v>676</v>
      </c>
      <c r="H56" s="15" t="s">
        <v>651</v>
      </c>
      <c r="I56" s="4">
        <f>MIN(COUNTIFS('Data Family'!A:A,A56,'Data Family'!F:F,"Child")+COUNTIFS('Data Family'!A:A,A56,'Data Family'!F:F,"&lt;&gt;Child",'Data Family'!J:J,"Housewife")+COUNTIFS('Data Family'!A:A,A56,'Data Family'!F:F,"&lt;&gt;Child",'Data Family'!J:J,"Unemployment"),3)</f>
        <v>1</v>
      </c>
      <c r="J56" s="10" t="s">
        <v>3004</v>
      </c>
      <c r="K56" s="7" t="s">
        <v>677</v>
      </c>
      <c r="L56" s="7">
        <v>43405</v>
      </c>
      <c r="M56" s="7"/>
      <c r="N56" s="7"/>
      <c r="O56" s="4" t="str">
        <f t="shared" ca="1" si="0"/>
        <v/>
      </c>
      <c r="P56" s="4" t="str">
        <f t="shared" ca="1" si="1"/>
        <v>Active</v>
      </c>
      <c r="Q56" s="4" t="str">
        <f t="shared" si="3"/>
        <v>PKWTT</v>
      </c>
      <c r="R56" s="7" t="s">
        <v>2984</v>
      </c>
      <c r="S56" s="4" t="s">
        <v>2988</v>
      </c>
      <c r="T56" s="4" t="s">
        <v>681</v>
      </c>
      <c r="U56" s="4" t="s">
        <v>2988</v>
      </c>
      <c r="V56" s="4" t="s">
        <v>2621</v>
      </c>
      <c r="W56" s="4" t="s">
        <v>3063</v>
      </c>
      <c r="X56" s="4" t="str">
        <f>_xlfn.XLOOKUP(V56,Reference!$O:$O,Reference!$N:$N,"Tidak Ketemu")</f>
        <v>G06</v>
      </c>
      <c r="Y56" s="4" t="str">
        <f t="shared" si="2"/>
        <v>TK/0</v>
      </c>
      <c r="Z56" s="10" t="s">
        <v>2494</v>
      </c>
      <c r="AA56" s="10" t="s">
        <v>2495</v>
      </c>
      <c r="AB56" s="7" t="s">
        <v>2496</v>
      </c>
      <c r="AC56" s="7" t="s">
        <v>3816</v>
      </c>
      <c r="AD56" s="17" t="s">
        <v>2497</v>
      </c>
      <c r="AE56" s="6" t="s">
        <v>2493</v>
      </c>
      <c r="AF56" s="6" t="s">
        <v>1114</v>
      </c>
      <c r="AG56" s="6" t="s">
        <v>818</v>
      </c>
      <c r="AN56" s="4"/>
    </row>
    <row r="57" spans="1:40" x14ac:dyDescent="0.35">
      <c r="A57" s="5">
        <v>202044084</v>
      </c>
      <c r="B57" s="5" t="s">
        <v>3076</v>
      </c>
      <c r="C57" s="5" t="s">
        <v>183</v>
      </c>
      <c r="D57" s="5" t="s">
        <v>494</v>
      </c>
      <c r="E57" s="6" t="s">
        <v>3447</v>
      </c>
      <c r="F57" s="7">
        <v>33678</v>
      </c>
      <c r="G57" s="10" t="s">
        <v>648</v>
      </c>
      <c r="H57" s="15" t="s">
        <v>651</v>
      </c>
      <c r="I57" s="4">
        <f>MIN(COUNTIFS('Data Family'!A:A,A57,'Data Family'!F:F,"Child")+COUNTIFS('Data Family'!A:A,A57,'Data Family'!F:F,"&lt;&gt;Child",'Data Family'!J:J,"Housewife")+COUNTIFS('Data Family'!A:A,A57,'Data Family'!F:F,"&lt;&gt;Child",'Data Family'!J:J,"Unemployment"),3)</f>
        <v>1</v>
      </c>
      <c r="J57" s="10" t="s">
        <v>3001</v>
      </c>
      <c r="K57" s="7" t="s">
        <v>701</v>
      </c>
      <c r="L57" s="7">
        <v>42257</v>
      </c>
      <c r="M57" s="7"/>
      <c r="N57" s="7"/>
      <c r="O57" s="4" t="str">
        <f t="shared" ca="1" si="0"/>
        <v/>
      </c>
      <c r="P57" s="4" t="str">
        <f t="shared" ca="1" si="1"/>
        <v>Active</v>
      </c>
      <c r="Q57" s="4" t="str">
        <f t="shared" si="3"/>
        <v>PKWTT</v>
      </c>
      <c r="R57" s="7" t="s">
        <v>2983</v>
      </c>
      <c r="S57" s="4" t="s">
        <v>2988</v>
      </c>
      <c r="T57" s="4" t="s">
        <v>681</v>
      </c>
      <c r="U57" s="4" t="s">
        <v>2988</v>
      </c>
      <c r="V57" s="4" t="s">
        <v>2624</v>
      </c>
      <c r="W57" s="4" t="s">
        <v>3064</v>
      </c>
      <c r="X57" s="4" t="str">
        <f>_xlfn.XLOOKUP(V57,Reference!$O:$O,Reference!$N:$N,"Tidak Ketemu")</f>
        <v>G07</v>
      </c>
      <c r="Y57" s="4" t="str">
        <f t="shared" si="2"/>
        <v>K/1</v>
      </c>
      <c r="Z57" s="10" t="s">
        <v>1784</v>
      </c>
      <c r="AA57" s="10" t="s">
        <v>1785</v>
      </c>
      <c r="AB57" s="7" t="s">
        <v>1786</v>
      </c>
      <c r="AC57" s="7" t="s">
        <v>3816</v>
      </c>
      <c r="AD57" s="17" t="s">
        <v>1787</v>
      </c>
      <c r="AE57" s="6" t="s">
        <v>1783</v>
      </c>
      <c r="AF57" s="6" t="s">
        <v>1369</v>
      </c>
      <c r="AG57" s="6" t="s">
        <v>680</v>
      </c>
      <c r="AN57" s="4"/>
    </row>
    <row r="58" spans="1:40" ht="14.5" customHeight="1" x14ac:dyDescent="0.35">
      <c r="A58" s="5">
        <v>202545791</v>
      </c>
      <c r="B58" s="5" t="s">
        <v>1306</v>
      </c>
      <c r="C58" s="5" t="s">
        <v>152</v>
      </c>
      <c r="D58" s="5" t="s">
        <v>463</v>
      </c>
      <c r="E58" s="6" t="s">
        <v>3425</v>
      </c>
      <c r="F58" s="7">
        <v>36243</v>
      </c>
      <c r="G58" s="10" t="s">
        <v>676</v>
      </c>
      <c r="H58" s="15" t="s">
        <v>651</v>
      </c>
      <c r="I58" s="4">
        <f>MIN(COUNTIFS('Data Family'!A:A,A58,'Data Family'!F:F,"Child")+COUNTIFS('Data Family'!A:A,A58,'Data Family'!F:F,"&lt;&gt;Child",'Data Family'!J:J,"Housewife")+COUNTIFS('Data Family'!A:A,A58,'Data Family'!F:F,"&lt;&gt;Child",'Data Family'!J:J,"Unemployment"),3)</f>
        <v>1</v>
      </c>
      <c r="J58" s="10" t="s">
        <v>791</v>
      </c>
      <c r="K58" s="7" t="s">
        <v>701</v>
      </c>
      <c r="L58" s="7">
        <v>45791</v>
      </c>
      <c r="M58" s="7">
        <v>46887</v>
      </c>
      <c r="N58" s="7"/>
      <c r="O58" s="4" t="str">
        <f t="shared" ca="1" si="0"/>
        <v/>
      </c>
      <c r="P58" s="4" t="str">
        <f t="shared" ca="1" si="1"/>
        <v>Active</v>
      </c>
      <c r="Q58" s="4" t="str">
        <f t="shared" si="3"/>
        <v>PKWT</v>
      </c>
      <c r="R58" s="7" t="s">
        <v>2982</v>
      </c>
      <c r="S58" s="4" t="s">
        <v>2988</v>
      </c>
      <c r="T58" s="4" t="s">
        <v>681</v>
      </c>
      <c r="U58" s="4" t="s">
        <v>2988</v>
      </c>
      <c r="V58" s="4" t="s">
        <v>3073</v>
      </c>
      <c r="W58" s="4" t="s">
        <v>682</v>
      </c>
      <c r="X58" s="4" t="str">
        <f>_xlfn.XLOOKUP(V58,Reference!$O:$O,Reference!$N:$N,"Tidak Ketemu")</f>
        <v>G10</v>
      </c>
      <c r="Y58" s="4" t="str">
        <f t="shared" si="2"/>
        <v>TK/0</v>
      </c>
      <c r="Z58" s="10" t="s">
        <v>1600</v>
      </c>
      <c r="AA58" s="10" t="s">
        <v>1601</v>
      </c>
      <c r="AB58" s="7" t="s">
        <v>1602</v>
      </c>
      <c r="AC58" s="7" t="s">
        <v>3816</v>
      </c>
      <c r="AD58" s="17" t="s">
        <v>1603</v>
      </c>
      <c r="AE58" s="6" t="s">
        <v>1599</v>
      </c>
      <c r="AF58" s="6" t="s">
        <v>1308</v>
      </c>
      <c r="AG58" s="6" t="s">
        <v>656</v>
      </c>
      <c r="AN58" s="4"/>
    </row>
    <row r="59" spans="1:40" ht="14.5" customHeight="1" x14ac:dyDescent="0.35">
      <c r="A59" s="5">
        <v>201843255</v>
      </c>
      <c r="B59" s="5" t="s">
        <v>1067</v>
      </c>
      <c r="C59" s="5" t="s">
        <v>89</v>
      </c>
      <c r="D59" s="5" t="s">
        <v>400</v>
      </c>
      <c r="E59" s="6" t="s">
        <v>689</v>
      </c>
      <c r="F59" s="7">
        <v>36519</v>
      </c>
      <c r="G59" s="10" t="s">
        <v>676</v>
      </c>
      <c r="H59" s="15" t="s">
        <v>651</v>
      </c>
      <c r="I59" s="4">
        <f>MIN(COUNTIFS('Data Family'!A:A,A59,'Data Family'!F:F,"Child")+COUNTIFS('Data Family'!A:A,A59,'Data Family'!F:F,"&lt;&gt;Child",'Data Family'!J:J,"Housewife")+COUNTIFS('Data Family'!A:A,A59,'Data Family'!F:F,"&lt;&gt;Child",'Data Family'!J:J,"Unemployment"),3)</f>
        <v>1</v>
      </c>
      <c r="J59" s="10" t="s">
        <v>791</v>
      </c>
      <c r="K59" s="7" t="s">
        <v>701</v>
      </c>
      <c r="L59" s="7">
        <v>43986</v>
      </c>
      <c r="M59" s="7"/>
      <c r="N59" s="7"/>
      <c r="O59" s="4" t="str">
        <f t="shared" ca="1" si="0"/>
        <v/>
      </c>
      <c r="P59" s="4" t="str">
        <f t="shared" ca="1" si="1"/>
        <v>Active</v>
      </c>
      <c r="Q59" s="4" t="str">
        <f t="shared" si="3"/>
        <v>PKWTT</v>
      </c>
      <c r="R59" s="7" t="s">
        <v>2982</v>
      </c>
      <c r="S59" s="4" t="s">
        <v>2988</v>
      </c>
      <c r="T59" s="4" t="s">
        <v>681</v>
      </c>
      <c r="U59" s="4" t="s">
        <v>2988</v>
      </c>
      <c r="V59" s="4" t="s">
        <v>3073</v>
      </c>
      <c r="W59" s="4" t="s">
        <v>682</v>
      </c>
      <c r="X59" s="4" t="str">
        <f>_xlfn.XLOOKUP(V59,Reference!$O:$O,Reference!$N:$N,"Tidak Ketemu")</f>
        <v>G10</v>
      </c>
      <c r="Y59" s="4" t="str">
        <f t="shared" si="2"/>
        <v>TK/0</v>
      </c>
      <c r="Z59" s="10" t="s">
        <v>1179</v>
      </c>
      <c r="AA59" s="10" t="s">
        <v>1180</v>
      </c>
      <c r="AB59" s="7" t="s">
        <v>1181</v>
      </c>
      <c r="AC59" s="7" t="s">
        <v>3816</v>
      </c>
      <c r="AD59" s="17" t="s">
        <v>1182</v>
      </c>
      <c r="AE59" s="6" t="s">
        <v>1178</v>
      </c>
      <c r="AF59" s="6" t="s">
        <v>1068</v>
      </c>
      <c r="AG59" s="6" t="s">
        <v>731</v>
      </c>
      <c r="AN59" s="4"/>
    </row>
    <row r="60" spans="1:40" x14ac:dyDescent="0.35">
      <c r="A60" s="5">
        <v>201843330</v>
      </c>
      <c r="B60" s="5" t="s">
        <v>3077</v>
      </c>
      <c r="C60" s="5" t="s">
        <v>119</v>
      </c>
      <c r="D60" s="5" t="s">
        <v>430</v>
      </c>
      <c r="E60" s="6" t="s">
        <v>3435</v>
      </c>
      <c r="F60" s="7">
        <v>36079</v>
      </c>
      <c r="G60" s="10" t="s">
        <v>648</v>
      </c>
      <c r="H60" s="15" t="s">
        <v>666</v>
      </c>
      <c r="I60" s="4">
        <f>MIN(COUNTIFS('Data Family'!A:A,A60,'Data Family'!F:F,"Child")+COUNTIFS('Data Family'!A:A,A60,'Data Family'!F:F,"&lt;&gt;Child",'Data Family'!J:J,"Housewife")+COUNTIFS('Data Family'!A:A,A60,'Data Family'!F:F,"&lt;&gt;Child",'Data Family'!J:J,"Unemployment"),3)</f>
        <v>0</v>
      </c>
      <c r="J60" s="10" t="s">
        <v>791</v>
      </c>
      <c r="K60" s="7" t="s">
        <v>652</v>
      </c>
      <c r="L60" s="7">
        <v>44791</v>
      </c>
      <c r="M60" s="7">
        <v>46617</v>
      </c>
      <c r="N60" s="7"/>
      <c r="O60" s="4" t="str">
        <f t="shared" ca="1" si="0"/>
        <v/>
      </c>
      <c r="P60" s="4" t="str">
        <f t="shared" ca="1" si="1"/>
        <v>Active</v>
      </c>
      <c r="Q60" s="4" t="str">
        <f t="shared" si="3"/>
        <v>PKWT</v>
      </c>
      <c r="R60" s="7" t="s">
        <v>2982</v>
      </c>
      <c r="S60" s="4" t="s">
        <v>2988</v>
      </c>
      <c r="T60" s="4" t="s">
        <v>681</v>
      </c>
      <c r="U60" s="4" t="s">
        <v>2988</v>
      </c>
      <c r="V60" s="4" t="s">
        <v>3073</v>
      </c>
      <c r="W60" s="4" t="s">
        <v>682</v>
      </c>
      <c r="X60" s="4" t="str">
        <f>_xlfn.XLOOKUP(V60,Reference!$O:$O,Reference!$N:$N,"Tidak Ketemu")</f>
        <v>G10</v>
      </c>
      <c r="Y60" s="4" t="str">
        <f t="shared" si="2"/>
        <v>TK/0</v>
      </c>
      <c r="Z60" s="10" t="s">
        <v>1385</v>
      </c>
      <c r="AA60" s="10" t="s">
        <v>1386</v>
      </c>
      <c r="AB60" s="7" t="s">
        <v>1387</v>
      </c>
      <c r="AC60" s="7" t="s">
        <v>3816</v>
      </c>
      <c r="AD60" s="17" t="s">
        <v>1388</v>
      </c>
      <c r="AE60" s="6" t="s">
        <v>1383</v>
      </c>
      <c r="AF60" s="6" t="s">
        <v>1384</v>
      </c>
      <c r="AG60" s="6" t="s">
        <v>731</v>
      </c>
      <c r="AN60" s="4"/>
    </row>
    <row r="61" spans="1:40" x14ac:dyDescent="0.35">
      <c r="A61" s="5">
        <v>201843435</v>
      </c>
      <c r="B61" s="5" t="s">
        <v>1967</v>
      </c>
      <c r="C61" s="5" t="s">
        <v>215</v>
      </c>
      <c r="D61" s="5" t="s">
        <v>526</v>
      </c>
      <c r="E61" s="6" t="s">
        <v>3435</v>
      </c>
      <c r="F61" s="7">
        <v>36034</v>
      </c>
      <c r="G61" s="10" t="s">
        <v>676</v>
      </c>
      <c r="H61" s="15" t="s">
        <v>666</v>
      </c>
      <c r="I61" s="4">
        <f>MIN(COUNTIFS('Data Family'!A:A,A61,'Data Family'!F:F,"Child")+COUNTIFS('Data Family'!A:A,A61,'Data Family'!F:F,"&lt;&gt;Child",'Data Family'!J:J,"Housewife")+COUNTIFS('Data Family'!A:A,A61,'Data Family'!F:F,"&lt;&gt;Child",'Data Family'!J:J,"Unemployment"),3)</f>
        <v>0</v>
      </c>
      <c r="J61" s="10" t="s">
        <v>791</v>
      </c>
      <c r="K61" s="7" t="s">
        <v>652</v>
      </c>
      <c r="L61" s="7">
        <v>44531</v>
      </c>
      <c r="M61" s="7">
        <v>46388</v>
      </c>
      <c r="N61" s="7"/>
      <c r="O61" s="4" t="str">
        <f t="shared" ca="1" si="0"/>
        <v/>
      </c>
      <c r="P61" s="4" t="str">
        <f t="shared" ca="1" si="1"/>
        <v>Active</v>
      </c>
      <c r="Q61" s="4" t="str">
        <f t="shared" si="3"/>
        <v>PKWT</v>
      </c>
      <c r="R61" s="7" t="s">
        <v>2982</v>
      </c>
      <c r="S61" s="4" t="s">
        <v>2693</v>
      </c>
      <c r="T61" s="4" t="s">
        <v>681</v>
      </c>
      <c r="U61" s="4" t="s">
        <v>2988</v>
      </c>
      <c r="V61" s="4" t="s">
        <v>3073</v>
      </c>
      <c r="W61" s="4" t="s">
        <v>682</v>
      </c>
      <c r="X61" s="4" t="str">
        <f>_xlfn.XLOOKUP(V61,Reference!$O:$O,Reference!$N:$N,"Tidak Ketemu")</f>
        <v>G10</v>
      </c>
      <c r="Y61" s="4" t="str">
        <f t="shared" si="2"/>
        <v>TK/0</v>
      </c>
      <c r="Z61" s="10" t="s">
        <v>1970</v>
      </c>
      <c r="AA61" s="10" t="s">
        <v>1971</v>
      </c>
      <c r="AB61" s="7" t="s">
        <v>1972</v>
      </c>
      <c r="AC61" s="7" t="s">
        <v>3816</v>
      </c>
      <c r="AD61" s="17" t="s">
        <v>1973</v>
      </c>
      <c r="AE61" s="6" t="s">
        <v>1968</v>
      </c>
      <c r="AF61" s="6" t="s">
        <v>1969</v>
      </c>
      <c r="AG61" s="6" t="s">
        <v>680</v>
      </c>
      <c r="AN61" s="4"/>
    </row>
    <row r="62" spans="1:40" x14ac:dyDescent="0.35">
      <c r="A62" s="5">
        <v>201642563</v>
      </c>
      <c r="B62" s="5" t="s">
        <v>3078</v>
      </c>
      <c r="C62" s="5" t="s">
        <v>191</v>
      </c>
      <c r="D62" s="5" t="s">
        <v>502</v>
      </c>
      <c r="E62" s="6" t="s">
        <v>3435</v>
      </c>
      <c r="F62" s="7">
        <v>36877</v>
      </c>
      <c r="G62" s="10" t="s">
        <v>648</v>
      </c>
      <c r="H62" s="15" t="s">
        <v>666</v>
      </c>
      <c r="I62" s="4">
        <f>MIN(COUNTIFS('Data Family'!A:A,A62,'Data Family'!F:F,"Child")+COUNTIFS('Data Family'!A:A,A62,'Data Family'!F:F,"&lt;&gt;Child",'Data Family'!J:J,"Housewife")+COUNTIFS('Data Family'!A:A,A62,'Data Family'!F:F,"&lt;&gt;Child",'Data Family'!J:J,"Unemployment"),3)</f>
        <v>0</v>
      </c>
      <c r="J62" s="10" t="s">
        <v>791</v>
      </c>
      <c r="K62" s="7" t="s">
        <v>691</v>
      </c>
      <c r="L62" s="7">
        <v>45850</v>
      </c>
      <c r="M62" s="7">
        <v>46580</v>
      </c>
      <c r="N62" s="7"/>
      <c r="O62" s="4" t="str">
        <f t="shared" ca="1" si="0"/>
        <v/>
      </c>
      <c r="P62" s="4" t="str">
        <f t="shared" ca="1" si="1"/>
        <v>Active</v>
      </c>
      <c r="Q62" s="4" t="str">
        <f t="shared" si="3"/>
        <v>PKWT</v>
      </c>
      <c r="R62" s="7" t="s">
        <v>2982</v>
      </c>
      <c r="S62" s="4" t="s">
        <v>2693</v>
      </c>
      <c r="T62" s="4" t="s">
        <v>681</v>
      </c>
      <c r="U62" s="4" t="s">
        <v>2988</v>
      </c>
      <c r="V62" s="4" t="s">
        <v>659</v>
      </c>
      <c r="W62" s="4" t="s">
        <v>3067</v>
      </c>
      <c r="X62" s="4" t="str">
        <f>_xlfn.XLOOKUP(V62,Reference!$O:$O,Reference!$N:$N,"Tidak Ketemu")</f>
        <v>G11</v>
      </c>
      <c r="Y62" s="4" t="str">
        <f t="shared" si="2"/>
        <v>TK/0</v>
      </c>
      <c r="Z62" s="10" t="s">
        <v>1830</v>
      </c>
      <c r="AA62" s="10" t="s">
        <v>1831</v>
      </c>
      <c r="AB62" s="7" t="s">
        <v>1832</v>
      </c>
      <c r="AC62" s="7" t="s">
        <v>3816</v>
      </c>
      <c r="AD62" s="17" t="s">
        <v>1833</v>
      </c>
      <c r="AE62" s="6" t="s">
        <v>1828</v>
      </c>
      <c r="AF62" s="6" t="s">
        <v>1829</v>
      </c>
      <c r="AG62" s="6" t="s">
        <v>731</v>
      </c>
      <c r="AN62" s="4"/>
    </row>
    <row r="63" spans="1:40" x14ac:dyDescent="0.35">
      <c r="A63" s="5">
        <v>201642610</v>
      </c>
      <c r="B63" s="5" t="s">
        <v>849</v>
      </c>
      <c r="C63" s="5" t="s">
        <v>46</v>
      </c>
      <c r="D63" s="5" t="s">
        <v>357</v>
      </c>
      <c r="E63" s="6" t="s">
        <v>3449</v>
      </c>
      <c r="F63" s="7">
        <v>36424</v>
      </c>
      <c r="G63" s="10" t="s">
        <v>676</v>
      </c>
      <c r="H63" s="15" t="s">
        <v>666</v>
      </c>
      <c r="I63" s="4">
        <f>MIN(COUNTIFS('Data Family'!A:A,A63,'Data Family'!F:F,"Child")+COUNTIFS('Data Family'!A:A,A63,'Data Family'!F:F,"&lt;&gt;Child",'Data Family'!J:J,"Housewife")+COUNTIFS('Data Family'!A:A,A63,'Data Family'!F:F,"&lt;&gt;Child",'Data Family'!J:J,"Unemployment"),3)</f>
        <v>0</v>
      </c>
      <c r="J63" s="10" t="s">
        <v>791</v>
      </c>
      <c r="K63" s="7" t="s">
        <v>677</v>
      </c>
      <c r="L63" s="7">
        <v>46081</v>
      </c>
      <c r="M63" s="7">
        <v>47177</v>
      </c>
      <c r="N63" s="7"/>
      <c r="O63" s="4" t="str">
        <f t="shared" ca="1" si="0"/>
        <v/>
      </c>
      <c r="P63" s="4" t="str">
        <f t="shared" ca="1" si="1"/>
        <v>Active</v>
      </c>
      <c r="Q63" s="4" t="str">
        <f t="shared" si="3"/>
        <v>PKWT</v>
      </c>
      <c r="R63" s="7" t="s">
        <v>2982</v>
      </c>
      <c r="S63" s="4" t="s">
        <v>2693</v>
      </c>
      <c r="T63" s="4" t="s">
        <v>681</v>
      </c>
      <c r="U63" s="4" t="s">
        <v>2988</v>
      </c>
      <c r="V63" s="4" t="s">
        <v>659</v>
      </c>
      <c r="W63" s="4" t="s">
        <v>3067</v>
      </c>
      <c r="X63" s="4" t="str">
        <f>_xlfn.XLOOKUP(V63,Reference!$O:$O,Reference!$N:$N,"Tidak Ketemu")</f>
        <v>G11</v>
      </c>
      <c r="Y63" s="4" t="str">
        <f t="shared" si="2"/>
        <v>TK/0</v>
      </c>
      <c r="Z63" s="10" t="s">
        <v>852</v>
      </c>
      <c r="AA63" s="10" t="s">
        <v>853</v>
      </c>
      <c r="AB63" s="7" t="s">
        <v>854</v>
      </c>
      <c r="AC63" s="7" t="s">
        <v>3816</v>
      </c>
      <c r="AD63" s="17" t="s">
        <v>855</v>
      </c>
      <c r="AE63" s="6" t="s">
        <v>850</v>
      </c>
      <c r="AF63" s="6" t="s">
        <v>851</v>
      </c>
      <c r="AG63" s="6" t="s">
        <v>778</v>
      </c>
      <c r="AN63" s="4"/>
    </row>
    <row r="64" spans="1:40" x14ac:dyDescent="0.35">
      <c r="A64" s="5">
        <v>201742737</v>
      </c>
      <c r="B64" s="5" t="s">
        <v>3079</v>
      </c>
      <c r="C64" s="5" t="s">
        <v>78</v>
      </c>
      <c r="D64" s="5" t="s">
        <v>389</v>
      </c>
      <c r="E64" s="6" t="s">
        <v>3426</v>
      </c>
      <c r="F64" s="7">
        <v>36514</v>
      </c>
      <c r="G64" s="10" t="s">
        <v>648</v>
      </c>
      <c r="H64" s="15" t="s">
        <v>666</v>
      </c>
      <c r="I64" s="4">
        <f>MIN(COUNTIFS('Data Family'!A:A,A64,'Data Family'!F:F,"Child")+COUNTIFS('Data Family'!A:A,A64,'Data Family'!F:F,"&lt;&gt;Child",'Data Family'!J:J,"Housewife")+COUNTIFS('Data Family'!A:A,A64,'Data Family'!F:F,"&lt;&gt;Child",'Data Family'!J:J,"Unemployment"),3)</f>
        <v>0</v>
      </c>
      <c r="J64" s="10" t="s">
        <v>791</v>
      </c>
      <c r="K64" s="7" t="s">
        <v>691</v>
      </c>
      <c r="L64" s="7">
        <v>46024</v>
      </c>
      <c r="M64" s="7">
        <v>47120</v>
      </c>
      <c r="N64" s="7"/>
      <c r="O64" s="4" t="str">
        <f t="shared" ca="1" si="0"/>
        <v/>
      </c>
      <c r="P64" s="4" t="str">
        <f t="shared" ca="1" si="1"/>
        <v>Active</v>
      </c>
      <c r="Q64" s="4" t="str">
        <f t="shared" si="3"/>
        <v>PKWT</v>
      </c>
      <c r="R64" s="7" t="s">
        <v>2982</v>
      </c>
      <c r="S64" s="4" t="s">
        <v>2693</v>
      </c>
      <c r="T64" s="4" t="s">
        <v>681</v>
      </c>
      <c r="U64" s="4" t="s">
        <v>2988</v>
      </c>
      <c r="V64" s="4" t="s">
        <v>659</v>
      </c>
      <c r="W64" s="4" t="s">
        <v>3067</v>
      </c>
      <c r="X64" s="4" t="str">
        <f>_xlfn.XLOOKUP(V64,Reference!$O:$O,Reference!$N:$N,"Tidak Ketemu")</f>
        <v>G11</v>
      </c>
      <c r="Y64" s="4" t="str">
        <f t="shared" si="2"/>
        <v>TK/0</v>
      </c>
      <c r="Z64" s="10" t="s">
        <v>1096</v>
      </c>
      <c r="AA64" s="10" t="s">
        <v>1097</v>
      </c>
      <c r="AB64" s="7" t="s">
        <v>1098</v>
      </c>
      <c r="AC64" s="7" t="s">
        <v>3816</v>
      </c>
      <c r="AD64" s="17" t="s">
        <v>1099</v>
      </c>
      <c r="AE64" s="6" t="s">
        <v>1094</v>
      </c>
      <c r="AF64" s="6" t="s">
        <v>1095</v>
      </c>
      <c r="AG64" s="6" t="s">
        <v>704</v>
      </c>
      <c r="AN64" s="4"/>
    </row>
    <row r="65" spans="1:40" x14ac:dyDescent="0.35">
      <c r="A65" s="5">
        <v>201943726</v>
      </c>
      <c r="B65" s="5" t="s">
        <v>1210</v>
      </c>
      <c r="C65" s="5" t="s">
        <v>147</v>
      </c>
      <c r="D65" s="5" t="s">
        <v>458</v>
      </c>
      <c r="E65" s="6" t="s">
        <v>809</v>
      </c>
      <c r="F65" s="7">
        <v>39988</v>
      </c>
      <c r="G65" s="10" t="s">
        <v>676</v>
      </c>
      <c r="H65" s="15" t="s">
        <v>666</v>
      </c>
      <c r="I65" s="4">
        <f>MIN(COUNTIFS('Data Family'!A:A,A65,'Data Family'!F:F,"Child")+COUNTIFS('Data Family'!A:A,A65,'Data Family'!F:F,"&lt;&gt;Child",'Data Family'!J:J,"Housewife")+COUNTIFS('Data Family'!A:A,A65,'Data Family'!F:F,"&lt;&gt;Child",'Data Family'!J:J,"Unemployment"),3)</f>
        <v>0</v>
      </c>
      <c r="J65" s="10" t="s">
        <v>791</v>
      </c>
      <c r="K65" s="7" t="s">
        <v>691</v>
      </c>
      <c r="L65" s="7">
        <v>45918</v>
      </c>
      <c r="M65" s="7">
        <v>46283</v>
      </c>
      <c r="N65" s="7"/>
      <c r="O65" s="4" t="str">
        <f t="shared" ca="1" si="0"/>
        <v/>
      </c>
      <c r="P65" s="4" t="str">
        <f t="shared" ca="1" si="1"/>
        <v>Active</v>
      </c>
      <c r="Q65" s="4" t="str">
        <f t="shared" si="3"/>
        <v>PKWT</v>
      </c>
      <c r="R65" s="7" t="s">
        <v>2980</v>
      </c>
      <c r="S65" s="4" t="s">
        <v>2988</v>
      </c>
      <c r="T65" s="4" t="s">
        <v>681</v>
      </c>
      <c r="U65" s="4" t="s">
        <v>2988</v>
      </c>
      <c r="V65" s="4" t="s">
        <v>2681</v>
      </c>
      <c r="W65" s="4" t="s">
        <v>3416</v>
      </c>
      <c r="X65" s="4" t="str">
        <f>_xlfn.XLOOKUP(V65,Reference!$O:$O,Reference!$N:$N,"Tidak Ketemu")</f>
        <v>G14</v>
      </c>
      <c r="Y65" s="4" t="str">
        <f t="shared" si="2"/>
        <v>TK/0</v>
      </c>
      <c r="Z65" s="10" t="s">
        <v>1571</v>
      </c>
      <c r="AA65" s="10" t="s">
        <v>1572</v>
      </c>
      <c r="AB65" s="7" t="s">
        <v>1573</v>
      </c>
      <c r="AC65" s="7" t="s">
        <v>3817</v>
      </c>
      <c r="AD65" s="7" t="s">
        <v>1574</v>
      </c>
      <c r="AE65" s="6" t="s">
        <v>1570</v>
      </c>
      <c r="AF65" s="6" t="s">
        <v>1211</v>
      </c>
      <c r="AG65" s="6" t="s">
        <v>778</v>
      </c>
      <c r="AN65" s="4"/>
    </row>
    <row r="66" spans="1:40" x14ac:dyDescent="0.35">
      <c r="A66" s="5">
        <v>202044061</v>
      </c>
      <c r="B66" s="5" t="s">
        <v>749</v>
      </c>
      <c r="C66" s="5" t="s">
        <v>34</v>
      </c>
      <c r="D66" s="5" t="s">
        <v>345</v>
      </c>
      <c r="E66" s="6" t="s">
        <v>3439</v>
      </c>
      <c r="F66" s="7">
        <v>28770</v>
      </c>
      <c r="G66" s="10" t="s">
        <v>676</v>
      </c>
      <c r="H66" s="15" t="s">
        <v>651</v>
      </c>
      <c r="I66" s="4">
        <f>MIN(COUNTIFS('Data Family'!A:A,A66,'Data Family'!F:F,"Child")+COUNTIFS('Data Family'!A:A,A66,'Data Family'!F:F,"&lt;&gt;Child",'Data Family'!J:J,"Housewife")+COUNTIFS('Data Family'!A:A,A66,'Data Family'!F:F,"&lt;&gt;Child",'Data Family'!J:J,"Unemployment"),3)</f>
        <v>0</v>
      </c>
      <c r="J66" s="10" t="s">
        <v>3002</v>
      </c>
      <c r="K66" s="7" t="s">
        <v>701</v>
      </c>
      <c r="L66" s="7">
        <v>40408</v>
      </c>
      <c r="M66" s="7"/>
      <c r="N66" s="7"/>
      <c r="O66" s="4" t="str">
        <f t="shared" ref="O66:O129" ca="1" si="4">IF(AND(M66&lt;&gt;"", M66&lt;=TODAY(), N66=""), "End of Contract", "")</f>
        <v/>
      </c>
      <c r="P66" s="4" t="str">
        <f t="shared" ref="P66:P129" ca="1" si="5">IF(OR(N66&lt;&gt;"", AND(M66&lt;&gt;"",M66&lt;=TODAY())),"Non-Active","Active")</f>
        <v>Active</v>
      </c>
      <c r="Q66" s="4" t="str">
        <f t="shared" si="3"/>
        <v>PKWTT</v>
      </c>
      <c r="R66" s="7" t="s">
        <v>2984</v>
      </c>
      <c r="S66" s="4" t="s">
        <v>2693</v>
      </c>
      <c r="T66" s="4" t="s">
        <v>3015</v>
      </c>
      <c r="U66" s="4" t="s">
        <v>3018</v>
      </c>
      <c r="V66" s="4" t="s">
        <v>2621</v>
      </c>
      <c r="W66" s="4" t="s">
        <v>3023</v>
      </c>
      <c r="X66" s="4" t="str">
        <f>_xlfn.XLOOKUP(V66,Reference!$O:$O,Reference!$N:$N,"Tidak Ketemu")</f>
        <v>G06</v>
      </c>
      <c r="Y66" s="4" t="str">
        <f t="shared" ref="Y66:Y129" si="6">IF(AND(G66="Female",H66="Married"),"TK/0",IF(H66="Married","K/"&amp;I66,"TK/"&amp;I66))</f>
        <v>TK/0</v>
      </c>
      <c r="Z66" s="10" t="s">
        <v>752</v>
      </c>
      <c r="AA66" s="10" t="s">
        <v>753</v>
      </c>
      <c r="AB66" s="7" t="s">
        <v>754</v>
      </c>
      <c r="AC66" s="7" t="s">
        <v>3816</v>
      </c>
      <c r="AD66" s="17" t="s">
        <v>755</v>
      </c>
      <c r="AE66" s="6" t="s">
        <v>750</v>
      </c>
      <c r="AF66" s="6" t="s">
        <v>751</v>
      </c>
      <c r="AG66" s="6" t="s">
        <v>656</v>
      </c>
      <c r="AN66" s="4"/>
    </row>
    <row r="67" spans="1:40" x14ac:dyDescent="0.35">
      <c r="A67" s="5">
        <v>201943744</v>
      </c>
      <c r="B67" s="5" t="s">
        <v>647</v>
      </c>
      <c r="C67" s="5" t="s">
        <v>234</v>
      </c>
      <c r="D67" s="5" t="s">
        <v>545</v>
      </c>
      <c r="E67" s="6" t="s">
        <v>649</v>
      </c>
      <c r="F67" s="7">
        <v>33158</v>
      </c>
      <c r="G67" s="10" t="s">
        <v>648</v>
      </c>
      <c r="H67" s="15" t="s">
        <v>651</v>
      </c>
      <c r="I67" s="4">
        <f>MIN(COUNTIFS('Data Family'!A:A,A67,'Data Family'!F:F,"Child")+COUNTIFS('Data Family'!A:A,A67,'Data Family'!F:F,"&lt;&gt;Child",'Data Family'!J:J,"Housewife")+COUNTIFS('Data Family'!A:A,A67,'Data Family'!F:F,"&lt;&gt;Child",'Data Family'!J:J,"Unemployment"),3)</f>
        <v>1</v>
      </c>
      <c r="J67" s="10" t="s">
        <v>791</v>
      </c>
      <c r="K67" s="7" t="s">
        <v>691</v>
      </c>
      <c r="L67" s="7">
        <v>43379</v>
      </c>
      <c r="M67" s="7"/>
      <c r="N67" s="7"/>
      <c r="O67" s="4" t="str">
        <f t="shared" ca="1" si="4"/>
        <v/>
      </c>
      <c r="P67" s="4" t="str">
        <f t="shared" ca="1" si="5"/>
        <v>Active</v>
      </c>
      <c r="Q67" s="4" t="str">
        <f t="shared" ref="Q67:Q130" si="7">IF(M67="","PKWTT",IF(DATEDIF(L67,M67,"M")&gt;63,"PKWTT",IF(DATEDIF(L67,M67,"M")&gt;60,"PKWT",IF(DATEDIF(L67,M67,"M")&gt;36,"PKWT",IF(DATEDIF(L67,M67,"M")&gt;12, "PKWT","PKWT")))))</f>
        <v>PKWTT</v>
      </c>
      <c r="R67" s="7" t="s">
        <v>2982</v>
      </c>
      <c r="S67" s="4" t="s">
        <v>2682</v>
      </c>
      <c r="T67" s="4" t="s">
        <v>3015</v>
      </c>
      <c r="U67" s="4" t="s">
        <v>3018</v>
      </c>
      <c r="V67" s="4" t="s">
        <v>659</v>
      </c>
      <c r="W67" s="4" t="s">
        <v>3022</v>
      </c>
      <c r="X67" s="4" t="str">
        <f>_xlfn.XLOOKUP(V67,Reference!$O:$O,Reference!$N:$N,"Tidak Ketemu")</f>
        <v>G11</v>
      </c>
      <c r="Y67" s="4" t="str">
        <f t="shared" si="6"/>
        <v>K/1</v>
      </c>
      <c r="Z67" s="10" t="s">
        <v>2075</v>
      </c>
      <c r="AA67" s="10" t="s">
        <v>2076</v>
      </c>
      <c r="AB67" s="7" t="s">
        <v>2077</v>
      </c>
      <c r="AC67" s="7" t="s">
        <v>3816</v>
      </c>
      <c r="AD67" s="17" t="s">
        <v>2078</v>
      </c>
      <c r="AE67" s="6" t="s">
        <v>2074</v>
      </c>
      <c r="AF67" s="6" t="s">
        <v>655</v>
      </c>
      <c r="AG67" s="6" t="s">
        <v>694</v>
      </c>
      <c r="AN67" s="4"/>
    </row>
    <row r="68" spans="1:40" x14ac:dyDescent="0.35">
      <c r="A68" s="5">
        <v>202043848</v>
      </c>
      <c r="B68" s="5" t="s">
        <v>921</v>
      </c>
      <c r="C68" s="5" t="s">
        <v>248</v>
      </c>
      <c r="D68" s="5" t="s">
        <v>559</v>
      </c>
      <c r="E68" s="6" t="s">
        <v>649</v>
      </c>
      <c r="F68" s="7">
        <v>32948</v>
      </c>
      <c r="G68" s="10" t="s">
        <v>648</v>
      </c>
      <c r="H68" s="15" t="s">
        <v>651</v>
      </c>
      <c r="I68" s="4">
        <f>MIN(COUNTIFS('Data Family'!A:A,A68,'Data Family'!F:F,"Child")+COUNTIFS('Data Family'!A:A,A68,'Data Family'!F:F,"&lt;&gt;Child",'Data Family'!J:J,"Housewife")+COUNTIFS('Data Family'!A:A,A68,'Data Family'!F:F,"&lt;&gt;Child",'Data Family'!J:J,"Unemployment"),3)</f>
        <v>2</v>
      </c>
      <c r="J68" s="10" t="s">
        <v>791</v>
      </c>
      <c r="K68" s="7" t="s">
        <v>701</v>
      </c>
      <c r="L68" s="7">
        <v>43848</v>
      </c>
      <c r="M68" s="7"/>
      <c r="N68" s="7"/>
      <c r="O68" s="4" t="str">
        <f t="shared" ca="1" si="4"/>
        <v/>
      </c>
      <c r="P68" s="4" t="str">
        <f t="shared" ca="1" si="5"/>
        <v>Active</v>
      </c>
      <c r="Q68" s="4" t="str">
        <f t="shared" si="7"/>
        <v>PKWTT</v>
      </c>
      <c r="R68" s="7" t="s">
        <v>2983</v>
      </c>
      <c r="S68" s="4" t="s">
        <v>2692</v>
      </c>
      <c r="T68" s="4" t="s">
        <v>3015</v>
      </c>
      <c r="U68" s="4" t="s">
        <v>3018</v>
      </c>
      <c r="V68" s="4" t="s">
        <v>659</v>
      </c>
      <c r="W68" s="4" t="s">
        <v>3022</v>
      </c>
      <c r="X68" s="4" t="str">
        <f>_xlfn.XLOOKUP(V68,Reference!$O:$O,Reference!$N:$N,"Tidak Ketemu")</f>
        <v>G11</v>
      </c>
      <c r="Y68" s="4" t="str">
        <f t="shared" si="6"/>
        <v>K/2</v>
      </c>
      <c r="Z68" s="10" t="s">
        <v>2149</v>
      </c>
      <c r="AA68" s="10" t="s">
        <v>2150</v>
      </c>
      <c r="AB68" s="7" t="s">
        <v>2151</v>
      </c>
      <c r="AC68" s="7" t="s">
        <v>3816</v>
      </c>
      <c r="AD68" s="17" t="s">
        <v>2152</v>
      </c>
      <c r="AE68" s="6" t="s">
        <v>2148</v>
      </c>
      <c r="AF68" s="6" t="s">
        <v>922</v>
      </c>
      <c r="AG68" s="6" t="s">
        <v>704</v>
      </c>
      <c r="AN68" s="4"/>
    </row>
    <row r="69" spans="1:40" x14ac:dyDescent="0.35">
      <c r="A69" s="5">
        <v>201943561</v>
      </c>
      <c r="B69" s="5" t="s">
        <v>3034</v>
      </c>
      <c r="C69" s="5" t="s">
        <v>149</v>
      </c>
      <c r="D69" s="5" t="s">
        <v>460</v>
      </c>
      <c r="E69" s="6" t="s">
        <v>3420</v>
      </c>
      <c r="F69" s="7">
        <v>32255</v>
      </c>
      <c r="G69" s="10" t="s">
        <v>648</v>
      </c>
      <c r="H69" s="15" t="s">
        <v>651</v>
      </c>
      <c r="I69" s="4">
        <f>MIN(COUNTIFS('Data Family'!A:A,A69,'Data Family'!F:F,"Child")+COUNTIFS('Data Family'!A:A,A69,'Data Family'!F:F,"&lt;&gt;Child",'Data Family'!J:J,"Housewife")+COUNTIFS('Data Family'!A:A,A69,'Data Family'!F:F,"&lt;&gt;Child",'Data Family'!J:J,"Unemployment"),3)</f>
        <v>0</v>
      </c>
      <c r="J69" s="10" t="s">
        <v>791</v>
      </c>
      <c r="K69" s="7" t="s">
        <v>691</v>
      </c>
      <c r="L69" s="7">
        <v>43561</v>
      </c>
      <c r="M69" s="7"/>
      <c r="N69" s="7"/>
      <c r="O69" s="4" t="str">
        <f t="shared" ca="1" si="4"/>
        <v/>
      </c>
      <c r="P69" s="4" t="str">
        <f t="shared" ca="1" si="5"/>
        <v>Active</v>
      </c>
      <c r="Q69" s="4" t="str">
        <f t="shared" si="7"/>
        <v>PKWTT</v>
      </c>
      <c r="R69" s="7" t="s">
        <v>2982</v>
      </c>
      <c r="S69" s="4" t="s">
        <v>2686</v>
      </c>
      <c r="T69" s="4" t="s">
        <v>794</v>
      </c>
      <c r="U69" s="4" t="s">
        <v>2690</v>
      </c>
      <c r="V69" s="4" t="s">
        <v>2621</v>
      </c>
      <c r="W69" s="4" t="s">
        <v>2627</v>
      </c>
      <c r="X69" s="4" t="str">
        <f>_xlfn.XLOOKUP(V69,Reference!$O:$O,Reference!$N:$N,"Tidak Ketemu")</f>
        <v>G06</v>
      </c>
      <c r="Y69" s="4" t="str">
        <f t="shared" si="6"/>
        <v>K/0</v>
      </c>
      <c r="Z69" s="10" t="s">
        <v>1585</v>
      </c>
      <c r="AA69" s="10" t="s">
        <v>1586</v>
      </c>
      <c r="AB69" s="7" t="s">
        <v>1587</v>
      </c>
      <c r="AC69" s="7" t="s">
        <v>3816</v>
      </c>
      <c r="AD69" s="17" t="s">
        <v>1588</v>
      </c>
      <c r="AE69" s="6" t="s">
        <v>1583</v>
      </c>
      <c r="AF69" s="6" t="s">
        <v>1584</v>
      </c>
      <c r="AG69" s="6" t="s">
        <v>778</v>
      </c>
      <c r="AN69" s="4"/>
    </row>
    <row r="70" spans="1:40" x14ac:dyDescent="0.35">
      <c r="A70" s="5">
        <v>202043945</v>
      </c>
      <c r="B70" s="5" t="s">
        <v>3035</v>
      </c>
      <c r="C70" s="5" t="s">
        <v>204</v>
      </c>
      <c r="D70" s="5" t="s">
        <v>515</v>
      </c>
      <c r="E70" s="6" t="s">
        <v>689</v>
      </c>
      <c r="F70" s="7">
        <v>35041</v>
      </c>
      <c r="G70" s="10" t="s">
        <v>648</v>
      </c>
      <c r="H70" s="15" t="s">
        <v>666</v>
      </c>
      <c r="I70" s="4">
        <f>MIN(COUNTIFS('Data Family'!A:A,A70,'Data Family'!F:F,"Child")+COUNTIFS('Data Family'!A:A,A70,'Data Family'!F:F,"&lt;&gt;Child",'Data Family'!J:J,"Housewife")+COUNTIFS('Data Family'!A:A,A70,'Data Family'!F:F,"&lt;&gt;Child",'Data Family'!J:J,"Unemployment"),3)</f>
        <v>0</v>
      </c>
      <c r="J70" s="10" t="s">
        <v>791</v>
      </c>
      <c r="K70" s="7" t="s">
        <v>691</v>
      </c>
      <c r="L70" s="7">
        <v>45040</v>
      </c>
      <c r="M70" s="7">
        <v>46867</v>
      </c>
      <c r="N70" s="7"/>
      <c r="O70" s="4" t="str">
        <f t="shared" ca="1" si="4"/>
        <v/>
      </c>
      <c r="P70" s="4" t="str">
        <f t="shared" ca="1" si="5"/>
        <v>Active</v>
      </c>
      <c r="Q70" s="4" t="str">
        <f t="shared" si="7"/>
        <v>PKWT</v>
      </c>
      <c r="R70" s="7" t="s">
        <v>2982</v>
      </c>
      <c r="S70" s="4" t="s">
        <v>2686</v>
      </c>
      <c r="T70" s="4" t="s">
        <v>794</v>
      </c>
      <c r="U70" s="4" t="s">
        <v>2690</v>
      </c>
      <c r="V70" s="4" t="s">
        <v>2624</v>
      </c>
      <c r="W70" s="4" t="s">
        <v>2629</v>
      </c>
      <c r="X70" s="4" t="str">
        <f>_xlfn.XLOOKUP(V70,Reference!$O:$O,Reference!$N:$N,"Tidak Ketemu")</f>
        <v>G07</v>
      </c>
      <c r="Y70" s="4" t="str">
        <f t="shared" si="6"/>
        <v>TK/0</v>
      </c>
      <c r="Z70" s="10" t="s">
        <v>1905</v>
      </c>
      <c r="AA70" s="10" t="s">
        <v>1906</v>
      </c>
      <c r="AB70" s="7" t="s">
        <v>1907</v>
      </c>
      <c r="AC70" s="7" t="s">
        <v>3816</v>
      </c>
      <c r="AD70" s="17" t="s">
        <v>1908</v>
      </c>
      <c r="AE70" s="6" t="s">
        <v>1903</v>
      </c>
      <c r="AF70" s="6" t="s">
        <v>1904</v>
      </c>
      <c r="AG70" s="6" t="s">
        <v>778</v>
      </c>
      <c r="AN70" s="4"/>
    </row>
    <row r="71" spans="1:40" x14ac:dyDescent="0.35">
      <c r="A71" s="5">
        <v>202244877</v>
      </c>
      <c r="B71" s="5" t="s">
        <v>3036</v>
      </c>
      <c r="C71" s="5" t="s">
        <v>290</v>
      </c>
      <c r="D71" s="5" t="s">
        <v>601</v>
      </c>
      <c r="E71" s="6" t="s">
        <v>689</v>
      </c>
      <c r="F71" s="7">
        <v>35162</v>
      </c>
      <c r="G71" s="10" t="s">
        <v>648</v>
      </c>
      <c r="H71" s="15" t="s">
        <v>666</v>
      </c>
      <c r="I71" s="4">
        <f>MIN(COUNTIFS('Data Family'!A:A,A71,'Data Family'!F:F,"Child")+COUNTIFS('Data Family'!A:A,A71,'Data Family'!F:F,"&lt;&gt;Child",'Data Family'!J:J,"Housewife")+COUNTIFS('Data Family'!A:A,A71,'Data Family'!F:F,"&lt;&gt;Child",'Data Family'!J:J,"Unemployment"),3)</f>
        <v>0</v>
      </c>
      <c r="J71" s="10" t="s">
        <v>3002</v>
      </c>
      <c r="K71" s="7" t="s">
        <v>677</v>
      </c>
      <c r="L71" s="7">
        <v>44512</v>
      </c>
      <c r="M71" s="7">
        <v>46399</v>
      </c>
      <c r="N71" s="7"/>
      <c r="O71" s="4" t="str">
        <f t="shared" ca="1" si="4"/>
        <v/>
      </c>
      <c r="P71" s="4" t="str">
        <f t="shared" ca="1" si="5"/>
        <v>Active</v>
      </c>
      <c r="Q71" s="4" t="str">
        <f t="shared" si="7"/>
        <v>PKWT</v>
      </c>
      <c r="R71" s="7" t="s">
        <v>2982</v>
      </c>
      <c r="S71" s="4" t="s">
        <v>2686</v>
      </c>
      <c r="T71" s="4" t="s">
        <v>794</v>
      </c>
      <c r="U71" s="4" t="s">
        <v>2690</v>
      </c>
      <c r="V71" s="4" t="s">
        <v>2624</v>
      </c>
      <c r="W71" s="4" t="s">
        <v>3407</v>
      </c>
      <c r="X71" s="4" t="str">
        <f>_xlfn.XLOOKUP(V71,Reference!$O:$O,Reference!$N:$N,"Tidak Ketemu")</f>
        <v>G07</v>
      </c>
      <c r="Y71" s="4" t="str">
        <f t="shared" si="6"/>
        <v>TK/0</v>
      </c>
      <c r="Z71" s="10" t="s">
        <v>2374</v>
      </c>
      <c r="AA71" s="10" t="s">
        <v>2375</v>
      </c>
      <c r="AB71" s="7" t="s">
        <v>2376</v>
      </c>
      <c r="AC71" s="7" t="s">
        <v>3816</v>
      </c>
      <c r="AD71" s="17" t="s">
        <v>2377</v>
      </c>
      <c r="AE71" s="6" t="s">
        <v>2373</v>
      </c>
      <c r="AF71" s="6" t="s">
        <v>1759</v>
      </c>
      <c r="AG71" s="6" t="s">
        <v>778</v>
      </c>
      <c r="AN71" s="4"/>
    </row>
    <row r="72" spans="1:40" x14ac:dyDescent="0.35">
      <c r="A72" s="5">
        <v>201843321</v>
      </c>
      <c r="B72" s="5" t="s">
        <v>3037</v>
      </c>
      <c r="C72" s="5" t="s">
        <v>60</v>
      </c>
      <c r="D72" s="5" t="s">
        <v>371</v>
      </c>
      <c r="E72" s="6" t="s">
        <v>3418</v>
      </c>
      <c r="F72" s="7">
        <v>35500</v>
      </c>
      <c r="G72" s="10" t="s">
        <v>648</v>
      </c>
      <c r="H72" s="15" t="s">
        <v>666</v>
      </c>
      <c r="I72" s="4">
        <f>MIN(COUNTIFS('Data Family'!A:A,A72,'Data Family'!F:F,"Child")+COUNTIFS('Data Family'!A:A,A72,'Data Family'!F:F,"&lt;&gt;Child",'Data Family'!J:J,"Housewife")+COUNTIFS('Data Family'!A:A,A72,'Data Family'!F:F,"&lt;&gt;Child",'Data Family'!J:J,"Unemployment"),3)</f>
        <v>0</v>
      </c>
      <c r="J72" s="10" t="s">
        <v>791</v>
      </c>
      <c r="K72" s="7" t="s">
        <v>652</v>
      </c>
      <c r="L72" s="7">
        <v>45513</v>
      </c>
      <c r="M72" s="7">
        <v>47339</v>
      </c>
      <c r="N72" s="7"/>
      <c r="O72" s="4" t="str">
        <f t="shared" ca="1" si="4"/>
        <v/>
      </c>
      <c r="P72" s="4" t="str">
        <f t="shared" ca="1" si="5"/>
        <v>Active</v>
      </c>
      <c r="Q72" s="4" t="str">
        <f t="shared" si="7"/>
        <v>PKWT</v>
      </c>
      <c r="R72" s="7" t="s">
        <v>2982</v>
      </c>
      <c r="S72" s="4" t="s">
        <v>2693</v>
      </c>
      <c r="T72" s="4" t="s">
        <v>794</v>
      </c>
      <c r="U72" s="4" t="s">
        <v>2690</v>
      </c>
      <c r="V72" s="4" t="s">
        <v>2624</v>
      </c>
      <c r="W72" s="4" t="s">
        <v>2628</v>
      </c>
      <c r="X72" s="4" t="str">
        <f>_xlfn.XLOOKUP(V72,Reference!$O:$O,Reference!$N:$N,"Tidak Ketemu")</f>
        <v>G07</v>
      </c>
      <c r="Y72" s="4" t="str">
        <f t="shared" si="6"/>
        <v>TK/0</v>
      </c>
      <c r="Z72" s="10" t="s">
        <v>963</v>
      </c>
      <c r="AA72" s="10" t="s">
        <v>964</v>
      </c>
      <c r="AB72" s="7" t="s">
        <v>965</v>
      </c>
      <c r="AC72" s="7" t="s">
        <v>3816</v>
      </c>
      <c r="AD72" s="17" t="s">
        <v>966</v>
      </c>
      <c r="AE72" s="6" t="s">
        <v>962</v>
      </c>
      <c r="AF72" s="6" t="s">
        <v>915</v>
      </c>
      <c r="AG72" s="6" t="s">
        <v>704</v>
      </c>
      <c r="AN72" s="4"/>
    </row>
    <row r="73" spans="1:40" x14ac:dyDescent="0.35">
      <c r="A73" s="5">
        <v>202043868</v>
      </c>
      <c r="B73" s="5" t="s">
        <v>3038</v>
      </c>
      <c r="C73" s="5" t="s">
        <v>267</v>
      </c>
      <c r="D73" s="5" t="s">
        <v>578</v>
      </c>
      <c r="E73" s="6" t="s">
        <v>3419</v>
      </c>
      <c r="F73" s="7">
        <v>34282</v>
      </c>
      <c r="G73" s="10" t="s">
        <v>648</v>
      </c>
      <c r="H73" s="15" t="s">
        <v>651</v>
      </c>
      <c r="I73" s="4">
        <f>MIN(COUNTIFS('Data Family'!A:A,A73,'Data Family'!F:F,"Child")+COUNTIFS('Data Family'!A:A,A73,'Data Family'!F:F,"&lt;&gt;Child",'Data Family'!J:J,"Housewife")+COUNTIFS('Data Family'!A:A,A73,'Data Family'!F:F,"&lt;&gt;Child",'Data Family'!J:J,"Unemployment"),3)</f>
        <v>1</v>
      </c>
      <c r="J73" s="10" t="s">
        <v>791</v>
      </c>
      <c r="K73" s="7" t="s">
        <v>701</v>
      </c>
      <c r="L73" s="7">
        <v>43868</v>
      </c>
      <c r="M73" s="7"/>
      <c r="N73" s="7"/>
      <c r="O73" s="4" t="str">
        <f t="shared" ca="1" si="4"/>
        <v/>
      </c>
      <c r="P73" s="4" t="str">
        <f t="shared" ca="1" si="5"/>
        <v>Active</v>
      </c>
      <c r="Q73" s="4" t="str">
        <f t="shared" si="7"/>
        <v>PKWTT</v>
      </c>
      <c r="R73" s="7" t="s">
        <v>2982</v>
      </c>
      <c r="S73" s="4" t="s">
        <v>2683</v>
      </c>
      <c r="T73" s="4" t="s">
        <v>794</v>
      </c>
      <c r="U73" s="4" t="s">
        <v>2690</v>
      </c>
      <c r="V73" s="4" t="s">
        <v>3072</v>
      </c>
      <c r="W73" s="4" t="s">
        <v>1017</v>
      </c>
      <c r="X73" s="4" t="str">
        <f>_xlfn.XLOOKUP(V73,Reference!$O:$O,Reference!$N:$N,"Tidak Ketemu")</f>
        <v>G09</v>
      </c>
      <c r="Y73" s="4" t="str">
        <f t="shared" si="6"/>
        <v>K/1</v>
      </c>
      <c r="Z73" s="10" t="s">
        <v>2255</v>
      </c>
      <c r="AA73" s="10" t="s">
        <v>2256</v>
      </c>
      <c r="AB73" s="7" t="s">
        <v>2257</v>
      </c>
      <c r="AC73" s="7" t="s">
        <v>3816</v>
      </c>
      <c r="AD73" s="17" t="s">
        <v>2258</v>
      </c>
      <c r="AE73" s="6" t="s">
        <v>2254</v>
      </c>
      <c r="AF73" s="6" t="s">
        <v>1334</v>
      </c>
      <c r="AG73" s="6" t="s">
        <v>731</v>
      </c>
      <c r="AN73" s="4"/>
    </row>
    <row r="74" spans="1:40" x14ac:dyDescent="0.35">
      <c r="A74" s="5">
        <v>201843367</v>
      </c>
      <c r="B74" s="5" t="s">
        <v>3039</v>
      </c>
      <c r="C74" s="5" t="s">
        <v>44</v>
      </c>
      <c r="D74" s="5" t="s">
        <v>355</v>
      </c>
      <c r="E74" s="6" t="s">
        <v>3419</v>
      </c>
      <c r="F74" s="7">
        <v>36069</v>
      </c>
      <c r="G74" s="10" t="s">
        <v>648</v>
      </c>
      <c r="H74" s="15" t="s">
        <v>651</v>
      </c>
      <c r="I74" s="4">
        <f>MIN(COUNTIFS('Data Family'!A:A,A74,'Data Family'!F:F,"Child")+COUNTIFS('Data Family'!A:A,A74,'Data Family'!F:F,"&lt;&gt;Child",'Data Family'!J:J,"Housewife")+COUNTIFS('Data Family'!A:A,A74,'Data Family'!F:F,"&lt;&gt;Child",'Data Family'!J:J,"Unemployment"),3)</f>
        <v>0</v>
      </c>
      <c r="J74" s="10" t="s">
        <v>791</v>
      </c>
      <c r="K74" s="7" t="s">
        <v>691</v>
      </c>
      <c r="L74" s="7">
        <v>43367</v>
      </c>
      <c r="M74" s="7"/>
      <c r="N74" s="7"/>
      <c r="O74" s="4" t="str">
        <f t="shared" ca="1" si="4"/>
        <v/>
      </c>
      <c r="P74" s="4" t="str">
        <f t="shared" ca="1" si="5"/>
        <v>Active</v>
      </c>
      <c r="Q74" s="4" t="str">
        <f t="shared" si="7"/>
        <v>PKWTT</v>
      </c>
      <c r="R74" s="7" t="s">
        <v>2978</v>
      </c>
      <c r="S74" s="4" t="s">
        <v>2986</v>
      </c>
      <c r="T74" s="4" t="s">
        <v>794</v>
      </c>
      <c r="U74" s="4" t="s">
        <v>2690</v>
      </c>
      <c r="V74" s="4" t="s">
        <v>2640</v>
      </c>
      <c r="W74" s="4" t="s">
        <v>795</v>
      </c>
      <c r="X74" s="4" t="str">
        <f>_xlfn.XLOOKUP(V74,Reference!$O:$O,Reference!$N:$N,"Tidak Ketemu")</f>
        <v>G12</v>
      </c>
      <c r="Y74" s="4" t="str">
        <f t="shared" si="6"/>
        <v>K/0</v>
      </c>
      <c r="Z74" s="10" t="s">
        <v>837</v>
      </c>
      <c r="AA74" s="10" t="s">
        <v>838</v>
      </c>
      <c r="AB74" s="7" t="s">
        <v>839</v>
      </c>
      <c r="AC74" s="7" t="s">
        <v>3816</v>
      </c>
      <c r="AD74" s="17" t="s">
        <v>840</v>
      </c>
      <c r="AE74" s="6" t="s">
        <v>835</v>
      </c>
      <c r="AF74" s="6" t="s">
        <v>836</v>
      </c>
      <c r="AG74" s="6" t="s">
        <v>680</v>
      </c>
      <c r="AN74" s="4"/>
    </row>
    <row r="75" spans="1:40" x14ac:dyDescent="0.35">
      <c r="A75" s="5">
        <v>201943543</v>
      </c>
      <c r="B75" s="5" t="s">
        <v>3040</v>
      </c>
      <c r="C75" s="5" t="s">
        <v>126</v>
      </c>
      <c r="D75" s="5" t="s">
        <v>437</v>
      </c>
      <c r="E75" s="6" t="s">
        <v>3439</v>
      </c>
      <c r="F75" s="7">
        <v>35899</v>
      </c>
      <c r="G75" s="10" t="s">
        <v>648</v>
      </c>
      <c r="H75" s="15" t="s">
        <v>666</v>
      </c>
      <c r="I75" s="4">
        <f>MIN(COUNTIFS('Data Family'!A:A,A75,'Data Family'!F:F,"Child")+COUNTIFS('Data Family'!A:A,A75,'Data Family'!F:F,"&lt;&gt;Child",'Data Family'!J:J,"Housewife")+COUNTIFS('Data Family'!A:A,A75,'Data Family'!F:F,"&lt;&gt;Child",'Data Family'!J:J,"Unemployment"),3)</f>
        <v>0</v>
      </c>
      <c r="J75" s="10" t="s">
        <v>791</v>
      </c>
      <c r="K75" s="7" t="s">
        <v>652</v>
      </c>
      <c r="L75" s="7">
        <v>43543</v>
      </c>
      <c r="M75" s="7"/>
      <c r="N75" s="7"/>
      <c r="O75" s="4" t="str">
        <f t="shared" ca="1" si="4"/>
        <v/>
      </c>
      <c r="P75" s="4" t="str">
        <f t="shared" ca="1" si="5"/>
        <v>Active</v>
      </c>
      <c r="Q75" s="4" t="str">
        <f t="shared" si="7"/>
        <v>PKWTT</v>
      </c>
      <c r="R75" s="7" t="s">
        <v>2978</v>
      </c>
      <c r="S75" s="4" t="s">
        <v>2986</v>
      </c>
      <c r="T75" s="4" t="s">
        <v>794</v>
      </c>
      <c r="U75" s="4" t="s">
        <v>2690</v>
      </c>
      <c r="V75" s="4" t="s">
        <v>2640</v>
      </c>
      <c r="W75" s="4" t="s">
        <v>795</v>
      </c>
      <c r="X75" s="4" t="str">
        <f>_xlfn.XLOOKUP(V75,Reference!$O:$O,Reference!$N:$N,"Tidak Ketemu")</f>
        <v>G12</v>
      </c>
      <c r="Y75" s="4" t="str">
        <f t="shared" si="6"/>
        <v>TK/0</v>
      </c>
      <c r="Z75" s="10" t="s">
        <v>1430</v>
      </c>
      <c r="AA75" s="10" t="s">
        <v>1431</v>
      </c>
      <c r="AB75" s="7" t="s">
        <v>1432</v>
      </c>
      <c r="AC75" s="7" t="s">
        <v>3816</v>
      </c>
      <c r="AD75" s="17" t="s">
        <v>1433</v>
      </c>
      <c r="AE75" s="6" t="s">
        <v>1428</v>
      </c>
      <c r="AF75" s="6" t="s">
        <v>1429</v>
      </c>
      <c r="AG75" s="6" t="s">
        <v>731</v>
      </c>
      <c r="AN75" s="4"/>
    </row>
    <row r="76" spans="1:40" x14ac:dyDescent="0.35">
      <c r="A76" s="5">
        <v>201642732</v>
      </c>
      <c r="B76" s="5" t="s">
        <v>3041</v>
      </c>
      <c r="C76" s="5" t="s">
        <v>258</v>
      </c>
      <c r="D76" s="5" t="s">
        <v>569</v>
      </c>
      <c r="E76" s="6" t="s">
        <v>3443</v>
      </c>
      <c r="F76" s="7">
        <v>35397</v>
      </c>
      <c r="G76" s="10" t="s">
        <v>648</v>
      </c>
      <c r="H76" s="15" t="s">
        <v>2678</v>
      </c>
      <c r="I76" s="4">
        <f>MIN(COUNTIFS('Data Family'!A:A,A76,'Data Family'!F:F,"Child")+COUNTIFS('Data Family'!A:A,A76,'Data Family'!F:F,"&lt;&gt;Child",'Data Family'!J:J,"Housewife")+COUNTIFS('Data Family'!A:A,A76,'Data Family'!F:F,"&lt;&gt;Child",'Data Family'!J:J,"Unemployment"),3)</f>
        <v>2</v>
      </c>
      <c r="J76" s="10" t="s">
        <v>791</v>
      </c>
      <c r="K76" s="7" t="s">
        <v>652</v>
      </c>
      <c r="L76" s="7">
        <v>42732</v>
      </c>
      <c r="M76" s="7"/>
      <c r="N76" s="7"/>
      <c r="O76" s="4" t="str">
        <f t="shared" ca="1" si="4"/>
        <v/>
      </c>
      <c r="P76" s="4" t="str">
        <f t="shared" ca="1" si="5"/>
        <v>Active</v>
      </c>
      <c r="Q76" s="4" t="str">
        <f t="shared" si="7"/>
        <v>PKWTT</v>
      </c>
      <c r="R76" s="7" t="s">
        <v>2978</v>
      </c>
      <c r="S76" s="4" t="s">
        <v>2990</v>
      </c>
      <c r="T76" s="4" t="s">
        <v>794</v>
      </c>
      <c r="U76" s="4" t="s">
        <v>2690</v>
      </c>
      <c r="V76" s="4" t="s">
        <v>2640</v>
      </c>
      <c r="W76" s="4" t="s">
        <v>3048</v>
      </c>
      <c r="X76" s="4" t="str">
        <f>_xlfn.XLOOKUP(V76,Reference!$O:$O,Reference!$N:$N,"Tidak Ketemu")</f>
        <v>G12</v>
      </c>
      <c r="Y76" s="4" t="str">
        <f t="shared" si="6"/>
        <v>TK/2</v>
      </c>
      <c r="Z76" s="10" t="s">
        <v>2204</v>
      </c>
      <c r="AA76" s="10" t="s">
        <v>2205</v>
      </c>
      <c r="AB76" s="7" t="s">
        <v>2206</v>
      </c>
      <c r="AC76" s="7" t="s">
        <v>3816</v>
      </c>
      <c r="AD76" s="17" t="s">
        <v>2207</v>
      </c>
      <c r="AE76" s="6" t="s">
        <v>2202</v>
      </c>
      <c r="AF76" s="6" t="s">
        <v>2203</v>
      </c>
      <c r="AG76" s="6" t="s">
        <v>731</v>
      </c>
      <c r="AN76" s="4"/>
    </row>
    <row r="77" spans="1:40" x14ac:dyDescent="0.35">
      <c r="A77" s="5">
        <v>201743003</v>
      </c>
      <c r="B77" s="5" t="s">
        <v>944</v>
      </c>
      <c r="C77" s="5" t="s">
        <v>95</v>
      </c>
      <c r="D77" s="5" t="s">
        <v>406</v>
      </c>
      <c r="E77" s="6" t="s">
        <v>3439</v>
      </c>
      <c r="F77" s="7">
        <v>35523</v>
      </c>
      <c r="G77" s="10" t="s">
        <v>648</v>
      </c>
      <c r="H77" s="15" t="s">
        <v>666</v>
      </c>
      <c r="I77" s="4">
        <f>MIN(COUNTIFS('Data Family'!A:A,A77,'Data Family'!F:F,"Child")+COUNTIFS('Data Family'!A:A,A77,'Data Family'!F:F,"&lt;&gt;Child",'Data Family'!J:J,"Housewife")+COUNTIFS('Data Family'!A:A,A77,'Data Family'!F:F,"&lt;&gt;Child",'Data Family'!J:J,"Unemployment"),3)</f>
        <v>0</v>
      </c>
      <c r="J77" s="10" t="s">
        <v>791</v>
      </c>
      <c r="K77" s="7" t="s">
        <v>691</v>
      </c>
      <c r="L77" s="7">
        <v>43003</v>
      </c>
      <c r="M77" s="7"/>
      <c r="N77" s="7"/>
      <c r="O77" s="4" t="str">
        <f t="shared" ca="1" si="4"/>
        <v/>
      </c>
      <c r="P77" s="4" t="str">
        <f t="shared" ca="1" si="5"/>
        <v>Active</v>
      </c>
      <c r="Q77" s="4" t="str">
        <f t="shared" si="7"/>
        <v>PKWTT</v>
      </c>
      <c r="R77" s="7" t="s">
        <v>2981</v>
      </c>
      <c r="S77" s="4" t="s">
        <v>2692</v>
      </c>
      <c r="T77" s="4" t="s">
        <v>794</v>
      </c>
      <c r="U77" s="4" t="s">
        <v>2690</v>
      </c>
      <c r="V77" s="4" t="s">
        <v>2640</v>
      </c>
      <c r="W77" s="4" t="s">
        <v>3048</v>
      </c>
      <c r="X77" s="4" t="str">
        <f>_xlfn.XLOOKUP(V77,Reference!$O:$O,Reference!$N:$N,"Tidak Ketemu")</f>
        <v>G12</v>
      </c>
      <c r="Y77" s="4" t="str">
        <f t="shared" si="6"/>
        <v>TK/0</v>
      </c>
      <c r="Z77" s="10" t="s">
        <v>1227</v>
      </c>
      <c r="AA77" s="10" t="s">
        <v>1228</v>
      </c>
      <c r="AB77" s="7" t="s">
        <v>1229</v>
      </c>
      <c r="AC77" s="7" t="s">
        <v>3816</v>
      </c>
      <c r="AD77" s="17" t="s">
        <v>1230</v>
      </c>
      <c r="AE77" s="6" t="s">
        <v>1226</v>
      </c>
      <c r="AF77" s="6" t="s">
        <v>945</v>
      </c>
      <c r="AG77" s="6" t="s">
        <v>694</v>
      </c>
      <c r="AN77" s="4"/>
    </row>
    <row r="78" spans="1:40" x14ac:dyDescent="0.35">
      <c r="A78" s="5">
        <v>201843298</v>
      </c>
      <c r="B78" s="5" t="s">
        <v>3045</v>
      </c>
      <c r="C78" s="5" t="s">
        <v>99</v>
      </c>
      <c r="D78" s="5" t="s">
        <v>410</v>
      </c>
      <c r="E78" s="6" t="s">
        <v>3446</v>
      </c>
      <c r="F78" s="7">
        <v>35434</v>
      </c>
      <c r="G78" s="10" t="s">
        <v>648</v>
      </c>
      <c r="H78" s="15" t="s">
        <v>666</v>
      </c>
      <c r="I78" s="4">
        <f>MIN(COUNTIFS('Data Family'!A:A,A78,'Data Family'!F:F,"Child")+COUNTIFS('Data Family'!A:A,A78,'Data Family'!F:F,"&lt;&gt;Child",'Data Family'!J:J,"Housewife")+COUNTIFS('Data Family'!A:A,A78,'Data Family'!F:F,"&lt;&gt;Child",'Data Family'!J:J,"Unemployment"),3)</f>
        <v>0</v>
      </c>
      <c r="J78" s="10" t="s">
        <v>791</v>
      </c>
      <c r="K78" s="7" t="s">
        <v>701</v>
      </c>
      <c r="L78" s="7">
        <v>43298</v>
      </c>
      <c r="M78" s="7"/>
      <c r="N78" s="7"/>
      <c r="O78" s="4" t="str">
        <f t="shared" ca="1" si="4"/>
        <v/>
      </c>
      <c r="P78" s="4" t="str">
        <f t="shared" ca="1" si="5"/>
        <v>Active</v>
      </c>
      <c r="Q78" s="4" t="str">
        <f t="shared" si="7"/>
        <v>PKWTT</v>
      </c>
      <c r="R78" s="7" t="s">
        <v>2982</v>
      </c>
      <c r="S78" s="4" t="s">
        <v>2676</v>
      </c>
      <c r="T78" s="4" t="s">
        <v>794</v>
      </c>
      <c r="U78" s="4" t="s">
        <v>2690</v>
      </c>
      <c r="V78" s="4" t="s">
        <v>2640</v>
      </c>
      <c r="W78" s="4" t="s">
        <v>3048</v>
      </c>
      <c r="X78" s="4" t="str">
        <f>_xlfn.XLOOKUP(V78,Reference!$O:$O,Reference!$N:$N,"Tidak Ketemu")</f>
        <v>G12</v>
      </c>
      <c r="Y78" s="4" t="str">
        <f t="shared" si="6"/>
        <v>TK/0</v>
      </c>
      <c r="Z78" s="10" t="s">
        <v>1251</v>
      </c>
      <c r="AA78" s="10" t="s">
        <v>1252</v>
      </c>
      <c r="AB78" s="7" t="s">
        <v>1253</v>
      </c>
      <c r="AC78" s="7" t="s">
        <v>3816</v>
      </c>
      <c r="AD78" s="17" t="s">
        <v>1254</v>
      </c>
      <c r="AE78" s="6" t="s">
        <v>1250</v>
      </c>
      <c r="AF78" s="6" t="s">
        <v>969</v>
      </c>
      <c r="AG78" s="6" t="s">
        <v>656</v>
      </c>
      <c r="AN78" s="4"/>
    </row>
    <row r="79" spans="1:40" x14ac:dyDescent="0.35">
      <c r="A79" s="5">
        <v>202043978</v>
      </c>
      <c r="B79" s="5" t="s">
        <v>3042</v>
      </c>
      <c r="C79" s="5" t="s">
        <v>282</v>
      </c>
      <c r="D79" s="5" t="s">
        <v>593</v>
      </c>
      <c r="E79" s="6" t="s">
        <v>3446</v>
      </c>
      <c r="F79" s="7">
        <v>36126</v>
      </c>
      <c r="G79" s="10" t="s">
        <v>648</v>
      </c>
      <c r="H79" s="15" t="s">
        <v>651</v>
      </c>
      <c r="I79" s="4">
        <f>MIN(COUNTIFS('Data Family'!A:A,A79,'Data Family'!F:F,"Child")+COUNTIFS('Data Family'!A:A,A79,'Data Family'!F:F,"&lt;&gt;Child",'Data Family'!J:J,"Housewife")+COUNTIFS('Data Family'!A:A,A79,'Data Family'!F:F,"&lt;&gt;Child",'Data Family'!J:J,"Unemployment"),3)</f>
        <v>0</v>
      </c>
      <c r="J79" s="10" t="s">
        <v>791</v>
      </c>
      <c r="K79" s="7" t="s">
        <v>677</v>
      </c>
      <c r="L79" s="7">
        <v>43978</v>
      </c>
      <c r="M79" s="7"/>
      <c r="N79" s="7"/>
      <c r="O79" s="4" t="str">
        <f t="shared" ca="1" si="4"/>
        <v/>
      </c>
      <c r="P79" s="4" t="str">
        <f t="shared" ca="1" si="5"/>
        <v>Active</v>
      </c>
      <c r="Q79" s="4" t="str">
        <f t="shared" si="7"/>
        <v>PKWTT</v>
      </c>
      <c r="R79" s="7" t="s">
        <v>2982</v>
      </c>
      <c r="S79" s="4" t="s">
        <v>2682</v>
      </c>
      <c r="T79" s="4" t="s">
        <v>794</v>
      </c>
      <c r="U79" s="4" t="s">
        <v>2690</v>
      </c>
      <c r="V79" s="4" t="s">
        <v>3073</v>
      </c>
      <c r="W79" s="4" t="s">
        <v>803</v>
      </c>
      <c r="X79" s="4" t="str">
        <f>_xlfn.XLOOKUP(V79,Reference!$O:$O,Reference!$N:$N,"Tidak Ketemu")</f>
        <v>G10</v>
      </c>
      <c r="Y79" s="4" t="str">
        <f t="shared" si="6"/>
        <v>K/0</v>
      </c>
      <c r="Z79" s="10" t="s">
        <v>2332</v>
      </c>
      <c r="AA79" s="10" t="s">
        <v>2333</v>
      </c>
      <c r="AB79" s="7" t="s">
        <v>2334</v>
      </c>
      <c r="AC79" s="7" t="s">
        <v>3816</v>
      </c>
      <c r="AD79" s="17" t="s">
        <v>2335</v>
      </c>
      <c r="AE79" s="6" t="s">
        <v>2331</v>
      </c>
      <c r="AF79" s="6" t="s">
        <v>2231</v>
      </c>
      <c r="AG79" s="6" t="s">
        <v>778</v>
      </c>
      <c r="AN79" s="4"/>
    </row>
    <row r="80" spans="1:40" x14ac:dyDescent="0.35">
      <c r="A80" s="5">
        <v>201943552</v>
      </c>
      <c r="B80" s="5" t="s">
        <v>3043</v>
      </c>
      <c r="C80" s="5" t="s">
        <v>324</v>
      </c>
      <c r="D80" s="5" t="s">
        <v>635</v>
      </c>
      <c r="E80" s="6" t="s">
        <v>3446</v>
      </c>
      <c r="F80" s="7">
        <v>36078</v>
      </c>
      <c r="G80" s="10" t="s">
        <v>648</v>
      </c>
      <c r="H80" s="15" t="s">
        <v>666</v>
      </c>
      <c r="I80" s="4">
        <f>MIN(COUNTIFS('Data Family'!A:A,A80,'Data Family'!F:F,"Child")+COUNTIFS('Data Family'!A:A,A80,'Data Family'!F:F,"&lt;&gt;Child",'Data Family'!J:J,"Housewife")+COUNTIFS('Data Family'!A:A,A80,'Data Family'!F:F,"&lt;&gt;Child",'Data Family'!J:J,"Unemployment"),3)</f>
        <v>0</v>
      </c>
      <c r="J80" s="10" t="s">
        <v>791</v>
      </c>
      <c r="K80" s="7" t="s">
        <v>677</v>
      </c>
      <c r="L80" s="7">
        <v>43552</v>
      </c>
      <c r="M80" s="7"/>
      <c r="N80" s="7"/>
      <c r="O80" s="4" t="str">
        <f t="shared" ca="1" si="4"/>
        <v/>
      </c>
      <c r="P80" s="4" t="str">
        <f t="shared" ca="1" si="5"/>
        <v>Active</v>
      </c>
      <c r="Q80" s="4" t="str">
        <f t="shared" si="7"/>
        <v>PKWTT</v>
      </c>
      <c r="R80" s="7" t="s">
        <v>2982</v>
      </c>
      <c r="S80" s="4" t="s">
        <v>2643</v>
      </c>
      <c r="T80" s="4" t="s">
        <v>794</v>
      </c>
      <c r="U80" s="4" t="s">
        <v>2690</v>
      </c>
      <c r="V80" s="4" t="s">
        <v>3073</v>
      </c>
      <c r="W80" s="4" t="s">
        <v>803</v>
      </c>
      <c r="X80" s="4" t="str">
        <f>_xlfn.XLOOKUP(V80,Reference!$O:$O,Reference!$N:$N,"Tidak Ketemu")</f>
        <v>G10</v>
      </c>
      <c r="Y80" s="4" t="str">
        <f t="shared" si="6"/>
        <v>TK/0</v>
      </c>
      <c r="Z80" s="10" t="s">
        <v>2558</v>
      </c>
      <c r="AA80" s="10" t="s">
        <v>2559</v>
      </c>
      <c r="AB80" s="7" t="s">
        <v>2560</v>
      </c>
      <c r="AC80" s="7" t="s">
        <v>3816</v>
      </c>
      <c r="AD80" s="17" t="s">
        <v>2561</v>
      </c>
      <c r="AE80" s="6" t="s">
        <v>2557</v>
      </c>
      <c r="AF80" s="6" t="s">
        <v>2203</v>
      </c>
      <c r="AG80" s="6" t="s">
        <v>731</v>
      </c>
      <c r="AN80" s="4"/>
    </row>
    <row r="81" spans="1:40" x14ac:dyDescent="0.35">
      <c r="A81" s="5">
        <v>202545716</v>
      </c>
      <c r="B81" s="5" t="s">
        <v>3044</v>
      </c>
      <c r="C81" s="5" t="s">
        <v>38</v>
      </c>
      <c r="D81" s="5" t="s">
        <v>349</v>
      </c>
      <c r="E81" s="6" t="s">
        <v>3446</v>
      </c>
      <c r="F81" s="7">
        <v>36265</v>
      </c>
      <c r="G81" s="10" t="s">
        <v>676</v>
      </c>
      <c r="H81" s="15" t="s">
        <v>666</v>
      </c>
      <c r="I81" s="4">
        <f>MIN(COUNTIFS('Data Family'!A:A,A81,'Data Family'!F:F,"Child")+COUNTIFS('Data Family'!A:A,A81,'Data Family'!F:F,"&lt;&gt;Child",'Data Family'!J:J,"Housewife")+COUNTIFS('Data Family'!A:A,A81,'Data Family'!F:F,"&lt;&gt;Child",'Data Family'!J:J,"Unemployment"),3)</f>
        <v>0</v>
      </c>
      <c r="J81" s="10" t="s">
        <v>791</v>
      </c>
      <c r="K81" s="7" t="s">
        <v>701</v>
      </c>
      <c r="L81" s="7">
        <v>45716</v>
      </c>
      <c r="M81" s="7">
        <v>46811</v>
      </c>
      <c r="N81" s="7"/>
      <c r="O81" s="4" t="str">
        <f t="shared" ca="1" si="4"/>
        <v/>
      </c>
      <c r="P81" s="4" t="str">
        <f t="shared" ca="1" si="5"/>
        <v>Active</v>
      </c>
      <c r="Q81" s="4" t="str">
        <f t="shared" si="7"/>
        <v>PKWT</v>
      </c>
      <c r="R81" s="7" t="s">
        <v>2982</v>
      </c>
      <c r="S81" s="4" t="s">
        <v>2683</v>
      </c>
      <c r="T81" s="4" t="s">
        <v>794</v>
      </c>
      <c r="U81" s="4" t="s">
        <v>2690</v>
      </c>
      <c r="V81" s="4" t="s">
        <v>659</v>
      </c>
      <c r="W81" s="4" t="s">
        <v>3047</v>
      </c>
      <c r="X81" s="4" t="str">
        <f>_xlfn.XLOOKUP(V81,Reference!$O:$O,Reference!$N:$N,"Tidak Ketemu")</f>
        <v>G11</v>
      </c>
      <c r="Y81" s="4" t="str">
        <f t="shared" si="6"/>
        <v>TK/0</v>
      </c>
      <c r="Z81" s="10" t="s">
        <v>786</v>
      </c>
      <c r="AA81" s="10" t="s">
        <v>787</v>
      </c>
      <c r="AB81" s="7" t="s">
        <v>788</v>
      </c>
      <c r="AC81" s="7" t="s">
        <v>3816</v>
      </c>
      <c r="AD81" s="17" t="s">
        <v>789</v>
      </c>
      <c r="AE81" s="6" t="s">
        <v>784</v>
      </c>
      <c r="AF81" s="6" t="s">
        <v>785</v>
      </c>
      <c r="AG81" s="6" t="s">
        <v>704</v>
      </c>
      <c r="AN81" s="4"/>
    </row>
    <row r="82" spans="1:40" x14ac:dyDescent="0.35">
      <c r="A82" s="5">
        <v>202144402</v>
      </c>
      <c r="B82" s="5" t="s">
        <v>1030</v>
      </c>
      <c r="C82" s="5" t="s">
        <v>315</v>
      </c>
      <c r="D82" s="5" t="s">
        <v>626</v>
      </c>
      <c r="E82" s="6" t="s">
        <v>3443</v>
      </c>
      <c r="F82" s="7">
        <v>36070</v>
      </c>
      <c r="G82" s="10" t="s">
        <v>648</v>
      </c>
      <c r="H82" s="15" t="s">
        <v>666</v>
      </c>
      <c r="I82" s="4">
        <f>MIN(COUNTIFS('Data Family'!A:A,A82,'Data Family'!F:F,"Child")+COUNTIFS('Data Family'!A:A,A82,'Data Family'!F:F,"&lt;&gt;Child",'Data Family'!J:J,"Housewife")+COUNTIFS('Data Family'!A:A,A82,'Data Family'!F:F,"&lt;&gt;Child",'Data Family'!J:J,"Unemployment"),3)</f>
        <v>0</v>
      </c>
      <c r="J82" s="10" t="s">
        <v>791</v>
      </c>
      <c r="K82" s="7" t="s">
        <v>701</v>
      </c>
      <c r="L82" s="7">
        <v>44402</v>
      </c>
      <c r="M82" s="7">
        <v>46320</v>
      </c>
      <c r="N82" s="7"/>
      <c r="O82" s="4" t="str">
        <f t="shared" ca="1" si="4"/>
        <v/>
      </c>
      <c r="P82" s="4" t="str">
        <f t="shared" ca="1" si="5"/>
        <v>Active</v>
      </c>
      <c r="Q82" s="4" t="str">
        <f t="shared" si="7"/>
        <v>PKWT</v>
      </c>
      <c r="R82" s="7" t="s">
        <v>2982</v>
      </c>
      <c r="S82" s="4" t="s">
        <v>2685</v>
      </c>
      <c r="T82" s="4" t="s">
        <v>794</v>
      </c>
      <c r="U82" s="4" t="s">
        <v>2690</v>
      </c>
      <c r="V82" s="4" t="s">
        <v>3073</v>
      </c>
      <c r="W82" s="4" t="s">
        <v>3046</v>
      </c>
      <c r="X82" s="4" t="str">
        <f>_xlfn.XLOOKUP(V82,Reference!$O:$O,Reference!$N:$N,"Tidak Ketemu")</f>
        <v>G10</v>
      </c>
      <c r="Y82" s="4" t="str">
        <f t="shared" si="6"/>
        <v>TK/0</v>
      </c>
      <c r="Z82" s="10" t="s">
        <v>2509</v>
      </c>
      <c r="AA82" s="10" t="s">
        <v>2510</v>
      </c>
      <c r="AB82" s="7" t="s">
        <v>2511</v>
      </c>
      <c r="AC82" s="7" t="s">
        <v>3816</v>
      </c>
      <c r="AD82" s="17" t="s">
        <v>2512</v>
      </c>
      <c r="AE82" s="6" t="s">
        <v>2508</v>
      </c>
      <c r="AF82" s="6" t="s">
        <v>1032</v>
      </c>
      <c r="AG82" s="6" t="s">
        <v>680</v>
      </c>
      <c r="AN82" s="4"/>
    </row>
    <row r="83" spans="1:40" x14ac:dyDescent="0.35">
      <c r="A83" s="5">
        <v>201742740</v>
      </c>
      <c r="B83" s="5" t="s">
        <v>1473</v>
      </c>
      <c r="C83" s="5" t="s">
        <v>132</v>
      </c>
      <c r="D83" s="5" t="s">
        <v>443</v>
      </c>
      <c r="E83" s="6" t="s">
        <v>3429</v>
      </c>
      <c r="F83" s="7">
        <v>36108</v>
      </c>
      <c r="G83" s="10" t="s">
        <v>648</v>
      </c>
      <c r="H83" s="15" t="s">
        <v>666</v>
      </c>
      <c r="I83" s="4">
        <f>MIN(COUNTIFS('Data Family'!A:A,A83,'Data Family'!F:F,"Child")+COUNTIFS('Data Family'!A:A,A83,'Data Family'!F:F,"&lt;&gt;Child",'Data Family'!J:J,"Housewife")+COUNTIFS('Data Family'!A:A,A83,'Data Family'!F:F,"&lt;&gt;Child",'Data Family'!J:J,"Unemployment"),3)</f>
        <v>0</v>
      </c>
      <c r="J83" s="10" t="s">
        <v>791</v>
      </c>
      <c r="K83" s="7" t="s">
        <v>652</v>
      </c>
      <c r="L83" s="7">
        <v>42740</v>
      </c>
      <c r="M83" s="7"/>
      <c r="N83" s="7"/>
      <c r="O83" s="4" t="str">
        <f t="shared" ca="1" si="4"/>
        <v/>
      </c>
      <c r="P83" s="4" t="str">
        <f t="shared" ca="1" si="5"/>
        <v>Active</v>
      </c>
      <c r="Q83" s="4" t="str">
        <f t="shared" si="7"/>
        <v>PKWTT</v>
      </c>
      <c r="R83" s="7" t="s">
        <v>2982</v>
      </c>
      <c r="S83" s="4" t="s">
        <v>2686</v>
      </c>
      <c r="T83" s="4" t="s">
        <v>794</v>
      </c>
      <c r="U83" s="4" t="s">
        <v>2690</v>
      </c>
      <c r="V83" s="4" t="s">
        <v>3073</v>
      </c>
      <c r="W83" s="4" t="s">
        <v>3046</v>
      </c>
      <c r="X83" s="4" t="str">
        <f>_xlfn.XLOOKUP(V83,Reference!$O:$O,Reference!$N:$N,"Tidak Ketemu")</f>
        <v>G10</v>
      </c>
      <c r="Y83" s="4" t="str">
        <f t="shared" si="6"/>
        <v>TK/0</v>
      </c>
      <c r="Z83" s="10" t="s">
        <v>1476</v>
      </c>
      <c r="AA83" s="10" t="s">
        <v>1477</v>
      </c>
      <c r="AB83" s="7" t="s">
        <v>1478</v>
      </c>
      <c r="AC83" s="7" t="s">
        <v>3816</v>
      </c>
      <c r="AD83" s="17" t="s">
        <v>1479</v>
      </c>
      <c r="AE83" s="6" t="s">
        <v>1474</v>
      </c>
      <c r="AF83" s="6" t="s">
        <v>1475</v>
      </c>
      <c r="AG83" s="6" t="s">
        <v>731</v>
      </c>
      <c r="AN83" s="4"/>
    </row>
    <row r="84" spans="1:40" x14ac:dyDescent="0.35">
      <c r="A84" s="5">
        <v>201943527</v>
      </c>
      <c r="B84" s="5" t="s">
        <v>2636</v>
      </c>
      <c r="C84" s="5" t="s">
        <v>243</v>
      </c>
      <c r="D84" s="5" t="s">
        <v>554</v>
      </c>
      <c r="E84" s="6" t="s">
        <v>3420</v>
      </c>
      <c r="F84" s="7">
        <v>26709</v>
      </c>
      <c r="G84" s="10" t="s">
        <v>648</v>
      </c>
      <c r="H84" s="15" t="s">
        <v>651</v>
      </c>
      <c r="I84" s="4">
        <f>MIN(COUNTIFS('Data Family'!A:A,A84,'Data Family'!F:F,"Child")+COUNTIFS('Data Family'!A:A,A84,'Data Family'!F:F,"&lt;&gt;Child",'Data Family'!J:J,"Housewife")+COUNTIFS('Data Family'!A:A,A84,'Data Family'!F:F,"&lt;&gt;Child",'Data Family'!J:J,"Unemployment"),3)</f>
        <v>3</v>
      </c>
      <c r="J84" s="10" t="s">
        <v>791</v>
      </c>
      <c r="K84" s="7" t="s">
        <v>701</v>
      </c>
      <c r="L84" s="7">
        <v>36588</v>
      </c>
      <c r="M84" s="7"/>
      <c r="N84" s="7"/>
      <c r="O84" s="4" t="str">
        <f t="shared" ca="1" si="4"/>
        <v/>
      </c>
      <c r="P84" s="4" t="str">
        <f t="shared" ca="1" si="5"/>
        <v>Active</v>
      </c>
      <c r="Q84" s="4" t="str">
        <f t="shared" si="7"/>
        <v>PKWTT</v>
      </c>
      <c r="R84" s="7" t="s">
        <v>2984</v>
      </c>
      <c r="S84" s="4" t="s">
        <v>2643</v>
      </c>
      <c r="T84" s="4" t="s">
        <v>3015</v>
      </c>
      <c r="U84" s="4" t="s">
        <v>3016</v>
      </c>
      <c r="V84" s="4" t="s">
        <v>3838</v>
      </c>
      <c r="W84" s="4" t="s">
        <v>3838</v>
      </c>
      <c r="X84" s="4" t="str">
        <f>_xlfn.XLOOKUP(V84,Reference!$O:$O,Reference!$N:$N,"Tidak Ketemu")</f>
        <v>G03</v>
      </c>
      <c r="Y84" s="4" t="str">
        <f t="shared" si="6"/>
        <v>K/3</v>
      </c>
      <c r="Z84" s="10" t="s">
        <v>2122</v>
      </c>
      <c r="AA84" s="10" t="s">
        <v>2123</v>
      </c>
      <c r="AB84" s="7" t="s">
        <v>2124</v>
      </c>
      <c r="AC84" s="7" t="s">
        <v>3816</v>
      </c>
      <c r="AD84" s="17" t="s">
        <v>2125</v>
      </c>
      <c r="AE84" s="6" t="s">
        <v>2121</v>
      </c>
      <c r="AF84" s="6" t="s">
        <v>3013</v>
      </c>
      <c r="AG84" s="6" t="s">
        <v>704</v>
      </c>
      <c r="AN84" s="4"/>
    </row>
    <row r="85" spans="1:40" x14ac:dyDescent="0.35">
      <c r="A85" s="5">
        <v>202144393</v>
      </c>
      <c r="B85" s="5" t="s">
        <v>647</v>
      </c>
      <c r="C85" s="5" t="s">
        <v>25</v>
      </c>
      <c r="D85" s="5" t="s">
        <v>336</v>
      </c>
      <c r="E85" s="6" t="s">
        <v>3446</v>
      </c>
      <c r="F85" s="7">
        <v>32648</v>
      </c>
      <c r="G85" s="10" t="s">
        <v>648</v>
      </c>
      <c r="H85" s="15" t="s">
        <v>651</v>
      </c>
      <c r="I85" s="4">
        <f>MIN(COUNTIFS('Data Family'!A:A,A85,'Data Family'!F:F,"Child")+COUNTIFS('Data Family'!A:A,A85,'Data Family'!F:F,"&lt;&gt;Child",'Data Family'!J:J,"Housewife")+COUNTIFS('Data Family'!A:A,A85,'Data Family'!F:F,"&lt;&gt;Child",'Data Family'!J:J,"Unemployment"),3)</f>
        <v>2</v>
      </c>
      <c r="J85" s="10" t="s">
        <v>791</v>
      </c>
      <c r="K85" s="7" t="s">
        <v>691</v>
      </c>
      <c r="L85" s="7">
        <v>44758</v>
      </c>
      <c r="M85" s="7"/>
      <c r="N85" s="7"/>
      <c r="O85" s="4" t="str">
        <f t="shared" ca="1" si="4"/>
        <v/>
      </c>
      <c r="P85" s="4" t="str">
        <f t="shared" ca="1" si="5"/>
        <v>Active</v>
      </c>
      <c r="Q85" s="4" t="str">
        <f t="shared" si="7"/>
        <v>PKWTT</v>
      </c>
      <c r="R85" s="7" t="s">
        <v>2980</v>
      </c>
      <c r="S85" s="4" t="s">
        <v>2989</v>
      </c>
      <c r="T85" s="4" t="s">
        <v>657</v>
      </c>
      <c r="U85" s="4" t="s">
        <v>2996</v>
      </c>
      <c r="V85" s="4" t="s">
        <v>706</v>
      </c>
      <c r="W85" s="4" t="s">
        <v>3896</v>
      </c>
      <c r="X85" s="4" t="str">
        <f>_xlfn.XLOOKUP(V85,Reference!$O:$O,Reference!$N:$N,"Tidak Ketemu")</f>
        <v>G08</v>
      </c>
      <c r="Y85" s="4" t="str">
        <f t="shared" si="6"/>
        <v>K/2</v>
      </c>
      <c r="Z85" s="10">
        <v>465366701555651</v>
      </c>
      <c r="AA85" s="10" t="s">
        <v>660</v>
      </c>
      <c r="AB85" s="7" t="s">
        <v>661</v>
      </c>
      <c r="AC85" s="7" t="s">
        <v>3816</v>
      </c>
      <c r="AD85" s="17" t="s">
        <v>662</v>
      </c>
      <c r="AE85" s="6" t="s">
        <v>654</v>
      </c>
      <c r="AF85" s="6" t="s">
        <v>655</v>
      </c>
      <c r="AG85" s="6" t="s">
        <v>656</v>
      </c>
      <c r="AN85" s="4"/>
    </row>
    <row r="86" spans="1:40" x14ac:dyDescent="0.35">
      <c r="A86" s="5">
        <v>202445543</v>
      </c>
      <c r="B86" s="5" t="s">
        <v>1548</v>
      </c>
      <c r="C86" s="5" t="s">
        <v>143</v>
      </c>
      <c r="D86" s="5" t="s">
        <v>454</v>
      </c>
      <c r="E86" s="6" t="s">
        <v>689</v>
      </c>
      <c r="F86" s="7">
        <v>28770</v>
      </c>
      <c r="G86" s="10" t="s">
        <v>648</v>
      </c>
      <c r="H86" s="15" t="s">
        <v>2678</v>
      </c>
      <c r="I86" s="4">
        <f>MIN(COUNTIFS('Data Family'!A:A,A86,'Data Family'!F:F,"Child")+COUNTIFS('Data Family'!A:A,A86,'Data Family'!F:F,"&lt;&gt;Child",'Data Family'!J:J,"Housewife")+COUNTIFS('Data Family'!A:A,A86,'Data Family'!F:F,"&lt;&gt;Child",'Data Family'!J:J,"Unemployment"),3)</f>
        <v>1</v>
      </c>
      <c r="J86" s="10" t="s">
        <v>3002</v>
      </c>
      <c r="K86" s="7" t="s">
        <v>701</v>
      </c>
      <c r="L86" s="7">
        <v>43716</v>
      </c>
      <c r="M86" s="7"/>
      <c r="N86" s="7"/>
      <c r="O86" s="4" t="str">
        <f t="shared" ca="1" si="4"/>
        <v/>
      </c>
      <c r="P86" s="4" t="str">
        <f t="shared" ca="1" si="5"/>
        <v>Active</v>
      </c>
      <c r="Q86" s="4" t="str">
        <f t="shared" si="7"/>
        <v>PKWTT</v>
      </c>
      <c r="R86" s="7" t="s">
        <v>2983</v>
      </c>
      <c r="S86" s="4" t="s">
        <v>2686</v>
      </c>
      <c r="T86" s="4" t="s">
        <v>657</v>
      </c>
      <c r="U86" s="4" t="s">
        <v>2996</v>
      </c>
      <c r="V86" s="4" t="s">
        <v>2621</v>
      </c>
      <c r="W86" s="4" t="s">
        <v>3053</v>
      </c>
      <c r="X86" s="4" t="str">
        <f>_xlfn.XLOOKUP(V86,Reference!$O:$O,Reference!$N:$N,"Tidak Ketemu")</f>
        <v>G06</v>
      </c>
      <c r="Y86" s="4" t="str">
        <f t="shared" si="6"/>
        <v>TK/1</v>
      </c>
      <c r="Z86" s="10" t="s">
        <v>1551</v>
      </c>
      <c r="AA86" s="10" t="s">
        <v>1552</v>
      </c>
      <c r="AB86" s="7" t="s">
        <v>1553</v>
      </c>
      <c r="AC86" s="7" t="s">
        <v>3816</v>
      </c>
      <c r="AD86" s="17" t="s">
        <v>1554</v>
      </c>
      <c r="AE86" s="6" t="s">
        <v>1549</v>
      </c>
      <c r="AF86" s="6" t="s">
        <v>1550</v>
      </c>
      <c r="AG86" s="6" t="s">
        <v>778</v>
      </c>
      <c r="AN86" s="4"/>
    </row>
    <row r="87" spans="1:40" x14ac:dyDescent="0.35">
      <c r="A87" s="5">
        <v>202043929</v>
      </c>
      <c r="B87" s="5" t="s">
        <v>728</v>
      </c>
      <c r="C87" s="5" t="s">
        <v>219</v>
      </c>
      <c r="D87" s="5" t="s">
        <v>530</v>
      </c>
      <c r="E87" s="6" t="s">
        <v>689</v>
      </c>
      <c r="F87" s="7">
        <v>35211</v>
      </c>
      <c r="G87" s="10" t="s">
        <v>676</v>
      </c>
      <c r="H87" s="15" t="s">
        <v>651</v>
      </c>
      <c r="I87" s="4">
        <f>MIN(COUNTIFS('Data Family'!A:A,A87,'Data Family'!F:F,"Child")+COUNTIFS('Data Family'!A:A,A87,'Data Family'!F:F,"&lt;&gt;Child",'Data Family'!J:J,"Housewife")+COUNTIFS('Data Family'!A:A,A87,'Data Family'!F:F,"&lt;&gt;Child",'Data Family'!J:J,"Unemployment"),3)</f>
        <v>0</v>
      </c>
      <c r="J87" s="10" t="s">
        <v>791</v>
      </c>
      <c r="K87" s="7" t="s">
        <v>701</v>
      </c>
      <c r="L87" s="7">
        <v>43929</v>
      </c>
      <c r="M87" s="7"/>
      <c r="N87" s="7"/>
      <c r="O87" s="4" t="str">
        <f t="shared" ca="1" si="4"/>
        <v/>
      </c>
      <c r="P87" s="4" t="str">
        <f t="shared" ca="1" si="5"/>
        <v>Active</v>
      </c>
      <c r="Q87" s="4" t="str">
        <f t="shared" si="7"/>
        <v>PKWTT</v>
      </c>
      <c r="R87" s="7" t="s">
        <v>2978</v>
      </c>
      <c r="S87" s="4" t="s">
        <v>2990</v>
      </c>
      <c r="T87" s="4" t="s">
        <v>657</v>
      </c>
      <c r="U87" s="4" t="s">
        <v>2996</v>
      </c>
      <c r="V87" s="4" t="s">
        <v>706</v>
      </c>
      <c r="W87" s="4" t="s">
        <v>3896</v>
      </c>
      <c r="X87" s="4" t="str">
        <f>_xlfn.XLOOKUP(V87,Reference!$O:$O,Reference!$N:$N,"Tidak Ketemu")</f>
        <v>G08</v>
      </c>
      <c r="Y87" s="4" t="str">
        <f t="shared" si="6"/>
        <v>TK/0</v>
      </c>
      <c r="Z87" s="10" t="s">
        <v>1990</v>
      </c>
      <c r="AA87" s="10" t="s">
        <v>1991</v>
      </c>
      <c r="AB87" s="7" t="s">
        <v>1992</v>
      </c>
      <c r="AC87" s="7" t="s">
        <v>3816</v>
      </c>
      <c r="AD87" s="17" t="s">
        <v>1993</v>
      </c>
      <c r="AE87" s="6" t="s">
        <v>1989</v>
      </c>
      <c r="AF87" s="6" t="s">
        <v>730</v>
      </c>
      <c r="AG87" s="6" t="s">
        <v>656</v>
      </c>
      <c r="AN87" s="4"/>
    </row>
    <row r="88" spans="1:40" x14ac:dyDescent="0.35">
      <c r="A88" s="5">
        <v>201642575</v>
      </c>
      <c r="B88" s="5" t="s">
        <v>1149</v>
      </c>
      <c r="C88" s="5" t="s">
        <v>326</v>
      </c>
      <c r="D88" s="5" t="s">
        <v>637</v>
      </c>
      <c r="E88" s="6" t="s">
        <v>689</v>
      </c>
      <c r="F88" s="7">
        <v>34984</v>
      </c>
      <c r="G88" s="10" t="s">
        <v>676</v>
      </c>
      <c r="H88" s="15" t="s">
        <v>651</v>
      </c>
      <c r="I88" s="4">
        <f>MIN(COUNTIFS('Data Family'!A:A,A88,'Data Family'!F:F,"Child")+COUNTIFS('Data Family'!A:A,A88,'Data Family'!F:F,"&lt;&gt;Child",'Data Family'!J:J,"Housewife")+COUNTIFS('Data Family'!A:A,A88,'Data Family'!F:F,"&lt;&gt;Child",'Data Family'!J:J,"Unemployment"),3)</f>
        <v>1</v>
      </c>
      <c r="J88" s="10" t="s">
        <v>791</v>
      </c>
      <c r="K88" s="7" t="s">
        <v>652</v>
      </c>
      <c r="L88" s="7">
        <v>42575</v>
      </c>
      <c r="M88" s="7"/>
      <c r="N88" s="7"/>
      <c r="O88" s="4" t="str">
        <f t="shared" ca="1" si="4"/>
        <v/>
      </c>
      <c r="P88" s="4" t="str">
        <f t="shared" ca="1" si="5"/>
        <v>Active</v>
      </c>
      <c r="Q88" s="4" t="str">
        <f t="shared" si="7"/>
        <v>PKWTT</v>
      </c>
      <c r="R88" s="7" t="s">
        <v>2981</v>
      </c>
      <c r="S88" s="4" t="s">
        <v>2692</v>
      </c>
      <c r="T88" s="4" t="s">
        <v>657</v>
      </c>
      <c r="U88" s="4" t="s">
        <v>2996</v>
      </c>
      <c r="V88" s="4" t="s">
        <v>706</v>
      </c>
      <c r="W88" s="4" t="s">
        <v>3896</v>
      </c>
      <c r="X88" s="4" t="str">
        <f>_xlfn.XLOOKUP(V88,Reference!$O:$O,Reference!$N:$N,"Tidak Ketemu")</f>
        <v>G08</v>
      </c>
      <c r="Y88" s="4" t="str">
        <f t="shared" si="6"/>
        <v>TK/0</v>
      </c>
      <c r="Z88" s="10" t="s">
        <v>2568</v>
      </c>
      <c r="AA88" s="10" t="s">
        <v>2569</v>
      </c>
      <c r="AB88" s="7" t="s">
        <v>2570</v>
      </c>
      <c r="AC88" s="7" t="s">
        <v>3816</v>
      </c>
      <c r="AD88" s="17" t="s">
        <v>2571</v>
      </c>
      <c r="AE88" s="6" t="s">
        <v>2567</v>
      </c>
      <c r="AF88" s="6" t="s">
        <v>1151</v>
      </c>
      <c r="AG88" s="6" t="s">
        <v>731</v>
      </c>
      <c r="AN88" s="4"/>
    </row>
    <row r="89" spans="1:40" x14ac:dyDescent="0.35">
      <c r="A89" s="5">
        <v>201742831</v>
      </c>
      <c r="B89" s="5" t="s">
        <v>700</v>
      </c>
      <c r="C89" s="5" t="s">
        <v>29</v>
      </c>
      <c r="D89" s="5" t="s">
        <v>340</v>
      </c>
      <c r="E89" s="6" t="s">
        <v>3447</v>
      </c>
      <c r="F89" s="7">
        <v>33980</v>
      </c>
      <c r="G89" s="10" t="s">
        <v>648</v>
      </c>
      <c r="H89" s="15" t="s">
        <v>651</v>
      </c>
      <c r="I89" s="4">
        <f>MIN(COUNTIFS('Data Family'!A:A,A89,'Data Family'!F:F,"Child")+COUNTIFS('Data Family'!A:A,A89,'Data Family'!F:F,"&lt;&gt;Child",'Data Family'!J:J,"Housewife")+COUNTIFS('Data Family'!A:A,A89,'Data Family'!F:F,"&lt;&gt;Child",'Data Family'!J:J,"Unemployment"),3)</f>
        <v>3</v>
      </c>
      <c r="J89" s="10" t="s">
        <v>791</v>
      </c>
      <c r="K89" s="7" t="s">
        <v>691</v>
      </c>
      <c r="L89" s="7">
        <v>42831</v>
      </c>
      <c r="M89" s="7"/>
      <c r="N89" s="7"/>
      <c r="O89" s="4" t="str">
        <f t="shared" ca="1" si="4"/>
        <v/>
      </c>
      <c r="P89" s="4" t="str">
        <f t="shared" ca="1" si="5"/>
        <v>Active</v>
      </c>
      <c r="Q89" s="4" t="str">
        <f t="shared" si="7"/>
        <v>PKWTT</v>
      </c>
      <c r="R89" s="7" t="s">
        <v>2982</v>
      </c>
      <c r="S89" s="4" t="s">
        <v>2682</v>
      </c>
      <c r="T89" s="4" t="s">
        <v>657</v>
      </c>
      <c r="U89" s="4" t="s">
        <v>2996</v>
      </c>
      <c r="V89" s="4" t="s">
        <v>706</v>
      </c>
      <c r="W89" s="4" t="s">
        <v>3896</v>
      </c>
      <c r="X89" s="4" t="str">
        <f>_xlfn.XLOOKUP(V89,Reference!$O:$O,Reference!$N:$N,"Tidak Ketemu")</f>
        <v>G08</v>
      </c>
      <c r="Y89" s="4" t="str">
        <f t="shared" si="6"/>
        <v>K/3</v>
      </c>
      <c r="Z89" s="10" t="s">
        <v>707</v>
      </c>
      <c r="AA89" s="10" t="s">
        <v>708</v>
      </c>
      <c r="AB89" s="7" t="s">
        <v>709</v>
      </c>
      <c r="AC89" s="7" t="s">
        <v>3816</v>
      </c>
      <c r="AD89" s="17" t="s">
        <v>710</v>
      </c>
      <c r="AE89" s="6" t="s">
        <v>702</v>
      </c>
      <c r="AF89" s="6" t="s">
        <v>703</v>
      </c>
      <c r="AG89" s="6" t="s">
        <v>704</v>
      </c>
      <c r="AN89" s="4"/>
    </row>
    <row r="90" spans="1:40" x14ac:dyDescent="0.35">
      <c r="A90" s="5">
        <v>201943575</v>
      </c>
      <c r="B90" s="5" t="s">
        <v>765</v>
      </c>
      <c r="C90" s="5" t="s">
        <v>68</v>
      </c>
      <c r="D90" s="5" t="s">
        <v>379</v>
      </c>
      <c r="E90" s="6" t="s">
        <v>3420</v>
      </c>
      <c r="F90" s="7">
        <v>33867</v>
      </c>
      <c r="G90" s="10" t="s">
        <v>648</v>
      </c>
      <c r="H90" s="15" t="s">
        <v>651</v>
      </c>
      <c r="I90" s="4">
        <f>MIN(COUNTIFS('Data Family'!A:A,A90,'Data Family'!F:F,"Child")+COUNTIFS('Data Family'!A:A,A90,'Data Family'!F:F,"&lt;&gt;Child",'Data Family'!J:J,"Housewife")+COUNTIFS('Data Family'!A:A,A90,'Data Family'!F:F,"&lt;&gt;Child",'Data Family'!J:J,"Unemployment"),3)</f>
        <v>2</v>
      </c>
      <c r="J90" s="10" t="s">
        <v>791</v>
      </c>
      <c r="K90" s="7" t="s">
        <v>691</v>
      </c>
      <c r="L90" s="7">
        <v>43575</v>
      </c>
      <c r="M90" s="7"/>
      <c r="N90" s="7"/>
      <c r="O90" s="4" t="str">
        <f t="shared" ca="1" si="4"/>
        <v/>
      </c>
      <c r="P90" s="4" t="str">
        <f t="shared" ca="1" si="5"/>
        <v>Active</v>
      </c>
      <c r="Q90" s="4" t="str">
        <f t="shared" si="7"/>
        <v>PKWTT</v>
      </c>
      <c r="R90" s="7" t="s">
        <v>2982</v>
      </c>
      <c r="S90" s="4" t="s">
        <v>2679</v>
      </c>
      <c r="T90" s="4" t="s">
        <v>657</v>
      </c>
      <c r="U90" s="4" t="s">
        <v>2996</v>
      </c>
      <c r="V90" s="4" t="s">
        <v>706</v>
      </c>
      <c r="W90" s="4" t="s">
        <v>3896</v>
      </c>
      <c r="X90" s="4" t="str">
        <f>_xlfn.XLOOKUP(V90,Reference!$O:$O,Reference!$N:$N,"Tidak Ketemu")</f>
        <v>G08</v>
      </c>
      <c r="Y90" s="4" t="str">
        <f t="shared" si="6"/>
        <v>K/2</v>
      </c>
      <c r="Z90" s="10" t="s">
        <v>1026</v>
      </c>
      <c r="AA90" s="10" t="s">
        <v>1027</v>
      </c>
      <c r="AB90" s="7" t="s">
        <v>1028</v>
      </c>
      <c r="AC90" s="7" t="s">
        <v>3816</v>
      </c>
      <c r="AD90" s="17" t="s">
        <v>1029</v>
      </c>
      <c r="AE90" s="6" t="s">
        <v>1025</v>
      </c>
      <c r="AF90" s="6" t="s">
        <v>766</v>
      </c>
      <c r="AG90" s="6" t="s">
        <v>680</v>
      </c>
      <c r="AN90" s="4"/>
    </row>
    <row r="91" spans="1:40" x14ac:dyDescent="0.35">
      <c r="A91" s="5">
        <v>202646180</v>
      </c>
      <c r="B91" s="5" t="s">
        <v>1469</v>
      </c>
      <c r="C91" s="5" t="s">
        <v>193</v>
      </c>
      <c r="D91" s="5" t="s">
        <v>504</v>
      </c>
      <c r="E91" s="6" t="s">
        <v>3425</v>
      </c>
      <c r="F91" s="7">
        <v>30841</v>
      </c>
      <c r="G91" s="10" t="s">
        <v>648</v>
      </c>
      <c r="H91" s="15" t="s">
        <v>2678</v>
      </c>
      <c r="I91" s="4">
        <f>MIN(COUNTIFS('Data Family'!A:A,A91,'Data Family'!F:F,"Child")+COUNTIFS('Data Family'!A:A,A91,'Data Family'!F:F,"&lt;&gt;Child",'Data Family'!J:J,"Housewife")+COUNTIFS('Data Family'!A:A,A91,'Data Family'!F:F,"&lt;&gt;Child",'Data Family'!J:J,"Unemployment"),3)</f>
        <v>2</v>
      </c>
      <c r="J91" s="10" t="s">
        <v>791</v>
      </c>
      <c r="K91" s="7" t="s">
        <v>691</v>
      </c>
      <c r="L91" s="7">
        <v>42528</v>
      </c>
      <c r="M91" s="7"/>
      <c r="N91" s="7"/>
      <c r="O91" s="4" t="str">
        <f t="shared" ca="1" si="4"/>
        <v/>
      </c>
      <c r="P91" s="4" t="str">
        <f t="shared" ca="1" si="5"/>
        <v>Active</v>
      </c>
      <c r="Q91" s="4" t="str">
        <f t="shared" si="7"/>
        <v>PKWTT</v>
      </c>
      <c r="R91" s="7" t="s">
        <v>2980</v>
      </c>
      <c r="S91" s="4" t="s">
        <v>2989</v>
      </c>
      <c r="T91" s="4" t="s">
        <v>657</v>
      </c>
      <c r="U91" s="4" t="s">
        <v>2996</v>
      </c>
      <c r="V91" s="4" t="s">
        <v>706</v>
      </c>
      <c r="W91" s="4" t="s">
        <v>3060</v>
      </c>
      <c r="X91" s="4" t="str">
        <f>_xlfn.XLOOKUP(V91,Reference!$O:$O,Reference!$N:$N,"Tidak Ketemu")</f>
        <v>G08</v>
      </c>
      <c r="Y91" s="4" t="str">
        <f t="shared" si="6"/>
        <v>TK/2</v>
      </c>
      <c r="Z91" s="10" t="s">
        <v>1840</v>
      </c>
      <c r="AA91" s="10" t="s">
        <v>1841</v>
      </c>
      <c r="AB91" s="7" t="s">
        <v>1842</v>
      </c>
      <c r="AC91" s="7" t="s">
        <v>3816</v>
      </c>
      <c r="AD91" s="17" t="s">
        <v>1843</v>
      </c>
      <c r="AE91" s="6" t="s">
        <v>1839</v>
      </c>
      <c r="AF91" s="6" t="s">
        <v>1470</v>
      </c>
      <c r="AG91" s="6" t="s">
        <v>680</v>
      </c>
      <c r="AN91" s="4"/>
    </row>
    <row r="92" spans="1:40" x14ac:dyDescent="0.35">
      <c r="A92" s="5">
        <v>202344981</v>
      </c>
      <c r="B92" s="5" t="s">
        <v>1452</v>
      </c>
      <c r="C92" s="5" t="s">
        <v>181</v>
      </c>
      <c r="D92" s="5" t="s">
        <v>492</v>
      </c>
      <c r="E92" s="6" t="s">
        <v>689</v>
      </c>
      <c r="F92" s="7">
        <v>31452</v>
      </c>
      <c r="G92" s="10" t="s">
        <v>648</v>
      </c>
      <c r="H92" s="15" t="s">
        <v>666</v>
      </c>
      <c r="I92" s="4">
        <f>MIN(COUNTIFS('Data Family'!A:A,A92,'Data Family'!F:F,"Child")+COUNTIFS('Data Family'!A:A,A92,'Data Family'!F:F,"&lt;&gt;Child",'Data Family'!J:J,"Housewife")+COUNTIFS('Data Family'!A:A,A92,'Data Family'!F:F,"&lt;&gt;Child",'Data Family'!J:J,"Unemployment"),3)</f>
        <v>0</v>
      </c>
      <c r="J92" s="10" t="s">
        <v>791</v>
      </c>
      <c r="K92" s="7" t="s">
        <v>677</v>
      </c>
      <c r="L92" s="7">
        <v>42424</v>
      </c>
      <c r="M92" s="7"/>
      <c r="N92" s="7"/>
      <c r="O92" s="4" t="str">
        <f t="shared" ca="1" si="4"/>
        <v/>
      </c>
      <c r="P92" s="4" t="str">
        <f t="shared" ca="1" si="5"/>
        <v>Active</v>
      </c>
      <c r="Q92" s="4" t="str">
        <f t="shared" si="7"/>
        <v>PKWTT</v>
      </c>
      <c r="R92" s="7" t="s">
        <v>2980</v>
      </c>
      <c r="S92" s="4" t="s">
        <v>2687</v>
      </c>
      <c r="T92" s="4" t="s">
        <v>657</v>
      </c>
      <c r="U92" s="4" t="s">
        <v>2996</v>
      </c>
      <c r="V92" s="4" t="s">
        <v>706</v>
      </c>
      <c r="W92" s="4" t="s">
        <v>3060</v>
      </c>
      <c r="X92" s="4" t="str">
        <f>_xlfn.XLOOKUP(V92,Reference!$O:$O,Reference!$N:$N,"Tidak Ketemu")</f>
        <v>G08</v>
      </c>
      <c r="Y92" s="4" t="str">
        <f t="shared" si="6"/>
        <v>TK/0</v>
      </c>
      <c r="Z92" s="10" t="s">
        <v>1772</v>
      </c>
      <c r="AA92" s="10" t="s">
        <v>1773</v>
      </c>
      <c r="AB92" s="7" t="s">
        <v>1774</v>
      </c>
      <c r="AC92" s="7" t="s">
        <v>3816</v>
      </c>
      <c r="AD92" s="17" t="s">
        <v>1775</v>
      </c>
      <c r="AE92" s="6" t="s">
        <v>1771</v>
      </c>
      <c r="AF92" s="6" t="s">
        <v>1454</v>
      </c>
      <c r="AG92" s="6" t="s">
        <v>694</v>
      </c>
      <c r="AN92" s="4"/>
    </row>
    <row r="93" spans="1:40" x14ac:dyDescent="0.35">
      <c r="A93" s="5">
        <v>202044108</v>
      </c>
      <c r="B93" s="5" t="s">
        <v>1471</v>
      </c>
      <c r="C93" s="5" t="s">
        <v>273</v>
      </c>
      <c r="D93" s="5" t="s">
        <v>584</v>
      </c>
      <c r="E93" s="6" t="s">
        <v>3431</v>
      </c>
      <c r="F93" s="7">
        <v>32651</v>
      </c>
      <c r="G93" s="10" t="s">
        <v>648</v>
      </c>
      <c r="H93" s="15" t="s">
        <v>666</v>
      </c>
      <c r="I93" s="4">
        <f>MIN(COUNTIFS('Data Family'!A:A,A93,'Data Family'!F:F,"Child")+COUNTIFS('Data Family'!A:A,A93,'Data Family'!F:F,"&lt;&gt;Child",'Data Family'!J:J,"Housewife")+COUNTIFS('Data Family'!A:A,A93,'Data Family'!F:F,"&lt;&gt;Child",'Data Family'!J:J,"Unemployment"),3)</f>
        <v>0</v>
      </c>
      <c r="J93" s="10" t="s">
        <v>791</v>
      </c>
      <c r="K93" s="7" t="s">
        <v>677</v>
      </c>
      <c r="L93" s="7">
        <v>43012</v>
      </c>
      <c r="M93" s="7"/>
      <c r="N93" s="7"/>
      <c r="O93" s="4" t="str">
        <f t="shared" ca="1" si="4"/>
        <v/>
      </c>
      <c r="P93" s="4" t="str">
        <f t="shared" ca="1" si="5"/>
        <v>Active</v>
      </c>
      <c r="Q93" s="4" t="str">
        <f t="shared" si="7"/>
        <v>PKWTT</v>
      </c>
      <c r="R93" s="7" t="s">
        <v>2982</v>
      </c>
      <c r="S93" s="4" t="s">
        <v>2686</v>
      </c>
      <c r="T93" s="4" t="s">
        <v>657</v>
      </c>
      <c r="U93" s="4" t="s">
        <v>2996</v>
      </c>
      <c r="V93" s="4" t="s">
        <v>2624</v>
      </c>
      <c r="W93" s="4" t="s">
        <v>2977</v>
      </c>
      <c r="X93" s="4" t="str">
        <f>_xlfn.XLOOKUP(V93,Reference!$O:$O,Reference!$N:$N,"Tidak Ketemu")</f>
        <v>G07</v>
      </c>
      <c r="Y93" s="4" t="str">
        <f t="shared" si="6"/>
        <v>TK/0</v>
      </c>
      <c r="Z93" s="10" t="s">
        <v>2289</v>
      </c>
      <c r="AA93" s="10" t="s">
        <v>2290</v>
      </c>
      <c r="AB93" s="7" t="s">
        <v>2291</v>
      </c>
      <c r="AC93" s="7" t="s">
        <v>3816</v>
      </c>
      <c r="AD93" s="17" t="s">
        <v>2292</v>
      </c>
      <c r="AE93" s="6" t="s">
        <v>2288</v>
      </c>
      <c r="AF93" s="6" t="s">
        <v>1472</v>
      </c>
      <c r="AG93" s="6" t="s">
        <v>818</v>
      </c>
      <c r="AN93" s="4"/>
    </row>
    <row r="94" spans="1:40" x14ac:dyDescent="0.35">
      <c r="A94" s="5">
        <v>201542229</v>
      </c>
      <c r="B94" s="5" t="s">
        <v>1695</v>
      </c>
      <c r="C94" s="5" t="s">
        <v>274</v>
      </c>
      <c r="D94" s="5" t="s">
        <v>585</v>
      </c>
      <c r="E94" s="6" t="s">
        <v>689</v>
      </c>
      <c r="F94" s="7">
        <v>31871</v>
      </c>
      <c r="G94" s="10" t="s">
        <v>648</v>
      </c>
      <c r="H94" s="15" t="s">
        <v>651</v>
      </c>
      <c r="I94" s="4">
        <f>MIN(COUNTIFS('Data Family'!A:A,A94,'Data Family'!F:F,"Child")+COUNTIFS('Data Family'!A:A,A94,'Data Family'!F:F,"&lt;&gt;Child",'Data Family'!J:J,"Housewife")+COUNTIFS('Data Family'!A:A,A94,'Data Family'!F:F,"&lt;&gt;Child",'Data Family'!J:J,"Unemployment"),3)</f>
        <v>2</v>
      </c>
      <c r="J94" s="10" t="s">
        <v>791</v>
      </c>
      <c r="K94" s="7" t="s">
        <v>691</v>
      </c>
      <c r="L94" s="7">
        <v>42229</v>
      </c>
      <c r="M94" s="7"/>
      <c r="N94" s="7"/>
      <c r="O94" s="4" t="str">
        <f t="shared" ca="1" si="4"/>
        <v/>
      </c>
      <c r="P94" s="4" t="str">
        <f t="shared" ca="1" si="5"/>
        <v>Active</v>
      </c>
      <c r="Q94" s="4" t="str">
        <f t="shared" si="7"/>
        <v>PKWTT</v>
      </c>
      <c r="R94" s="7" t="s">
        <v>2980</v>
      </c>
      <c r="S94" s="4" t="s">
        <v>2687</v>
      </c>
      <c r="T94" s="4" t="s">
        <v>657</v>
      </c>
      <c r="U94" s="4" t="s">
        <v>2996</v>
      </c>
      <c r="V94" s="4" t="s">
        <v>706</v>
      </c>
      <c r="W94" s="4" t="s">
        <v>3060</v>
      </c>
      <c r="X94" s="4" t="str">
        <f>_xlfn.XLOOKUP(V94,Reference!$O:$O,Reference!$N:$N,"Tidak Ketemu")</f>
        <v>G08</v>
      </c>
      <c r="Y94" s="4" t="str">
        <f t="shared" si="6"/>
        <v>K/2</v>
      </c>
      <c r="Z94" s="10" t="s">
        <v>2294</v>
      </c>
      <c r="AA94" s="10" t="s">
        <v>2295</v>
      </c>
      <c r="AB94" s="7" t="s">
        <v>2296</v>
      </c>
      <c r="AC94" s="7" t="s">
        <v>3816</v>
      </c>
      <c r="AD94" s="17" t="s">
        <v>2297</v>
      </c>
      <c r="AE94" s="6" t="s">
        <v>2293</v>
      </c>
      <c r="AF94" s="6" t="s">
        <v>1697</v>
      </c>
      <c r="AG94" s="6" t="s">
        <v>778</v>
      </c>
      <c r="AN94" s="4"/>
    </row>
    <row r="95" spans="1:40" x14ac:dyDescent="0.35">
      <c r="A95" s="5">
        <v>201742748</v>
      </c>
      <c r="B95" s="5" t="s">
        <v>863</v>
      </c>
      <c r="C95" s="5" t="s">
        <v>322</v>
      </c>
      <c r="D95" s="5" t="s">
        <v>633</v>
      </c>
      <c r="E95" s="6" t="s">
        <v>689</v>
      </c>
      <c r="F95" s="7">
        <v>32806</v>
      </c>
      <c r="G95" s="10" t="s">
        <v>648</v>
      </c>
      <c r="H95" s="15" t="s">
        <v>2678</v>
      </c>
      <c r="I95" s="4">
        <f>MIN(COUNTIFS('Data Family'!A:A,A95,'Data Family'!F:F,"Child")+COUNTIFS('Data Family'!A:A,A95,'Data Family'!F:F,"&lt;&gt;Child",'Data Family'!J:J,"Housewife")+COUNTIFS('Data Family'!A:A,A95,'Data Family'!F:F,"&lt;&gt;Child",'Data Family'!J:J,"Unemployment"),3)</f>
        <v>2</v>
      </c>
      <c r="J95" s="10" t="s">
        <v>791</v>
      </c>
      <c r="K95" s="7" t="s">
        <v>652</v>
      </c>
      <c r="L95" s="7">
        <v>42748</v>
      </c>
      <c r="M95" s="7"/>
      <c r="N95" s="7"/>
      <c r="O95" s="4" t="str">
        <f t="shared" ca="1" si="4"/>
        <v/>
      </c>
      <c r="P95" s="4" t="str">
        <f t="shared" ca="1" si="5"/>
        <v>Active</v>
      </c>
      <c r="Q95" s="4" t="str">
        <f t="shared" si="7"/>
        <v>PKWTT</v>
      </c>
      <c r="R95" s="7" t="s">
        <v>2980</v>
      </c>
      <c r="S95" s="4" t="s">
        <v>2986</v>
      </c>
      <c r="T95" s="4" t="s">
        <v>657</v>
      </c>
      <c r="U95" s="4" t="s">
        <v>2996</v>
      </c>
      <c r="V95" s="4" t="s">
        <v>706</v>
      </c>
      <c r="W95" s="4" t="s">
        <v>3060</v>
      </c>
      <c r="X95" s="4" t="str">
        <f>_xlfn.XLOOKUP(V95,Reference!$O:$O,Reference!$N:$N,"Tidak Ketemu")</f>
        <v>G08</v>
      </c>
      <c r="Y95" s="4" t="str">
        <f t="shared" si="6"/>
        <v>TK/2</v>
      </c>
      <c r="Z95" s="10" t="s">
        <v>2548</v>
      </c>
      <c r="AA95" s="10" t="s">
        <v>2549</v>
      </c>
      <c r="AB95" s="7" t="s">
        <v>2550</v>
      </c>
      <c r="AC95" s="7" t="s">
        <v>3816</v>
      </c>
      <c r="AD95" s="17" t="s">
        <v>2551</v>
      </c>
      <c r="AE95" s="6" t="s">
        <v>2547</v>
      </c>
      <c r="AF95" s="6" t="s">
        <v>864</v>
      </c>
      <c r="AG95" s="6" t="s">
        <v>694</v>
      </c>
      <c r="AN95" s="4"/>
    </row>
    <row r="96" spans="1:40" x14ac:dyDescent="0.35">
      <c r="A96" s="5">
        <v>202445365</v>
      </c>
      <c r="B96" s="5" t="s">
        <v>756</v>
      </c>
      <c r="C96" s="5" t="s">
        <v>35</v>
      </c>
      <c r="D96" s="5" t="s">
        <v>346</v>
      </c>
      <c r="E96" s="6" t="s">
        <v>689</v>
      </c>
      <c r="F96" s="7">
        <v>32002</v>
      </c>
      <c r="G96" s="10" t="s">
        <v>648</v>
      </c>
      <c r="H96" s="15" t="s">
        <v>666</v>
      </c>
      <c r="I96" s="4">
        <f>MIN(COUNTIFS('Data Family'!A:A,A96,'Data Family'!F:F,"Child")+COUNTIFS('Data Family'!A:A,A96,'Data Family'!F:F,"&lt;&gt;Child",'Data Family'!J:J,"Housewife")+COUNTIFS('Data Family'!A:A,A96,'Data Family'!F:F,"&lt;&gt;Child",'Data Family'!J:J,"Unemployment"),3)</f>
        <v>0</v>
      </c>
      <c r="J96" s="10" t="s">
        <v>791</v>
      </c>
      <c r="K96" s="7" t="s">
        <v>701</v>
      </c>
      <c r="L96" s="7">
        <v>41712</v>
      </c>
      <c r="M96" s="7"/>
      <c r="N96" s="7"/>
      <c r="O96" s="4" t="str">
        <f t="shared" ca="1" si="4"/>
        <v/>
      </c>
      <c r="P96" s="4" t="str">
        <f t="shared" ca="1" si="5"/>
        <v>Active</v>
      </c>
      <c r="Q96" s="4" t="str">
        <f t="shared" si="7"/>
        <v>PKWTT</v>
      </c>
      <c r="R96" s="7" t="s">
        <v>2980</v>
      </c>
      <c r="S96" s="4" t="s">
        <v>2687</v>
      </c>
      <c r="T96" s="4" t="s">
        <v>657</v>
      </c>
      <c r="U96" s="4" t="s">
        <v>2996</v>
      </c>
      <c r="V96" s="4" t="s">
        <v>706</v>
      </c>
      <c r="W96" s="4" t="s">
        <v>3060</v>
      </c>
      <c r="X96" s="4" t="str">
        <f>_xlfn.XLOOKUP(V96,Reference!$O:$O,Reference!$N:$N,"Tidak Ketemu")</f>
        <v>G08</v>
      </c>
      <c r="Y96" s="4" t="str">
        <f t="shared" si="6"/>
        <v>TK/0</v>
      </c>
      <c r="Z96" s="10" t="s">
        <v>760</v>
      </c>
      <c r="AA96" s="10" t="s">
        <v>761</v>
      </c>
      <c r="AB96" s="7" t="s">
        <v>762</v>
      </c>
      <c r="AC96" s="7" t="s">
        <v>3816</v>
      </c>
      <c r="AD96" s="17" t="s">
        <v>763</v>
      </c>
      <c r="AE96" s="6" t="s">
        <v>757</v>
      </c>
      <c r="AF96" s="6" t="s">
        <v>758</v>
      </c>
      <c r="AG96" s="6" t="s">
        <v>731</v>
      </c>
      <c r="AN96" s="4"/>
    </row>
    <row r="97" spans="1:40" x14ac:dyDescent="0.35">
      <c r="A97" s="5">
        <v>201742739</v>
      </c>
      <c r="B97" s="5" t="s">
        <v>1427</v>
      </c>
      <c r="C97" s="5" t="s">
        <v>176</v>
      </c>
      <c r="D97" s="5" t="s">
        <v>487</v>
      </c>
      <c r="E97" s="6" t="s">
        <v>3433</v>
      </c>
      <c r="F97" s="7">
        <v>32313</v>
      </c>
      <c r="G97" s="10" t="s">
        <v>648</v>
      </c>
      <c r="H97" s="15" t="s">
        <v>666</v>
      </c>
      <c r="I97" s="4">
        <f>MIN(COUNTIFS('Data Family'!A:A,A97,'Data Family'!F:F,"Child")+COUNTIFS('Data Family'!A:A,A97,'Data Family'!F:F,"&lt;&gt;Child",'Data Family'!J:J,"Housewife")+COUNTIFS('Data Family'!A:A,A97,'Data Family'!F:F,"&lt;&gt;Child",'Data Family'!J:J,"Unemployment"),3)</f>
        <v>0</v>
      </c>
      <c r="J97" s="10" t="s">
        <v>791</v>
      </c>
      <c r="K97" s="7" t="s">
        <v>701</v>
      </c>
      <c r="L97" s="7">
        <v>42739</v>
      </c>
      <c r="M97" s="7"/>
      <c r="N97" s="7"/>
      <c r="O97" s="4" t="str">
        <f t="shared" ca="1" si="4"/>
        <v/>
      </c>
      <c r="P97" s="4" t="str">
        <f t="shared" ca="1" si="5"/>
        <v>Active</v>
      </c>
      <c r="Q97" s="4" t="str">
        <f t="shared" si="7"/>
        <v>PKWTT</v>
      </c>
      <c r="R97" s="7" t="s">
        <v>2980</v>
      </c>
      <c r="S97" s="4" t="s">
        <v>2987</v>
      </c>
      <c r="T97" s="4" t="s">
        <v>657</v>
      </c>
      <c r="U97" s="4" t="s">
        <v>2996</v>
      </c>
      <c r="V97" s="4" t="s">
        <v>706</v>
      </c>
      <c r="W97" s="4" t="s">
        <v>3060</v>
      </c>
      <c r="X97" s="4" t="str">
        <f>_xlfn.XLOOKUP(V97,Reference!$O:$O,Reference!$N:$N,"Tidak Ketemu")</f>
        <v>G08</v>
      </c>
      <c r="Y97" s="4" t="str">
        <f t="shared" si="6"/>
        <v>TK/0</v>
      </c>
      <c r="Z97" s="10" t="s">
        <v>1739</v>
      </c>
      <c r="AA97" s="10" t="s">
        <v>1740</v>
      </c>
      <c r="AB97" s="7" t="s">
        <v>1741</v>
      </c>
      <c r="AC97" s="7" t="s">
        <v>3816</v>
      </c>
      <c r="AD97" s="17" t="s">
        <v>1742</v>
      </c>
      <c r="AE97" s="6" t="s">
        <v>1738</v>
      </c>
      <c r="AF97" s="6" t="s">
        <v>1429</v>
      </c>
      <c r="AG97" s="6" t="s">
        <v>778</v>
      </c>
      <c r="AN97" s="4"/>
    </row>
    <row r="98" spans="1:40" x14ac:dyDescent="0.35">
      <c r="A98" s="5">
        <v>201642646</v>
      </c>
      <c r="B98" s="5" t="s">
        <v>1389</v>
      </c>
      <c r="C98" s="5" t="s">
        <v>249</v>
      </c>
      <c r="D98" s="5" t="s">
        <v>560</v>
      </c>
      <c r="E98" s="6" t="s">
        <v>3443</v>
      </c>
      <c r="F98" s="7">
        <v>32098</v>
      </c>
      <c r="G98" s="10" t="s">
        <v>648</v>
      </c>
      <c r="H98" s="15" t="s">
        <v>666</v>
      </c>
      <c r="I98" s="4">
        <f>MIN(COUNTIFS('Data Family'!A:A,A98,'Data Family'!F:F,"Child")+COUNTIFS('Data Family'!A:A,A98,'Data Family'!F:F,"&lt;&gt;Child",'Data Family'!J:J,"Housewife")+COUNTIFS('Data Family'!A:A,A98,'Data Family'!F:F,"&lt;&gt;Child",'Data Family'!J:J,"Unemployment"),3)</f>
        <v>0</v>
      </c>
      <c r="J98" s="10" t="s">
        <v>791</v>
      </c>
      <c r="K98" s="7" t="s">
        <v>677</v>
      </c>
      <c r="L98" s="7">
        <v>42646</v>
      </c>
      <c r="M98" s="7"/>
      <c r="N98" s="7"/>
      <c r="O98" s="4" t="str">
        <f t="shared" ca="1" si="4"/>
        <v/>
      </c>
      <c r="P98" s="4" t="str">
        <f t="shared" ca="1" si="5"/>
        <v>Active</v>
      </c>
      <c r="Q98" s="4" t="str">
        <f t="shared" si="7"/>
        <v>PKWTT</v>
      </c>
      <c r="R98" s="7" t="s">
        <v>2980</v>
      </c>
      <c r="S98" s="4" t="s">
        <v>2987</v>
      </c>
      <c r="T98" s="4" t="s">
        <v>657</v>
      </c>
      <c r="U98" s="4" t="s">
        <v>2996</v>
      </c>
      <c r="V98" s="4" t="s">
        <v>706</v>
      </c>
      <c r="W98" s="4" t="s">
        <v>3060</v>
      </c>
      <c r="X98" s="4" t="str">
        <f>_xlfn.XLOOKUP(V98,Reference!$O:$O,Reference!$N:$N,"Tidak Ketemu")</f>
        <v>G08</v>
      </c>
      <c r="Y98" s="4" t="str">
        <f t="shared" si="6"/>
        <v>TK/0</v>
      </c>
      <c r="Z98" s="10" t="s">
        <v>2154</v>
      </c>
      <c r="AA98" s="10" t="s">
        <v>2155</v>
      </c>
      <c r="AB98" s="7" t="s">
        <v>2156</v>
      </c>
      <c r="AC98" s="7" t="s">
        <v>3816</v>
      </c>
      <c r="AD98" s="17" t="s">
        <v>2157</v>
      </c>
      <c r="AE98" s="6" t="s">
        <v>2153</v>
      </c>
      <c r="AF98" s="6" t="s">
        <v>1390</v>
      </c>
      <c r="AG98" s="6" t="s">
        <v>656</v>
      </c>
      <c r="AN98" s="4"/>
    </row>
    <row r="99" spans="1:40" x14ac:dyDescent="0.35">
      <c r="A99" s="5">
        <v>201943549</v>
      </c>
      <c r="B99" s="5" t="s">
        <v>688</v>
      </c>
      <c r="C99" s="5" t="s">
        <v>28</v>
      </c>
      <c r="D99" s="5" t="s">
        <v>339</v>
      </c>
      <c r="E99" s="6" t="s">
        <v>689</v>
      </c>
      <c r="F99" s="7">
        <v>32485</v>
      </c>
      <c r="G99" s="10" t="s">
        <v>648</v>
      </c>
      <c r="H99" s="15" t="s">
        <v>651</v>
      </c>
      <c r="I99" s="4">
        <f>MIN(COUNTIFS('Data Family'!A:A,A99,'Data Family'!F:F,"Child")+COUNTIFS('Data Family'!A:A,A99,'Data Family'!F:F,"&lt;&gt;Child",'Data Family'!J:J,"Housewife")+COUNTIFS('Data Family'!A:A,A99,'Data Family'!F:F,"&lt;&gt;Child",'Data Family'!J:J,"Unemployment"),3)</f>
        <v>2</v>
      </c>
      <c r="J99" s="10" t="s">
        <v>791</v>
      </c>
      <c r="K99" s="7" t="s">
        <v>691</v>
      </c>
      <c r="L99" s="7">
        <v>42088</v>
      </c>
      <c r="M99" s="7"/>
      <c r="N99" s="7"/>
      <c r="O99" s="4" t="str">
        <f t="shared" ca="1" si="4"/>
        <v/>
      </c>
      <c r="P99" s="4" t="str">
        <f t="shared" ca="1" si="5"/>
        <v>Active</v>
      </c>
      <c r="Q99" s="4" t="str">
        <f t="shared" si="7"/>
        <v>PKWTT</v>
      </c>
      <c r="R99" s="7" t="s">
        <v>2980</v>
      </c>
      <c r="S99" s="4" t="s">
        <v>2687</v>
      </c>
      <c r="T99" s="4" t="s">
        <v>657</v>
      </c>
      <c r="U99" s="4" t="s">
        <v>2996</v>
      </c>
      <c r="V99" s="4" t="s">
        <v>706</v>
      </c>
      <c r="W99" s="4" t="s">
        <v>3060</v>
      </c>
      <c r="X99" s="4" t="str">
        <f>_xlfn.XLOOKUP(V99,Reference!$O:$O,Reference!$N:$N,"Tidak Ketemu")</f>
        <v>G08</v>
      </c>
      <c r="Y99" s="4" t="str">
        <f t="shared" si="6"/>
        <v>K/2</v>
      </c>
      <c r="Z99" s="10" t="s">
        <v>696</v>
      </c>
      <c r="AA99" s="10" t="s">
        <v>697</v>
      </c>
      <c r="AB99" s="7" t="s">
        <v>698</v>
      </c>
      <c r="AC99" s="7" t="s">
        <v>3816</v>
      </c>
      <c r="AD99" s="17" t="s">
        <v>699</v>
      </c>
      <c r="AE99" s="6" t="s">
        <v>692</v>
      </c>
      <c r="AF99" s="6" t="s">
        <v>693</v>
      </c>
      <c r="AG99" s="6" t="s">
        <v>694</v>
      </c>
      <c r="AN99" s="4"/>
    </row>
    <row r="100" spans="1:40" x14ac:dyDescent="0.35">
      <c r="A100" s="5">
        <v>201742809</v>
      </c>
      <c r="B100" s="5" t="s">
        <v>946</v>
      </c>
      <c r="C100" s="5" t="s">
        <v>155</v>
      </c>
      <c r="D100" s="5" t="s">
        <v>466</v>
      </c>
      <c r="E100" s="6" t="s">
        <v>3448</v>
      </c>
      <c r="F100" s="7">
        <v>32680</v>
      </c>
      <c r="G100" s="10" t="s">
        <v>648</v>
      </c>
      <c r="H100" s="15" t="s">
        <v>666</v>
      </c>
      <c r="I100" s="4">
        <f>MIN(COUNTIFS('Data Family'!A:A,A100,'Data Family'!F:F,"Child")+COUNTIFS('Data Family'!A:A,A100,'Data Family'!F:F,"&lt;&gt;Child",'Data Family'!J:J,"Housewife")+COUNTIFS('Data Family'!A:A,A100,'Data Family'!F:F,"&lt;&gt;Child",'Data Family'!J:J,"Unemployment"),3)</f>
        <v>0</v>
      </c>
      <c r="J100" s="10" t="s">
        <v>791</v>
      </c>
      <c r="K100" s="7" t="s">
        <v>652</v>
      </c>
      <c r="L100" s="7">
        <v>42809</v>
      </c>
      <c r="M100" s="7"/>
      <c r="N100" s="7"/>
      <c r="O100" s="4" t="str">
        <f t="shared" ca="1" si="4"/>
        <v/>
      </c>
      <c r="P100" s="4" t="str">
        <f t="shared" ca="1" si="5"/>
        <v>Active</v>
      </c>
      <c r="Q100" s="4" t="str">
        <f t="shared" si="7"/>
        <v>PKWTT</v>
      </c>
      <c r="R100" s="7" t="s">
        <v>2980</v>
      </c>
      <c r="S100" s="4" t="s">
        <v>2989</v>
      </c>
      <c r="T100" s="4" t="s">
        <v>657</v>
      </c>
      <c r="U100" s="4" t="s">
        <v>2996</v>
      </c>
      <c r="V100" s="4" t="s">
        <v>706</v>
      </c>
      <c r="W100" s="4" t="s">
        <v>3060</v>
      </c>
      <c r="X100" s="4" t="str">
        <f>_xlfn.XLOOKUP(V100,Reference!$O:$O,Reference!$N:$N,"Tidak Ketemu")</f>
        <v>G08</v>
      </c>
      <c r="Y100" s="4" t="str">
        <f t="shared" si="6"/>
        <v>TK/0</v>
      </c>
      <c r="Z100" s="10" t="s">
        <v>1617</v>
      </c>
      <c r="AA100" s="10" t="s">
        <v>1618</v>
      </c>
      <c r="AB100" s="7" t="s">
        <v>1619</v>
      </c>
      <c r="AC100" s="7" t="s">
        <v>3816</v>
      </c>
      <c r="AD100" s="17" t="s">
        <v>1620</v>
      </c>
      <c r="AE100" s="6" t="s">
        <v>1616</v>
      </c>
      <c r="AF100" s="6" t="s">
        <v>947</v>
      </c>
      <c r="AG100" s="6" t="s">
        <v>694</v>
      </c>
      <c r="AN100" s="4"/>
    </row>
    <row r="101" spans="1:40" x14ac:dyDescent="0.35">
      <c r="A101" s="5">
        <v>202646162</v>
      </c>
      <c r="B101" s="5" t="s">
        <v>720</v>
      </c>
      <c r="C101" s="5" t="s">
        <v>201</v>
      </c>
      <c r="D101" s="5" t="s">
        <v>512</v>
      </c>
      <c r="E101" s="6" t="s">
        <v>3442</v>
      </c>
      <c r="F101" s="7">
        <v>38097</v>
      </c>
      <c r="G101" s="10" t="s">
        <v>648</v>
      </c>
      <c r="H101" s="15" t="s">
        <v>666</v>
      </c>
      <c r="I101" s="4">
        <f>MIN(COUNTIFS('Data Family'!A:A,A101,'Data Family'!F:F,"Child")+COUNTIFS('Data Family'!A:A,A101,'Data Family'!F:F,"&lt;&gt;Child",'Data Family'!J:J,"Housewife")+COUNTIFS('Data Family'!A:A,A101,'Data Family'!F:F,"&lt;&gt;Child",'Data Family'!J:J,"Unemployment"),3)</f>
        <v>0</v>
      </c>
      <c r="J101" s="10" t="s">
        <v>791</v>
      </c>
      <c r="K101" s="7" t="s">
        <v>701</v>
      </c>
      <c r="L101" s="7">
        <v>46162</v>
      </c>
      <c r="M101" s="7">
        <v>47258</v>
      </c>
      <c r="N101" s="7"/>
      <c r="O101" s="4" t="str">
        <f t="shared" ca="1" si="4"/>
        <v/>
      </c>
      <c r="P101" s="4" t="str">
        <f t="shared" ca="1" si="5"/>
        <v>Active</v>
      </c>
      <c r="Q101" s="4" t="str">
        <f t="shared" si="7"/>
        <v>PKWT</v>
      </c>
      <c r="R101" s="7" t="s">
        <v>2980</v>
      </c>
      <c r="S101" s="4" t="s">
        <v>2986</v>
      </c>
      <c r="T101" s="4" t="s">
        <v>657</v>
      </c>
      <c r="U101" s="4" t="s">
        <v>2998</v>
      </c>
      <c r="V101" s="4" t="s">
        <v>2621</v>
      </c>
      <c r="W101" s="4" t="s">
        <v>3059</v>
      </c>
      <c r="X101" s="4" t="str">
        <f>_xlfn.XLOOKUP(V101,Reference!$O:$O,Reference!$N:$N,"Tidak Ketemu")</f>
        <v>G06</v>
      </c>
      <c r="Y101" s="4" t="str">
        <f t="shared" si="6"/>
        <v>TK/0</v>
      </c>
      <c r="Z101" s="10" t="s">
        <v>1886</v>
      </c>
      <c r="AA101" s="10" t="s">
        <v>1887</v>
      </c>
      <c r="AB101" s="7" t="s">
        <v>1888</v>
      </c>
      <c r="AC101" s="7" t="s">
        <v>3816</v>
      </c>
      <c r="AD101" s="17" t="s">
        <v>1889</v>
      </c>
      <c r="AE101" s="6" t="s">
        <v>1885</v>
      </c>
      <c r="AF101" s="6" t="s">
        <v>723</v>
      </c>
      <c r="AG101" s="6" t="s">
        <v>656</v>
      </c>
      <c r="AN101" s="4"/>
    </row>
    <row r="102" spans="1:40" x14ac:dyDescent="0.35">
      <c r="A102" s="5">
        <v>201943644</v>
      </c>
      <c r="B102" s="5" t="s">
        <v>997</v>
      </c>
      <c r="C102" s="5" t="s">
        <v>246</v>
      </c>
      <c r="D102" s="5" t="s">
        <v>557</v>
      </c>
      <c r="E102" s="6" t="s">
        <v>3448</v>
      </c>
      <c r="F102" s="7">
        <v>38210</v>
      </c>
      <c r="G102" s="10" t="s">
        <v>648</v>
      </c>
      <c r="H102" s="15" t="s">
        <v>666</v>
      </c>
      <c r="I102" s="4">
        <f>MIN(COUNTIFS('Data Family'!A:A,A102,'Data Family'!F:F,"Child")+COUNTIFS('Data Family'!A:A,A102,'Data Family'!F:F,"&lt;&gt;Child",'Data Family'!J:J,"Housewife")+COUNTIFS('Data Family'!A:A,A102,'Data Family'!F:F,"&lt;&gt;Child",'Data Family'!J:J,"Unemployment"),3)</f>
        <v>1</v>
      </c>
      <c r="J102" s="10" t="s">
        <v>791</v>
      </c>
      <c r="K102" s="7" t="s">
        <v>691</v>
      </c>
      <c r="L102" s="7">
        <v>45471</v>
      </c>
      <c r="M102" s="7">
        <v>46566</v>
      </c>
      <c r="N102" s="7"/>
      <c r="O102" s="4" t="str">
        <f t="shared" ca="1" si="4"/>
        <v/>
      </c>
      <c r="P102" s="4" t="str">
        <f t="shared" ca="1" si="5"/>
        <v>Active</v>
      </c>
      <c r="Q102" s="4" t="str">
        <f t="shared" si="7"/>
        <v>PKWT</v>
      </c>
      <c r="R102" s="7" t="s">
        <v>2980</v>
      </c>
      <c r="S102" s="4" t="s">
        <v>2986</v>
      </c>
      <c r="T102" s="4" t="s">
        <v>657</v>
      </c>
      <c r="U102" s="4" t="s">
        <v>2997</v>
      </c>
      <c r="V102" s="4" t="s">
        <v>2621</v>
      </c>
      <c r="W102" s="4" t="s">
        <v>3058</v>
      </c>
      <c r="X102" s="4" t="str">
        <f>_xlfn.XLOOKUP(V102,Reference!$O:$O,Reference!$N:$N,"Tidak Ketemu")</f>
        <v>G06</v>
      </c>
      <c r="Y102" s="4" t="str">
        <f t="shared" si="6"/>
        <v>TK/1</v>
      </c>
      <c r="Z102" s="10" t="s">
        <v>2137</v>
      </c>
      <c r="AA102" s="10" t="s">
        <v>2138</v>
      </c>
      <c r="AB102" s="7" t="s">
        <v>2139</v>
      </c>
      <c r="AC102" s="7" t="s">
        <v>3816</v>
      </c>
      <c r="AD102" s="17" t="s">
        <v>2140</v>
      </c>
      <c r="AE102" s="6" t="s">
        <v>2136</v>
      </c>
      <c r="AF102" s="6" t="s">
        <v>998</v>
      </c>
      <c r="AG102" s="6" t="s">
        <v>656</v>
      </c>
      <c r="AN102" s="4"/>
    </row>
    <row r="103" spans="1:40" x14ac:dyDescent="0.35">
      <c r="A103" s="5">
        <v>202344946</v>
      </c>
      <c r="B103" s="5" t="s">
        <v>1471</v>
      </c>
      <c r="C103" s="5" t="s">
        <v>318</v>
      </c>
      <c r="D103" s="5" t="s">
        <v>629</v>
      </c>
      <c r="E103" s="6" t="s">
        <v>3442</v>
      </c>
      <c r="F103" s="7">
        <v>38153</v>
      </c>
      <c r="G103" s="10" t="s">
        <v>648</v>
      </c>
      <c r="H103" s="15" t="s">
        <v>666</v>
      </c>
      <c r="I103" s="4">
        <f>MIN(COUNTIFS('Data Family'!A:A,A103,'Data Family'!F:F,"Child")+COUNTIFS('Data Family'!A:A,A103,'Data Family'!F:F,"&lt;&gt;Child",'Data Family'!J:J,"Housewife")+COUNTIFS('Data Family'!A:A,A103,'Data Family'!F:F,"&lt;&gt;Child",'Data Family'!J:J,"Unemployment"),3)</f>
        <v>0</v>
      </c>
      <c r="J103" s="10" t="s">
        <v>791</v>
      </c>
      <c r="K103" s="7" t="s">
        <v>677</v>
      </c>
      <c r="L103" s="7">
        <v>44946</v>
      </c>
      <c r="M103" s="7">
        <v>46772</v>
      </c>
      <c r="N103" s="7"/>
      <c r="O103" s="4" t="str">
        <f t="shared" ca="1" si="4"/>
        <v/>
      </c>
      <c r="P103" s="4" t="str">
        <f t="shared" ca="1" si="5"/>
        <v>Active</v>
      </c>
      <c r="Q103" s="4" t="str">
        <f t="shared" si="7"/>
        <v>PKWT</v>
      </c>
      <c r="R103" s="7" t="s">
        <v>2980</v>
      </c>
      <c r="S103" s="4" t="s">
        <v>2986</v>
      </c>
      <c r="T103" s="4" t="s">
        <v>657</v>
      </c>
      <c r="U103" s="4" t="s">
        <v>2998</v>
      </c>
      <c r="V103" s="4" t="s">
        <v>2624</v>
      </c>
      <c r="W103" s="4" t="s">
        <v>3057</v>
      </c>
      <c r="X103" s="4" t="str">
        <f>_xlfn.XLOOKUP(V103,Reference!$O:$O,Reference!$N:$N,"Tidak Ketemu")</f>
        <v>G07</v>
      </c>
      <c r="Y103" s="4" t="str">
        <f t="shared" si="6"/>
        <v>TK/0</v>
      </c>
      <c r="Z103" s="10" t="s">
        <v>2524</v>
      </c>
      <c r="AA103" s="10" t="s">
        <v>2525</v>
      </c>
      <c r="AB103" s="7" t="s">
        <v>2526</v>
      </c>
      <c r="AC103" s="7" t="s">
        <v>3816</v>
      </c>
      <c r="AD103" s="17" t="s">
        <v>2527</v>
      </c>
      <c r="AE103" s="6" t="s">
        <v>2523</v>
      </c>
      <c r="AF103" s="6" t="s">
        <v>1472</v>
      </c>
      <c r="AG103" s="6" t="s">
        <v>704</v>
      </c>
      <c r="AN103" s="4"/>
    </row>
    <row r="104" spans="1:40" x14ac:dyDescent="0.35">
      <c r="A104" s="5">
        <v>201943650</v>
      </c>
      <c r="B104" s="5" t="s">
        <v>1320</v>
      </c>
      <c r="C104" s="5" t="s">
        <v>109</v>
      </c>
      <c r="D104" s="5" t="s">
        <v>420</v>
      </c>
      <c r="E104" s="6" t="s">
        <v>809</v>
      </c>
      <c r="F104" s="7">
        <v>38133</v>
      </c>
      <c r="G104" s="10" t="s">
        <v>648</v>
      </c>
      <c r="H104" s="15" t="s">
        <v>666</v>
      </c>
      <c r="I104" s="4">
        <f>MIN(COUNTIFS('Data Family'!A:A,A104,'Data Family'!F:F,"Child")+COUNTIFS('Data Family'!A:A,A104,'Data Family'!F:F,"&lt;&gt;Child",'Data Family'!J:J,"Housewife")+COUNTIFS('Data Family'!A:A,A104,'Data Family'!F:F,"&lt;&gt;Child",'Data Family'!J:J,"Unemployment"),3)</f>
        <v>0</v>
      </c>
      <c r="J104" s="10" t="s">
        <v>791</v>
      </c>
      <c r="K104" s="7" t="s">
        <v>652</v>
      </c>
      <c r="L104" s="7">
        <v>45477</v>
      </c>
      <c r="M104" s="7">
        <v>46572</v>
      </c>
      <c r="N104" s="7"/>
      <c r="O104" s="4" t="str">
        <f t="shared" ca="1" si="4"/>
        <v/>
      </c>
      <c r="P104" s="4" t="str">
        <f t="shared" ca="1" si="5"/>
        <v>Active</v>
      </c>
      <c r="Q104" s="4" t="str">
        <f t="shared" si="7"/>
        <v>PKWT</v>
      </c>
      <c r="R104" s="7" t="s">
        <v>2980</v>
      </c>
      <c r="S104" s="4" t="s">
        <v>2986</v>
      </c>
      <c r="T104" s="4" t="s">
        <v>657</v>
      </c>
      <c r="U104" s="4" t="s">
        <v>2997</v>
      </c>
      <c r="V104" s="4" t="s">
        <v>2624</v>
      </c>
      <c r="W104" s="4" t="s">
        <v>3061</v>
      </c>
      <c r="X104" s="4" t="str">
        <f>_xlfn.XLOOKUP(V104,Reference!$O:$O,Reference!$N:$N,"Tidak Ketemu")</f>
        <v>G07</v>
      </c>
      <c r="Y104" s="4" t="str">
        <f t="shared" si="6"/>
        <v>TK/0</v>
      </c>
      <c r="Z104" s="10" t="s">
        <v>1323</v>
      </c>
      <c r="AA104" s="10" t="s">
        <v>1324</v>
      </c>
      <c r="AB104" s="7" t="s">
        <v>1325</v>
      </c>
      <c r="AC104" s="7" t="s">
        <v>3816</v>
      </c>
      <c r="AD104" s="17" t="s">
        <v>1326</v>
      </c>
      <c r="AE104" s="6" t="s">
        <v>1321</v>
      </c>
      <c r="AF104" s="6" t="s">
        <v>1322</v>
      </c>
      <c r="AG104" s="6" t="s">
        <v>778</v>
      </c>
      <c r="AN104" s="4"/>
    </row>
    <row r="105" spans="1:40" x14ac:dyDescent="0.35">
      <c r="A105" s="5">
        <v>202144397</v>
      </c>
      <c r="B105" s="5" t="s">
        <v>820</v>
      </c>
      <c r="C105" s="5" t="s">
        <v>125</v>
      </c>
      <c r="D105" s="5" t="s">
        <v>436</v>
      </c>
      <c r="E105" s="6" t="s">
        <v>809</v>
      </c>
      <c r="F105" s="7">
        <v>32953</v>
      </c>
      <c r="G105" s="10" t="s">
        <v>648</v>
      </c>
      <c r="H105" s="15" t="s">
        <v>651</v>
      </c>
      <c r="I105" s="4">
        <f>MIN(COUNTIFS('Data Family'!A:A,A105,'Data Family'!F:F,"Child")+COUNTIFS('Data Family'!A:A,A105,'Data Family'!F:F,"&lt;&gt;Child",'Data Family'!J:J,"Housewife")+COUNTIFS('Data Family'!A:A,A105,'Data Family'!F:F,"&lt;&gt;Child",'Data Family'!J:J,"Unemployment"),3)</f>
        <v>3</v>
      </c>
      <c r="J105" s="10" t="s">
        <v>791</v>
      </c>
      <c r="K105" s="7" t="s">
        <v>691</v>
      </c>
      <c r="L105" s="7">
        <v>41840</v>
      </c>
      <c r="M105" s="7"/>
      <c r="N105" s="7"/>
      <c r="O105" s="4" t="str">
        <f t="shared" ca="1" si="4"/>
        <v/>
      </c>
      <c r="P105" s="4" t="str">
        <f t="shared" ca="1" si="5"/>
        <v>Active</v>
      </c>
      <c r="Q105" s="4" t="str">
        <f t="shared" si="7"/>
        <v>PKWTT</v>
      </c>
      <c r="R105" s="7" t="s">
        <v>2980</v>
      </c>
      <c r="S105" s="4" t="s">
        <v>2986</v>
      </c>
      <c r="T105" s="4" t="s">
        <v>657</v>
      </c>
      <c r="U105" s="4" t="s">
        <v>2996</v>
      </c>
      <c r="V105" s="4" t="s">
        <v>706</v>
      </c>
      <c r="W105" s="4" t="s">
        <v>3060</v>
      </c>
      <c r="X105" s="4" t="str">
        <f>_xlfn.XLOOKUP(V105,Reference!$O:$O,Reference!$N:$N,"Tidak Ketemu")</f>
        <v>G08</v>
      </c>
      <c r="Y105" s="4" t="str">
        <f t="shared" si="6"/>
        <v>K/3</v>
      </c>
      <c r="Z105" s="10" t="s">
        <v>1421</v>
      </c>
      <c r="AA105" s="10" t="s">
        <v>1422</v>
      </c>
      <c r="AB105" s="7" t="s">
        <v>1423</v>
      </c>
      <c r="AC105" s="7" t="s">
        <v>3816</v>
      </c>
      <c r="AD105" s="17" t="s">
        <v>1424</v>
      </c>
      <c r="AE105" s="6" t="s">
        <v>1420</v>
      </c>
      <c r="AF105" s="6" t="s">
        <v>822</v>
      </c>
      <c r="AG105" s="6" t="s">
        <v>680</v>
      </c>
      <c r="AN105" s="4"/>
    </row>
    <row r="106" spans="1:40" x14ac:dyDescent="0.35">
      <c r="A106" s="5">
        <v>202344977</v>
      </c>
      <c r="B106" s="5" t="s">
        <v>1299</v>
      </c>
      <c r="C106" s="5" t="s">
        <v>106</v>
      </c>
      <c r="D106" s="5" t="s">
        <v>417</v>
      </c>
      <c r="E106" s="6" t="s">
        <v>809</v>
      </c>
      <c r="F106" s="7">
        <v>37993</v>
      </c>
      <c r="G106" s="10" t="s">
        <v>648</v>
      </c>
      <c r="H106" s="15" t="s">
        <v>666</v>
      </c>
      <c r="I106" s="4">
        <f>MIN(COUNTIFS('Data Family'!A:A,A106,'Data Family'!F:F,"Child")+COUNTIFS('Data Family'!A:A,A106,'Data Family'!F:F,"&lt;&gt;Child",'Data Family'!J:J,"Housewife")+COUNTIFS('Data Family'!A:A,A106,'Data Family'!F:F,"&lt;&gt;Child",'Data Family'!J:J,"Unemployment"),3)</f>
        <v>0</v>
      </c>
      <c r="J106" s="10" t="s">
        <v>791</v>
      </c>
      <c r="K106" s="7" t="s">
        <v>691</v>
      </c>
      <c r="L106" s="7">
        <v>44977</v>
      </c>
      <c r="M106" s="7">
        <v>46803</v>
      </c>
      <c r="N106" s="7"/>
      <c r="O106" s="4" t="str">
        <f t="shared" ca="1" si="4"/>
        <v/>
      </c>
      <c r="P106" s="4" t="str">
        <f t="shared" ca="1" si="5"/>
        <v>Active</v>
      </c>
      <c r="Q106" s="4" t="str">
        <f t="shared" si="7"/>
        <v>PKWT</v>
      </c>
      <c r="R106" s="7" t="s">
        <v>2980</v>
      </c>
      <c r="S106" s="4" t="s">
        <v>2986</v>
      </c>
      <c r="T106" s="4" t="s">
        <v>657</v>
      </c>
      <c r="U106" s="4" t="s">
        <v>2998</v>
      </c>
      <c r="V106" s="4" t="s">
        <v>670</v>
      </c>
      <c r="W106" s="4" t="s">
        <v>3821</v>
      </c>
      <c r="X106" s="4" t="str">
        <f>_xlfn.XLOOKUP(V106,Reference!$O:$O,Reference!$N:$N,"Tidak Ketemu")</f>
        <v>G13</v>
      </c>
      <c r="Y106" s="4" t="str">
        <f t="shared" si="6"/>
        <v>TK/0</v>
      </c>
      <c r="Z106" s="10" t="s">
        <v>1302</v>
      </c>
      <c r="AA106" s="10" t="s">
        <v>1303</v>
      </c>
      <c r="AB106" s="7" t="s">
        <v>1304</v>
      </c>
      <c r="AC106" s="7" t="s">
        <v>3816</v>
      </c>
      <c r="AD106" s="17" t="s">
        <v>1305</v>
      </c>
      <c r="AE106" s="6" t="s">
        <v>1300</v>
      </c>
      <c r="AF106" s="6" t="s">
        <v>1301</v>
      </c>
      <c r="AG106" s="6" t="s">
        <v>680</v>
      </c>
      <c r="AN106" s="4"/>
    </row>
    <row r="107" spans="1:40" x14ac:dyDescent="0.35">
      <c r="A107" s="5">
        <v>201943823</v>
      </c>
      <c r="B107" s="5" t="s">
        <v>1452</v>
      </c>
      <c r="C107" s="5" t="s">
        <v>129</v>
      </c>
      <c r="D107" s="5" t="s">
        <v>440</v>
      </c>
      <c r="E107" s="6" t="s">
        <v>3426</v>
      </c>
      <c r="F107" s="7">
        <v>38329</v>
      </c>
      <c r="G107" s="10" t="s">
        <v>648</v>
      </c>
      <c r="H107" s="15" t="s">
        <v>666</v>
      </c>
      <c r="I107" s="4">
        <f>MIN(COUNTIFS('Data Family'!A:A,A107,'Data Family'!F:F,"Child")+COUNTIFS('Data Family'!A:A,A107,'Data Family'!F:F,"&lt;&gt;Child",'Data Family'!J:J,"Housewife")+COUNTIFS('Data Family'!A:A,A107,'Data Family'!F:F,"&lt;&gt;Child",'Data Family'!J:J,"Unemployment"),3)</f>
        <v>0</v>
      </c>
      <c r="J107" s="10" t="s">
        <v>791</v>
      </c>
      <c r="K107" s="7" t="s">
        <v>691</v>
      </c>
      <c r="L107" s="7">
        <v>45650</v>
      </c>
      <c r="M107" s="7">
        <v>47476</v>
      </c>
      <c r="N107" s="7"/>
      <c r="O107" s="4" t="str">
        <f t="shared" ca="1" si="4"/>
        <v/>
      </c>
      <c r="P107" s="4" t="str">
        <f t="shared" ca="1" si="5"/>
        <v>Active</v>
      </c>
      <c r="Q107" s="4" t="str">
        <f t="shared" si="7"/>
        <v>PKWT</v>
      </c>
      <c r="R107" s="7" t="s">
        <v>2980</v>
      </c>
      <c r="S107" s="4" t="s">
        <v>2986</v>
      </c>
      <c r="T107" s="4" t="s">
        <v>657</v>
      </c>
      <c r="U107" s="4" t="s">
        <v>2998</v>
      </c>
      <c r="V107" s="4" t="s">
        <v>670</v>
      </c>
      <c r="W107" s="4" t="s">
        <v>3821</v>
      </c>
      <c r="X107" s="4" t="str">
        <f>_xlfn.XLOOKUP(V107,Reference!$O:$O,Reference!$N:$N,"Tidak Ketemu")</f>
        <v>G13</v>
      </c>
      <c r="Y107" s="4" t="str">
        <f t="shared" si="6"/>
        <v>TK/0</v>
      </c>
      <c r="Z107" s="10" t="s">
        <v>1455</v>
      </c>
      <c r="AA107" s="10" t="s">
        <v>1456</v>
      </c>
      <c r="AB107" s="7" t="s">
        <v>1457</v>
      </c>
      <c r="AC107" s="7" t="s">
        <v>3816</v>
      </c>
      <c r="AD107" s="17" t="s">
        <v>1458</v>
      </c>
      <c r="AE107" s="6" t="s">
        <v>1453</v>
      </c>
      <c r="AF107" s="6" t="s">
        <v>1454</v>
      </c>
      <c r="AG107" s="6" t="s">
        <v>694</v>
      </c>
      <c r="AN107" s="4"/>
    </row>
    <row r="108" spans="1:40" x14ac:dyDescent="0.35">
      <c r="A108" s="5">
        <v>202144538</v>
      </c>
      <c r="B108" s="5" t="s">
        <v>2040</v>
      </c>
      <c r="C108" s="5" t="s">
        <v>228</v>
      </c>
      <c r="D108" s="5" t="s">
        <v>539</v>
      </c>
      <c r="E108" s="6" t="s">
        <v>689</v>
      </c>
      <c r="F108" s="7">
        <v>33002</v>
      </c>
      <c r="G108" s="10" t="s">
        <v>648</v>
      </c>
      <c r="H108" s="15" t="s">
        <v>651</v>
      </c>
      <c r="I108" s="4">
        <f>MIN(COUNTIFS('Data Family'!A:A,A108,'Data Family'!F:F,"Child")+COUNTIFS('Data Family'!A:A,A108,'Data Family'!F:F,"&lt;&gt;Child",'Data Family'!J:J,"Housewife")+COUNTIFS('Data Family'!A:A,A108,'Data Family'!F:F,"&lt;&gt;Child",'Data Family'!J:J,"Unemployment"),3)</f>
        <v>3</v>
      </c>
      <c r="J108" s="10" t="s">
        <v>791</v>
      </c>
      <c r="K108" s="7" t="s">
        <v>701</v>
      </c>
      <c r="L108" s="7">
        <v>41981</v>
      </c>
      <c r="M108" s="7"/>
      <c r="N108" s="7"/>
      <c r="O108" s="4" t="str">
        <f t="shared" ca="1" si="4"/>
        <v/>
      </c>
      <c r="P108" s="4" t="str">
        <f t="shared" ca="1" si="5"/>
        <v>Active</v>
      </c>
      <c r="Q108" s="4" t="str">
        <f t="shared" si="7"/>
        <v>PKWTT</v>
      </c>
      <c r="R108" s="7" t="s">
        <v>2980</v>
      </c>
      <c r="S108" s="4" t="s">
        <v>2986</v>
      </c>
      <c r="T108" s="4" t="s">
        <v>657</v>
      </c>
      <c r="U108" s="4" t="s">
        <v>2996</v>
      </c>
      <c r="V108" s="4" t="s">
        <v>706</v>
      </c>
      <c r="W108" s="4" t="s">
        <v>3060</v>
      </c>
      <c r="X108" s="4" t="str">
        <f>_xlfn.XLOOKUP(V108,Reference!$O:$O,Reference!$N:$N,"Tidak Ketemu")</f>
        <v>G08</v>
      </c>
      <c r="Y108" s="4" t="str">
        <f t="shared" si="6"/>
        <v>K/3</v>
      </c>
      <c r="Z108" s="10" t="s">
        <v>2043</v>
      </c>
      <c r="AA108" s="10" t="s">
        <v>2044</v>
      </c>
      <c r="AB108" s="7" t="s">
        <v>2045</v>
      </c>
      <c r="AC108" s="7" t="s">
        <v>3816</v>
      </c>
      <c r="AD108" s="17" t="s">
        <v>2046</v>
      </c>
      <c r="AE108" s="6" t="s">
        <v>2041</v>
      </c>
      <c r="AF108" s="6" t="s">
        <v>2042</v>
      </c>
      <c r="AG108" s="6" t="s">
        <v>778</v>
      </c>
      <c r="AN108" s="4"/>
    </row>
    <row r="109" spans="1:40" x14ac:dyDescent="0.35">
      <c r="A109" s="5">
        <v>201642544</v>
      </c>
      <c r="B109" s="5" t="s">
        <v>863</v>
      </c>
      <c r="C109" s="5" t="s">
        <v>115</v>
      </c>
      <c r="D109" s="5" t="s">
        <v>426</v>
      </c>
      <c r="E109" s="6" t="s">
        <v>689</v>
      </c>
      <c r="F109" s="7">
        <v>38093</v>
      </c>
      <c r="G109" s="10" t="s">
        <v>648</v>
      </c>
      <c r="H109" s="15" t="s">
        <v>666</v>
      </c>
      <c r="I109" s="4">
        <f>MIN(COUNTIFS('Data Family'!A:A,A109,'Data Family'!F:F,"Child")+COUNTIFS('Data Family'!A:A,A109,'Data Family'!F:F,"&lt;&gt;Child",'Data Family'!J:J,"Housewife")+COUNTIFS('Data Family'!A:A,A109,'Data Family'!F:F,"&lt;&gt;Child",'Data Family'!J:J,"Unemployment"),3)</f>
        <v>1</v>
      </c>
      <c r="J109" s="10" t="s">
        <v>791</v>
      </c>
      <c r="K109" s="7" t="s">
        <v>677</v>
      </c>
      <c r="L109" s="7">
        <v>45100</v>
      </c>
      <c r="M109" s="7">
        <v>46927</v>
      </c>
      <c r="N109" s="7"/>
      <c r="O109" s="4" t="str">
        <f t="shared" ca="1" si="4"/>
        <v/>
      </c>
      <c r="P109" s="4" t="str">
        <f t="shared" ca="1" si="5"/>
        <v>Active</v>
      </c>
      <c r="Q109" s="4" t="str">
        <f t="shared" si="7"/>
        <v>PKWT</v>
      </c>
      <c r="R109" s="7" t="s">
        <v>2980</v>
      </c>
      <c r="S109" s="4" t="s">
        <v>2986</v>
      </c>
      <c r="T109" s="4" t="s">
        <v>657</v>
      </c>
      <c r="U109" s="4" t="s">
        <v>2997</v>
      </c>
      <c r="V109" s="4" t="s">
        <v>670</v>
      </c>
      <c r="W109" s="4" t="s">
        <v>916</v>
      </c>
      <c r="X109" s="4" t="str">
        <f>_xlfn.XLOOKUP(V109,Reference!$O:$O,Reference!$N:$N,"Tidak Ketemu")</f>
        <v>G13</v>
      </c>
      <c r="Y109" s="4" t="str">
        <f t="shared" si="6"/>
        <v>TK/1</v>
      </c>
      <c r="Z109" s="10" t="s">
        <v>1357</v>
      </c>
      <c r="AA109" s="10" t="s">
        <v>1358</v>
      </c>
      <c r="AB109" s="7" t="s">
        <v>1359</v>
      </c>
      <c r="AC109" s="7" t="s">
        <v>3816</v>
      </c>
      <c r="AD109" s="17" t="s">
        <v>1360</v>
      </c>
      <c r="AE109" s="6" t="s">
        <v>1356</v>
      </c>
      <c r="AF109" s="6" t="s">
        <v>864</v>
      </c>
      <c r="AG109" s="6" t="s">
        <v>694</v>
      </c>
      <c r="AN109" s="4"/>
    </row>
    <row r="110" spans="1:40" x14ac:dyDescent="0.35">
      <c r="A110" s="5">
        <v>202043904</v>
      </c>
      <c r="B110" s="5" t="s">
        <v>2274</v>
      </c>
      <c r="C110" s="5" t="s">
        <v>284</v>
      </c>
      <c r="D110" s="5" t="s">
        <v>595</v>
      </c>
      <c r="E110" s="6" t="s">
        <v>3443</v>
      </c>
      <c r="F110" s="7">
        <v>38238</v>
      </c>
      <c r="G110" s="10" t="s">
        <v>648</v>
      </c>
      <c r="H110" s="15" t="s">
        <v>666</v>
      </c>
      <c r="I110" s="4">
        <f>MIN(COUNTIFS('Data Family'!A:A,A110,'Data Family'!F:F,"Child")+COUNTIFS('Data Family'!A:A,A110,'Data Family'!F:F,"&lt;&gt;Child",'Data Family'!J:J,"Housewife")+COUNTIFS('Data Family'!A:A,A110,'Data Family'!F:F,"&lt;&gt;Child",'Data Family'!J:J,"Unemployment"),3)</f>
        <v>0</v>
      </c>
      <c r="J110" s="10" t="s">
        <v>791</v>
      </c>
      <c r="K110" s="7" t="s">
        <v>701</v>
      </c>
      <c r="L110" s="7">
        <v>44999</v>
      </c>
      <c r="M110" s="7">
        <v>46826</v>
      </c>
      <c r="N110" s="7"/>
      <c r="O110" s="4" t="str">
        <f t="shared" ca="1" si="4"/>
        <v/>
      </c>
      <c r="P110" s="4" t="str">
        <f t="shared" ca="1" si="5"/>
        <v>Active</v>
      </c>
      <c r="Q110" s="4" t="str">
        <f t="shared" si="7"/>
        <v>PKWT</v>
      </c>
      <c r="R110" s="7" t="s">
        <v>2980</v>
      </c>
      <c r="S110" s="4" t="s">
        <v>2986</v>
      </c>
      <c r="T110" s="4" t="s">
        <v>657</v>
      </c>
      <c r="U110" s="4" t="s">
        <v>2997</v>
      </c>
      <c r="V110" s="4" t="s">
        <v>670</v>
      </c>
      <c r="W110" s="4" t="s">
        <v>916</v>
      </c>
      <c r="X110" s="4" t="str">
        <f>_xlfn.XLOOKUP(V110,Reference!$O:$O,Reference!$N:$N,"Tidak Ketemu")</f>
        <v>G13</v>
      </c>
      <c r="Y110" s="4" t="str">
        <f t="shared" si="6"/>
        <v>TK/0</v>
      </c>
      <c r="Z110" s="10" t="s">
        <v>2342</v>
      </c>
      <c r="AA110" s="10" t="s">
        <v>2343</v>
      </c>
      <c r="AB110" s="7" t="s">
        <v>2344</v>
      </c>
      <c r="AC110" s="7" t="s">
        <v>3816</v>
      </c>
      <c r="AD110" s="17" t="s">
        <v>2345</v>
      </c>
      <c r="AE110" s="6" t="s">
        <v>2341</v>
      </c>
      <c r="AF110" s="6" t="s">
        <v>2275</v>
      </c>
      <c r="AG110" s="6" t="s">
        <v>778</v>
      </c>
      <c r="AN110" s="4"/>
    </row>
    <row r="111" spans="1:40" x14ac:dyDescent="0.35">
      <c r="A111" s="5">
        <v>201943483</v>
      </c>
      <c r="B111" s="5" t="s">
        <v>863</v>
      </c>
      <c r="C111" s="5" t="s">
        <v>306</v>
      </c>
      <c r="D111" s="5" t="s">
        <v>617</v>
      </c>
      <c r="E111" s="6" t="s">
        <v>3435</v>
      </c>
      <c r="F111" s="7">
        <v>38163</v>
      </c>
      <c r="G111" s="10" t="s">
        <v>648</v>
      </c>
      <c r="H111" s="15" t="s">
        <v>666</v>
      </c>
      <c r="I111" s="4">
        <f>MIN(COUNTIFS('Data Family'!A:A,A111,'Data Family'!F:F,"Child")+COUNTIFS('Data Family'!A:A,A111,'Data Family'!F:F,"&lt;&gt;Child",'Data Family'!J:J,"Housewife")+COUNTIFS('Data Family'!A:A,A111,'Data Family'!F:F,"&lt;&gt;Child",'Data Family'!J:J,"Unemployment"),3)</f>
        <v>0</v>
      </c>
      <c r="J111" s="10" t="s">
        <v>791</v>
      </c>
      <c r="K111" s="7" t="s">
        <v>691</v>
      </c>
      <c r="L111" s="7">
        <v>45309</v>
      </c>
      <c r="M111" s="7">
        <v>47136</v>
      </c>
      <c r="N111" s="7"/>
      <c r="O111" s="4" t="str">
        <f t="shared" ca="1" si="4"/>
        <v/>
      </c>
      <c r="P111" s="4" t="str">
        <f t="shared" ca="1" si="5"/>
        <v>Active</v>
      </c>
      <c r="Q111" s="4" t="str">
        <f t="shared" si="7"/>
        <v>PKWT</v>
      </c>
      <c r="R111" s="7" t="s">
        <v>2980</v>
      </c>
      <c r="S111" s="4" t="s">
        <v>2986</v>
      </c>
      <c r="T111" s="4" t="s">
        <v>657</v>
      </c>
      <c r="U111" s="4" t="s">
        <v>2997</v>
      </c>
      <c r="V111" s="4" t="s">
        <v>670</v>
      </c>
      <c r="W111" s="4" t="s">
        <v>916</v>
      </c>
      <c r="X111" s="4" t="str">
        <f>_xlfn.XLOOKUP(V111,Reference!$O:$O,Reference!$N:$N,"Tidak Ketemu")</f>
        <v>G13</v>
      </c>
      <c r="Y111" s="4" t="str">
        <f t="shared" si="6"/>
        <v>TK/0</v>
      </c>
      <c r="Z111" s="10" t="s">
        <v>2462</v>
      </c>
      <c r="AA111" s="10" t="s">
        <v>2463</v>
      </c>
      <c r="AB111" s="7" t="s">
        <v>2464</v>
      </c>
      <c r="AC111" s="7" t="s">
        <v>3816</v>
      </c>
      <c r="AD111" s="17" t="s">
        <v>2465</v>
      </c>
      <c r="AE111" s="6" t="s">
        <v>2461</v>
      </c>
      <c r="AF111" s="6" t="s">
        <v>864</v>
      </c>
      <c r="AG111" s="6" t="s">
        <v>680</v>
      </c>
      <c r="AN111" s="4"/>
    </row>
    <row r="112" spans="1:40" x14ac:dyDescent="0.35">
      <c r="A112" s="5">
        <v>202144394</v>
      </c>
      <c r="B112" s="5" t="s">
        <v>872</v>
      </c>
      <c r="C112" s="5" t="s">
        <v>308</v>
      </c>
      <c r="D112" s="5" t="s">
        <v>619</v>
      </c>
      <c r="E112" s="6" t="s">
        <v>3448</v>
      </c>
      <c r="F112" s="7">
        <v>32741</v>
      </c>
      <c r="G112" s="10" t="s">
        <v>648</v>
      </c>
      <c r="H112" s="15" t="s">
        <v>651</v>
      </c>
      <c r="I112" s="4">
        <f>MIN(COUNTIFS('Data Family'!A:A,A112,'Data Family'!F:F,"Child")+COUNTIFS('Data Family'!A:A,A112,'Data Family'!F:F,"&lt;&gt;Child",'Data Family'!J:J,"Housewife")+COUNTIFS('Data Family'!A:A,A112,'Data Family'!F:F,"&lt;&gt;Child",'Data Family'!J:J,"Unemployment"),3)</f>
        <v>2</v>
      </c>
      <c r="J112" s="10" t="s">
        <v>791</v>
      </c>
      <c r="K112" s="7" t="s">
        <v>677</v>
      </c>
      <c r="L112" s="7">
        <v>41837</v>
      </c>
      <c r="M112" s="7"/>
      <c r="N112" s="7"/>
      <c r="O112" s="4" t="str">
        <f t="shared" ca="1" si="4"/>
        <v/>
      </c>
      <c r="P112" s="4" t="str">
        <f t="shared" ca="1" si="5"/>
        <v>Active</v>
      </c>
      <c r="Q112" s="4" t="str">
        <f t="shared" si="7"/>
        <v>PKWTT</v>
      </c>
      <c r="R112" s="7" t="s">
        <v>2980</v>
      </c>
      <c r="S112" s="4" t="s">
        <v>2986</v>
      </c>
      <c r="T112" s="4" t="s">
        <v>657</v>
      </c>
      <c r="U112" s="4" t="s">
        <v>2996</v>
      </c>
      <c r="V112" s="4" t="s">
        <v>706</v>
      </c>
      <c r="W112" s="4" t="s">
        <v>3060</v>
      </c>
      <c r="X112" s="4" t="str">
        <f>_xlfn.XLOOKUP(V112,Reference!$O:$O,Reference!$N:$N,"Tidak Ketemu")</f>
        <v>G08</v>
      </c>
      <c r="Y112" s="4" t="str">
        <f t="shared" si="6"/>
        <v>K/2</v>
      </c>
      <c r="Z112" s="10" t="s">
        <v>2474</v>
      </c>
      <c r="AA112" s="10" t="s">
        <v>2475</v>
      </c>
      <c r="AB112" s="7" t="s">
        <v>2476</v>
      </c>
      <c r="AC112" s="7" t="s">
        <v>3816</v>
      </c>
      <c r="AD112" s="17" t="s">
        <v>2477</v>
      </c>
      <c r="AE112" s="6" t="s">
        <v>2473</v>
      </c>
      <c r="AF112" s="6" t="s">
        <v>874</v>
      </c>
      <c r="AG112" s="6" t="s">
        <v>818</v>
      </c>
      <c r="AN112" s="4"/>
    </row>
    <row r="113" spans="1:40" x14ac:dyDescent="0.35">
      <c r="A113" s="5">
        <v>202043986</v>
      </c>
      <c r="B113" s="5" t="s">
        <v>921</v>
      </c>
      <c r="C113" s="5" t="s">
        <v>166</v>
      </c>
      <c r="D113" s="5" t="s">
        <v>477</v>
      </c>
      <c r="E113" s="6" t="s">
        <v>3449</v>
      </c>
      <c r="F113" s="7">
        <v>38005</v>
      </c>
      <c r="G113" s="10" t="s">
        <v>648</v>
      </c>
      <c r="H113" s="15" t="s">
        <v>666</v>
      </c>
      <c r="I113" s="4">
        <f>MIN(COUNTIFS('Data Family'!A:A,A113,'Data Family'!F:F,"Child")+COUNTIFS('Data Family'!A:A,A113,'Data Family'!F:F,"&lt;&gt;Child",'Data Family'!J:J,"Housewife")+COUNTIFS('Data Family'!A:A,A113,'Data Family'!F:F,"&lt;&gt;Child",'Data Family'!J:J,"Unemployment"),3)</f>
        <v>0</v>
      </c>
      <c r="J113" s="10" t="s">
        <v>791</v>
      </c>
      <c r="K113" s="7" t="s">
        <v>691</v>
      </c>
      <c r="L113" s="7">
        <v>45812</v>
      </c>
      <c r="M113" s="7">
        <v>47638</v>
      </c>
      <c r="N113" s="7"/>
      <c r="O113" s="4" t="str">
        <f t="shared" ca="1" si="4"/>
        <v/>
      </c>
      <c r="P113" s="4" t="str">
        <f t="shared" ca="1" si="5"/>
        <v>Active</v>
      </c>
      <c r="Q113" s="4" t="str">
        <f t="shared" si="7"/>
        <v>PKWT</v>
      </c>
      <c r="R113" s="7" t="s">
        <v>2980</v>
      </c>
      <c r="S113" s="4" t="s">
        <v>2986</v>
      </c>
      <c r="T113" s="4" t="s">
        <v>657</v>
      </c>
      <c r="U113" s="4" t="s">
        <v>2997</v>
      </c>
      <c r="V113" s="4" t="s">
        <v>670</v>
      </c>
      <c r="W113" s="4" t="s">
        <v>916</v>
      </c>
      <c r="X113" s="4" t="str">
        <f>_xlfn.XLOOKUP(V113,Reference!$O:$O,Reference!$N:$N,"Tidak Ketemu")</f>
        <v>G13</v>
      </c>
      <c r="Y113" s="4" t="str">
        <f t="shared" si="6"/>
        <v>TK/0</v>
      </c>
      <c r="Z113" s="10" t="s">
        <v>1679</v>
      </c>
      <c r="AA113" s="10" t="s">
        <v>1680</v>
      </c>
      <c r="AB113" s="7" t="s">
        <v>1681</v>
      </c>
      <c r="AC113" s="7" t="s">
        <v>3816</v>
      </c>
      <c r="AD113" s="17" t="s">
        <v>1682</v>
      </c>
      <c r="AE113" s="6" t="s">
        <v>1678</v>
      </c>
      <c r="AF113" s="6" t="s">
        <v>922</v>
      </c>
      <c r="AG113" s="6" t="s">
        <v>818</v>
      </c>
      <c r="AN113" s="4"/>
    </row>
    <row r="114" spans="1:40" x14ac:dyDescent="0.35">
      <c r="A114" s="5">
        <v>201843377</v>
      </c>
      <c r="B114" s="5" t="s">
        <v>1434</v>
      </c>
      <c r="C114" s="5" t="s">
        <v>127</v>
      </c>
      <c r="D114" s="5" t="s">
        <v>438</v>
      </c>
      <c r="E114" s="6" t="s">
        <v>809</v>
      </c>
      <c r="F114" s="7">
        <v>38284</v>
      </c>
      <c r="G114" s="10" t="s">
        <v>648</v>
      </c>
      <c r="H114" s="15" t="s">
        <v>666</v>
      </c>
      <c r="I114" s="4">
        <f>MIN(COUNTIFS('Data Family'!A:A,A114,'Data Family'!F:F,"Child")+COUNTIFS('Data Family'!A:A,A114,'Data Family'!F:F,"&lt;&gt;Child",'Data Family'!J:J,"Housewife")+COUNTIFS('Data Family'!A:A,A114,'Data Family'!F:F,"&lt;&gt;Child",'Data Family'!J:J,"Unemployment"),3)</f>
        <v>0</v>
      </c>
      <c r="J114" s="10" t="s">
        <v>791</v>
      </c>
      <c r="K114" s="7" t="s">
        <v>691</v>
      </c>
      <c r="L114" s="7">
        <v>45203</v>
      </c>
      <c r="M114" s="7">
        <v>46299</v>
      </c>
      <c r="N114" s="7"/>
      <c r="O114" s="4" t="str">
        <f t="shared" ca="1" si="4"/>
        <v/>
      </c>
      <c r="P114" s="4" t="str">
        <f t="shared" ca="1" si="5"/>
        <v>Active</v>
      </c>
      <c r="Q114" s="4" t="str">
        <f t="shared" si="7"/>
        <v>PKWT</v>
      </c>
      <c r="R114" s="7" t="s">
        <v>2980</v>
      </c>
      <c r="S114" s="4" t="s">
        <v>2986</v>
      </c>
      <c r="T114" s="4" t="s">
        <v>657</v>
      </c>
      <c r="U114" s="4" t="s">
        <v>2997</v>
      </c>
      <c r="V114" s="4" t="s">
        <v>670</v>
      </c>
      <c r="W114" s="4" t="s">
        <v>3056</v>
      </c>
      <c r="X114" s="4" t="str">
        <f>_xlfn.XLOOKUP(V114,Reference!$O:$O,Reference!$N:$N,"Tidak Ketemu")</f>
        <v>G13</v>
      </c>
      <c r="Y114" s="4" t="str">
        <f t="shared" si="6"/>
        <v>TK/0</v>
      </c>
      <c r="Z114" s="10" t="s">
        <v>1437</v>
      </c>
      <c r="AA114" s="10" t="s">
        <v>1438</v>
      </c>
      <c r="AB114" s="7" t="s">
        <v>1439</v>
      </c>
      <c r="AC114" s="7" t="s">
        <v>3816</v>
      </c>
      <c r="AD114" s="17" t="s">
        <v>1440</v>
      </c>
      <c r="AE114" s="6" t="s">
        <v>1435</v>
      </c>
      <c r="AF114" s="6" t="s">
        <v>1436</v>
      </c>
      <c r="AG114" s="6" t="s">
        <v>704</v>
      </c>
      <c r="AN114" s="4"/>
    </row>
    <row r="115" spans="1:40" x14ac:dyDescent="0.35">
      <c r="A115" s="5">
        <v>201843399</v>
      </c>
      <c r="B115" s="5" t="s">
        <v>3025</v>
      </c>
      <c r="C115" s="5" t="s">
        <v>281</v>
      </c>
      <c r="D115" s="5" t="s">
        <v>592</v>
      </c>
      <c r="E115" s="6" t="s">
        <v>689</v>
      </c>
      <c r="F115" s="7">
        <v>33079</v>
      </c>
      <c r="G115" s="10" t="s">
        <v>648</v>
      </c>
      <c r="H115" s="15" t="s">
        <v>651</v>
      </c>
      <c r="I115" s="4">
        <f>MIN(COUNTIFS('Data Family'!A:A,A115,'Data Family'!F:F,"Child")+COUNTIFS('Data Family'!A:A,A115,'Data Family'!F:F,"&lt;&gt;Child",'Data Family'!J:J,"Housewife")+COUNTIFS('Data Family'!A:A,A115,'Data Family'!F:F,"&lt;&gt;Child",'Data Family'!J:J,"Unemployment"),3)</f>
        <v>0</v>
      </c>
      <c r="J115" s="10" t="s">
        <v>791</v>
      </c>
      <c r="K115" s="7" t="s">
        <v>652</v>
      </c>
      <c r="L115" s="7">
        <v>42669</v>
      </c>
      <c r="M115" s="7"/>
      <c r="N115" s="7"/>
      <c r="O115" s="4" t="str">
        <f t="shared" ca="1" si="4"/>
        <v/>
      </c>
      <c r="P115" s="4" t="str">
        <f t="shared" ca="1" si="5"/>
        <v>Active</v>
      </c>
      <c r="Q115" s="4" t="str">
        <f t="shared" si="7"/>
        <v>PKWTT</v>
      </c>
      <c r="R115" s="7" t="s">
        <v>2980</v>
      </c>
      <c r="S115" s="4" t="s">
        <v>2986</v>
      </c>
      <c r="T115" s="4" t="s">
        <v>657</v>
      </c>
      <c r="U115" s="4" t="s">
        <v>2996</v>
      </c>
      <c r="V115" s="4" t="s">
        <v>706</v>
      </c>
      <c r="W115" s="4" t="s">
        <v>3060</v>
      </c>
      <c r="X115" s="4" t="str">
        <f>_xlfn.XLOOKUP(V115,Reference!$O:$O,Reference!$N:$N,"Tidak Ketemu")</f>
        <v>G08</v>
      </c>
      <c r="Y115" s="4" t="str">
        <f t="shared" si="6"/>
        <v>K/0</v>
      </c>
      <c r="Z115" s="10" t="s">
        <v>2327</v>
      </c>
      <c r="AA115" s="10" t="s">
        <v>2328</v>
      </c>
      <c r="AB115" s="7" t="s">
        <v>2329</v>
      </c>
      <c r="AC115" s="7" t="s">
        <v>3816</v>
      </c>
      <c r="AD115" s="17" t="s">
        <v>2330</v>
      </c>
      <c r="AE115" s="6" t="s">
        <v>2326</v>
      </c>
      <c r="AF115" s="6" t="s">
        <v>2231</v>
      </c>
      <c r="AG115" s="6" t="s">
        <v>818</v>
      </c>
      <c r="AN115" s="4"/>
    </row>
    <row r="116" spans="1:40" x14ac:dyDescent="0.35">
      <c r="A116" s="5">
        <v>201742743</v>
      </c>
      <c r="B116" s="5" t="s">
        <v>1280</v>
      </c>
      <c r="C116" s="5" t="s">
        <v>294</v>
      </c>
      <c r="D116" s="5" t="s">
        <v>605</v>
      </c>
      <c r="E116" s="6" t="s">
        <v>809</v>
      </c>
      <c r="F116" s="7">
        <v>38021</v>
      </c>
      <c r="G116" s="10" t="s">
        <v>648</v>
      </c>
      <c r="H116" s="15" t="s">
        <v>666</v>
      </c>
      <c r="I116" s="4">
        <f>MIN(COUNTIFS('Data Family'!A:A,A116,'Data Family'!F:F,"Child")+COUNTIFS('Data Family'!A:A,A116,'Data Family'!F:F,"&lt;&gt;Child",'Data Family'!J:J,"Housewife")+COUNTIFS('Data Family'!A:A,A116,'Data Family'!F:F,"&lt;&gt;Child",'Data Family'!J:J,"Unemployment"),3)</f>
        <v>0</v>
      </c>
      <c r="J116" s="10" t="s">
        <v>791</v>
      </c>
      <c r="K116" s="7" t="s">
        <v>701</v>
      </c>
      <c r="L116" s="7">
        <v>44934</v>
      </c>
      <c r="M116" s="7">
        <v>46760</v>
      </c>
      <c r="N116" s="7"/>
      <c r="O116" s="4" t="str">
        <f t="shared" ca="1" si="4"/>
        <v/>
      </c>
      <c r="P116" s="4" t="str">
        <f t="shared" ca="1" si="5"/>
        <v>Active</v>
      </c>
      <c r="Q116" s="4" t="str">
        <f t="shared" si="7"/>
        <v>PKWT</v>
      </c>
      <c r="R116" s="7" t="s">
        <v>2980</v>
      </c>
      <c r="S116" s="4" t="s">
        <v>2986</v>
      </c>
      <c r="T116" s="4" t="s">
        <v>657</v>
      </c>
      <c r="U116" s="4" t="s">
        <v>2997</v>
      </c>
      <c r="V116" s="4" t="s">
        <v>670</v>
      </c>
      <c r="W116" s="4" t="s">
        <v>3056</v>
      </c>
      <c r="X116" s="4" t="str">
        <f>_xlfn.XLOOKUP(V116,Reference!$O:$O,Reference!$N:$N,"Tidak Ketemu")</f>
        <v>G13</v>
      </c>
      <c r="Y116" s="4" t="str">
        <f t="shared" si="6"/>
        <v>TK/0</v>
      </c>
      <c r="Z116" s="10" t="s">
        <v>2400</v>
      </c>
      <c r="AA116" s="10" t="s">
        <v>2401</v>
      </c>
      <c r="AB116" s="7" t="s">
        <v>2402</v>
      </c>
      <c r="AC116" s="7" t="s">
        <v>3816</v>
      </c>
      <c r="AD116" s="17" t="s">
        <v>2403</v>
      </c>
      <c r="AE116" s="6" t="s">
        <v>2399</v>
      </c>
      <c r="AF116" s="6" t="s">
        <v>1281</v>
      </c>
      <c r="AG116" s="6" t="s">
        <v>731</v>
      </c>
      <c r="AN116" s="4"/>
    </row>
    <row r="117" spans="1:40" x14ac:dyDescent="0.35">
      <c r="A117" s="5">
        <v>202445481</v>
      </c>
      <c r="B117" s="5" t="s">
        <v>2587</v>
      </c>
      <c r="C117" s="5" t="s">
        <v>330</v>
      </c>
      <c r="D117" s="5" t="s">
        <v>641</v>
      </c>
      <c r="E117" s="6" t="s">
        <v>3426</v>
      </c>
      <c r="F117" s="7">
        <v>38203</v>
      </c>
      <c r="G117" s="10" t="s">
        <v>648</v>
      </c>
      <c r="H117" s="15" t="s">
        <v>666</v>
      </c>
      <c r="I117" s="4">
        <f>MIN(COUNTIFS('Data Family'!A:A,A117,'Data Family'!F:F,"Child")+COUNTIFS('Data Family'!A:A,A117,'Data Family'!F:F,"&lt;&gt;Child",'Data Family'!J:J,"Housewife")+COUNTIFS('Data Family'!A:A,A117,'Data Family'!F:F,"&lt;&gt;Child",'Data Family'!J:J,"Unemployment"),3)</f>
        <v>0</v>
      </c>
      <c r="J117" s="10" t="s">
        <v>3001</v>
      </c>
      <c r="K117" s="7" t="s">
        <v>691</v>
      </c>
      <c r="L117" s="7">
        <v>45481</v>
      </c>
      <c r="M117" s="7">
        <v>46576</v>
      </c>
      <c r="N117" s="7"/>
      <c r="O117" s="4" t="str">
        <f t="shared" ca="1" si="4"/>
        <v/>
      </c>
      <c r="P117" s="4" t="str">
        <f t="shared" ca="1" si="5"/>
        <v>Active</v>
      </c>
      <c r="Q117" s="4" t="str">
        <f t="shared" si="7"/>
        <v>PKWT</v>
      </c>
      <c r="R117" s="7" t="s">
        <v>2980</v>
      </c>
      <c r="S117" s="4" t="s">
        <v>2986</v>
      </c>
      <c r="T117" s="4" t="s">
        <v>657</v>
      </c>
      <c r="U117" s="4" t="s">
        <v>2998</v>
      </c>
      <c r="V117" s="4" t="s">
        <v>670</v>
      </c>
      <c r="W117" s="4" t="s">
        <v>3821</v>
      </c>
      <c r="X117" s="4" t="str">
        <f>_xlfn.XLOOKUP(V117,Reference!$O:$O,Reference!$N:$N,"Tidak Ketemu")</f>
        <v>G13</v>
      </c>
      <c r="Y117" s="4" t="str">
        <f t="shared" si="6"/>
        <v>TK/0</v>
      </c>
      <c r="Z117" s="10" t="s">
        <v>2590</v>
      </c>
      <c r="AA117" s="10" t="s">
        <v>2591</v>
      </c>
      <c r="AB117" s="7" t="s">
        <v>2592</v>
      </c>
      <c r="AC117" s="7" t="s">
        <v>3816</v>
      </c>
      <c r="AD117" s="17" t="s">
        <v>2593</v>
      </c>
      <c r="AE117" s="6" t="s">
        <v>2588</v>
      </c>
      <c r="AF117" s="6" t="s">
        <v>2589</v>
      </c>
      <c r="AG117" s="6" t="s">
        <v>704</v>
      </c>
      <c r="AN117" s="4"/>
    </row>
    <row r="118" spans="1:40" x14ac:dyDescent="0.35">
      <c r="A118" s="5">
        <v>201843238</v>
      </c>
      <c r="B118" s="5" t="s">
        <v>1527</v>
      </c>
      <c r="C118" s="5" t="s">
        <v>277</v>
      </c>
      <c r="D118" s="5" t="s">
        <v>588</v>
      </c>
      <c r="E118" s="6" t="s">
        <v>3443</v>
      </c>
      <c r="F118" s="7">
        <v>33264</v>
      </c>
      <c r="G118" s="10" t="s">
        <v>648</v>
      </c>
      <c r="H118" s="15" t="s">
        <v>2678</v>
      </c>
      <c r="I118" s="4">
        <f>MIN(COUNTIFS('Data Family'!A:A,A118,'Data Family'!F:F,"Child")+COUNTIFS('Data Family'!A:A,A118,'Data Family'!F:F,"&lt;&gt;Child",'Data Family'!J:J,"Housewife")+COUNTIFS('Data Family'!A:A,A118,'Data Family'!F:F,"&lt;&gt;Child",'Data Family'!J:J,"Unemployment"),3)</f>
        <v>1</v>
      </c>
      <c r="J118" s="10" t="s">
        <v>791</v>
      </c>
      <c r="K118" s="7" t="s">
        <v>652</v>
      </c>
      <c r="L118" s="7">
        <v>43238</v>
      </c>
      <c r="M118" s="7"/>
      <c r="N118" s="7"/>
      <c r="O118" s="4" t="str">
        <f t="shared" ca="1" si="4"/>
        <v/>
      </c>
      <c r="P118" s="4" t="str">
        <f t="shared" ca="1" si="5"/>
        <v>Active</v>
      </c>
      <c r="Q118" s="4" t="str">
        <f t="shared" si="7"/>
        <v>PKWTT</v>
      </c>
      <c r="R118" s="7" t="s">
        <v>2980</v>
      </c>
      <c r="S118" s="4" t="s">
        <v>2986</v>
      </c>
      <c r="T118" s="4" t="s">
        <v>657</v>
      </c>
      <c r="U118" s="4" t="s">
        <v>2996</v>
      </c>
      <c r="V118" s="4" t="s">
        <v>706</v>
      </c>
      <c r="W118" s="4" t="s">
        <v>3060</v>
      </c>
      <c r="X118" s="4" t="str">
        <f>_xlfn.XLOOKUP(V118,Reference!$O:$O,Reference!$N:$N,"Tidak Ketemu")</f>
        <v>G08</v>
      </c>
      <c r="Y118" s="4" t="str">
        <f t="shared" si="6"/>
        <v>TK/1</v>
      </c>
      <c r="Z118" s="10" t="s">
        <v>2307</v>
      </c>
      <c r="AA118" s="10" t="s">
        <v>2308</v>
      </c>
      <c r="AB118" s="7" t="s">
        <v>2309</v>
      </c>
      <c r="AC118" s="7" t="s">
        <v>3816</v>
      </c>
      <c r="AD118" s="17" t="s">
        <v>2310</v>
      </c>
      <c r="AE118" s="6" t="s">
        <v>2306</v>
      </c>
      <c r="AF118" s="6" t="s">
        <v>1528</v>
      </c>
      <c r="AG118" s="6" t="s">
        <v>731</v>
      </c>
      <c r="AN118" s="4"/>
    </row>
    <row r="119" spans="1:40" x14ac:dyDescent="0.35">
      <c r="A119" s="5">
        <v>202345221</v>
      </c>
      <c r="B119" s="5" t="s">
        <v>1375</v>
      </c>
      <c r="C119" s="5" t="s">
        <v>118</v>
      </c>
      <c r="D119" s="5" t="s">
        <v>429</v>
      </c>
      <c r="E119" s="6" t="s">
        <v>3427</v>
      </c>
      <c r="F119" s="7">
        <v>37783</v>
      </c>
      <c r="G119" s="10" t="s">
        <v>648</v>
      </c>
      <c r="H119" s="15" t="s">
        <v>666</v>
      </c>
      <c r="I119" s="4">
        <f>MIN(COUNTIFS('Data Family'!A:A,A119,'Data Family'!F:F,"Child")+COUNTIFS('Data Family'!A:A,A119,'Data Family'!F:F,"&lt;&gt;Child",'Data Family'!J:J,"Housewife")+COUNTIFS('Data Family'!A:A,A119,'Data Family'!F:F,"&lt;&gt;Child",'Data Family'!J:J,"Unemployment"),3)</f>
        <v>0</v>
      </c>
      <c r="J119" s="10" t="s">
        <v>791</v>
      </c>
      <c r="K119" s="7" t="s">
        <v>691</v>
      </c>
      <c r="L119" s="7">
        <v>45221</v>
      </c>
      <c r="M119" s="7">
        <v>46317</v>
      </c>
      <c r="N119" s="7"/>
      <c r="O119" s="4" t="str">
        <f t="shared" ca="1" si="4"/>
        <v/>
      </c>
      <c r="P119" s="4" t="str">
        <f t="shared" ca="1" si="5"/>
        <v>Active</v>
      </c>
      <c r="Q119" s="4" t="str">
        <f t="shared" si="7"/>
        <v>PKWT</v>
      </c>
      <c r="R119" s="7" t="s">
        <v>2980</v>
      </c>
      <c r="S119" s="4" t="s">
        <v>2986</v>
      </c>
      <c r="T119" s="4" t="s">
        <v>657</v>
      </c>
      <c r="U119" s="4" t="s">
        <v>2998</v>
      </c>
      <c r="V119" s="4" t="s">
        <v>670</v>
      </c>
      <c r="W119" s="4" t="s">
        <v>3821</v>
      </c>
      <c r="X119" s="4" t="str">
        <f>_xlfn.XLOOKUP(V119,Reference!$O:$O,Reference!$N:$N,"Tidak Ketemu")</f>
        <v>G13</v>
      </c>
      <c r="Y119" s="4" t="str">
        <f t="shared" si="6"/>
        <v>TK/0</v>
      </c>
      <c r="Z119" s="10" t="s">
        <v>1378</v>
      </c>
      <c r="AA119" s="10" t="s">
        <v>1379</v>
      </c>
      <c r="AB119" s="7" t="s">
        <v>1380</v>
      </c>
      <c r="AC119" s="7" t="s">
        <v>3816</v>
      </c>
      <c r="AD119" s="17" t="s">
        <v>1381</v>
      </c>
      <c r="AE119" s="6" t="s">
        <v>1376</v>
      </c>
      <c r="AF119" s="6" t="s">
        <v>1377</v>
      </c>
      <c r="AG119" s="6" t="s">
        <v>680</v>
      </c>
      <c r="AN119" s="4"/>
    </row>
    <row r="120" spans="1:40" x14ac:dyDescent="0.35">
      <c r="A120" s="5">
        <v>201743012</v>
      </c>
      <c r="B120" s="5" t="s">
        <v>894</v>
      </c>
      <c r="C120" s="5" t="s">
        <v>52</v>
      </c>
      <c r="D120" s="5" t="s">
        <v>363</v>
      </c>
      <c r="E120" s="6" t="s">
        <v>809</v>
      </c>
      <c r="F120" s="7">
        <v>37335</v>
      </c>
      <c r="G120" s="10" t="s">
        <v>676</v>
      </c>
      <c r="H120" s="15" t="s">
        <v>666</v>
      </c>
      <c r="I120" s="4">
        <f>MIN(COUNTIFS('Data Family'!A:A,A120,'Data Family'!F:F,"Child")+COUNTIFS('Data Family'!A:A,A120,'Data Family'!F:F,"&lt;&gt;Child",'Data Family'!J:J,"Housewife")+COUNTIFS('Data Family'!A:A,A120,'Data Family'!F:F,"&lt;&gt;Child",'Data Family'!J:J,"Unemployment"),3)</f>
        <v>0</v>
      </c>
      <c r="J120" s="10" t="s">
        <v>791</v>
      </c>
      <c r="K120" s="7" t="s">
        <v>691</v>
      </c>
      <c r="L120" s="7">
        <v>45934</v>
      </c>
      <c r="M120" s="7">
        <v>47030</v>
      </c>
      <c r="N120" s="7"/>
      <c r="O120" s="4" t="str">
        <f t="shared" ca="1" si="4"/>
        <v/>
      </c>
      <c r="P120" s="4" t="str">
        <f t="shared" ca="1" si="5"/>
        <v>Active</v>
      </c>
      <c r="Q120" s="4" t="str">
        <f t="shared" si="7"/>
        <v>PKWT</v>
      </c>
      <c r="R120" s="7" t="s">
        <v>2980</v>
      </c>
      <c r="S120" s="4" t="s">
        <v>2986</v>
      </c>
      <c r="T120" s="4" t="s">
        <v>657</v>
      </c>
      <c r="U120" s="4" t="s">
        <v>2996</v>
      </c>
      <c r="V120" s="4" t="s">
        <v>2640</v>
      </c>
      <c r="W120" s="4" t="s">
        <v>658</v>
      </c>
      <c r="X120" s="4" t="str">
        <f>_xlfn.XLOOKUP(V120,Reference!$O:$O,Reference!$N:$N,"Tidak Ketemu")</f>
        <v>G12</v>
      </c>
      <c r="Y120" s="4" t="str">
        <f t="shared" si="6"/>
        <v>TK/0</v>
      </c>
      <c r="Z120" s="10" t="s">
        <v>897</v>
      </c>
      <c r="AA120" s="10" t="s">
        <v>898</v>
      </c>
      <c r="AB120" s="7" t="s">
        <v>899</v>
      </c>
      <c r="AC120" s="7" t="s">
        <v>3816</v>
      </c>
      <c r="AD120" s="17" t="s">
        <v>900</v>
      </c>
      <c r="AE120" s="6" t="s">
        <v>895</v>
      </c>
      <c r="AF120" s="6" t="s">
        <v>896</v>
      </c>
      <c r="AG120" s="6" t="s">
        <v>656</v>
      </c>
      <c r="AN120" s="4"/>
    </row>
    <row r="121" spans="1:40" x14ac:dyDescent="0.35">
      <c r="A121" s="5">
        <v>201943716</v>
      </c>
      <c r="B121" s="5" t="s">
        <v>1441</v>
      </c>
      <c r="C121" s="5" t="s">
        <v>161</v>
      </c>
      <c r="D121" s="5" t="s">
        <v>472</v>
      </c>
      <c r="E121" s="6" t="s">
        <v>3449</v>
      </c>
      <c r="F121" s="7">
        <v>38345</v>
      </c>
      <c r="G121" s="10" t="s">
        <v>648</v>
      </c>
      <c r="H121" s="15" t="s">
        <v>666</v>
      </c>
      <c r="I121" s="4">
        <f>MIN(COUNTIFS('Data Family'!A:A,A121,'Data Family'!F:F,"Child")+COUNTIFS('Data Family'!A:A,A121,'Data Family'!F:F,"&lt;&gt;Child",'Data Family'!J:J,"Housewife")+COUNTIFS('Data Family'!A:A,A121,'Data Family'!F:F,"&lt;&gt;Child",'Data Family'!J:J,"Unemployment"),3)</f>
        <v>0</v>
      </c>
      <c r="J121" s="10" t="s">
        <v>791</v>
      </c>
      <c r="K121" s="7" t="s">
        <v>701</v>
      </c>
      <c r="L121" s="7">
        <v>45543</v>
      </c>
      <c r="M121" s="7">
        <v>46638</v>
      </c>
      <c r="N121" s="7"/>
      <c r="O121" s="4" t="str">
        <f t="shared" ca="1" si="4"/>
        <v/>
      </c>
      <c r="P121" s="4" t="str">
        <f t="shared" ca="1" si="5"/>
        <v>Active</v>
      </c>
      <c r="Q121" s="4" t="str">
        <f t="shared" si="7"/>
        <v>PKWT</v>
      </c>
      <c r="R121" s="7" t="s">
        <v>2980</v>
      </c>
      <c r="S121" s="4" t="s">
        <v>2986</v>
      </c>
      <c r="T121" s="4" t="s">
        <v>657</v>
      </c>
      <c r="U121" s="4" t="s">
        <v>2998</v>
      </c>
      <c r="V121" s="4" t="s">
        <v>670</v>
      </c>
      <c r="W121" s="4" t="s">
        <v>3821</v>
      </c>
      <c r="X121" s="4" t="str">
        <f>_xlfn.XLOOKUP(V121,Reference!$O:$O,Reference!$N:$N,"Tidak Ketemu")</f>
        <v>G13</v>
      </c>
      <c r="Y121" s="4" t="str">
        <f t="shared" si="6"/>
        <v>TK/0</v>
      </c>
      <c r="Z121" s="10" t="s">
        <v>1647</v>
      </c>
      <c r="AA121" s="10" t="s">
        <v>1648</v>
      </c>
      <c r="AB121" s="7" t="s">
        <v>1649</v>
      </c>
      <c r="AC121" s="7" t="s">
        <v>3816</v>
      </c>
      <c r="AD121" s="17" t="s">
        <v>1650</v>
      </c>
      <c r="AE121" s="6" t="s">
        <v>1646</v>
      </c>
      <c r="AF121" s="6" t="s">
        <v>1442</v>
      </c>
      <c r="AG121" s="6" t="s">
        <v>818</v>
      </c>
      <c r="AN121" s="4"/>
    </row>
    <row r="122" spans="1:40" x14ac:dyDescent="0.35">
      <c r="A122" s="5">
        <v>202044015</v>
      </c>
      <c r="B122" s="5" t="s">
        <v>1604</v>
      </c>
      <c r="C122" s="5" t="s">
        <v>168</v>
      </c>
      <c r="D122" s="5" t="s">
        <v>479</v>
      </c>
      <c r="E122" s="6" t="s">
        <v>689</v>
      </c>
      <c r="F122" s="7">
        <v>38191</v>
      </c>
      <c r="G122" s="10" t="s">
        <v>648</v>
      </c>
      <c r="H122" s="15" t="s">
        <v>666</v>
      </c>
      <c r="I122" s="4">
        <f>MIN(COUNTIFS('Data Family'!A:A,A122,'Data Family'!F:F,"Child")+COUNTIFS('Data Family'!A:A,A122,'Data Family'!F:F,"&lt;&gt;Child",'Data Family'!J:J,"Housewife")+COUNTIFS('Data Family'!A:A,A122,'Data Family'!F:F,"&lt;&gt;Child",'Data Family'!J:J,"Unemployment"),3)</f>
        <v>0</v>
      </c>
      <c r="J122" s="10" t="s">
        <v>791</v>
      </c>
      <c r="K122" s="7" t="s">
        <v>701</v>
      </c>
      <c r="L122" s="7">
        <v>45841</v>
      </c>
      <c r="M122" s="7">
        <v>47667</v>
      </c>
      <c r="N122" s="7"/>
      <c r="O122" s="4" t="str">
        <f t="shared" ca="1" si="4"/>
        <v/>
      </c>
      <c r="P122" s="4" t="str">
        <f t="shared" ca="1" si="5"/>
        <v>Active</v>
      </c>
      <c r="Q122" s="4" t="str">
        <f t="shared" si="7"/>
        <v>PKWT</v>
      </c>
      <c r="R122" s="7" t="s">
        <v>2980</v>
      </c>
      <c r="S122" s="4" t="s">
        <v>2986</v>
      </c>
      <c r="T122" s="4" t="s">
        <v>657</v>
      </c>
      <c r="U122" s="4" t="s">
        <v>2996</v>
      </c>
      <c r="V122" s="4" t="s">
        <v>670</v>
      </c>
      <c r="W122" s="4" t="s">
        <v>669</v>
      </c>
      <c r="X122" s="4" t="str">
        <f>_xlfn.XLOOKUP(V122,Reference!$O:$O,Reference!$N:$N,"Tidak Ketemu")</f>
        <v>G13</v>
      </c>
      <c r="Y122" s="4" t="str">
        <f t="shared" si="6"/>
        <v>TK/0</v>
      </c>
      <c r="Z122" s="10" t="s">
        <v>1691</v>
      </c>
      <c r="AA122" s="10" t="s">
        <v>1692</v>
      </c>
      <c r="AB122" s="7" t="s">
        <v>1693</v>
      </c>
      <c r="AC122" s="7" t="s">
        <v>3816</v>
      </c>
      <c r="AD122" s="17" t="s">
        <v>1694</v>
      </c>
      <c r="AE122" s="6" t="s">
        <v>1690</v>
      </c>
      <c r="AF122" s="6" t="s">
        <v>1606</v>
      </c>
      <c r="AG122" s="6" t="s">
        <v>694</v>
      </c>
      <c r="AN122" s="4"/>
    </row>
    <row r="123" spans="1:40" x14ac:dyDescent="0.35">
      <c r="A123" s="5">
        <v>201642592</v>
      </c>
      <c r="B123" s="5" t="s">
        <v>1750</v>
      </c>
      <c r="C123" s="5" t="s">
        <v>245</v>
      </c>
      <c r="D123" s="5" t="s">
        <v>556</v>
      </c>
      <c r="E123" s="6" t="s">
        <v>664</v>
      </c>
      <c r="F123" s="7">
        <v>37761</v>
      </c>
      <c r="G123" s="10" t="s">
        <v>648</v>
      </c>
      <c r="H123" s="15" t="s">
        <v>666</v>
      </c>
      <c r="I123" s="4">
        <f>MIN(COUNTIFS('Data Family'!A:A,A123,'Data Family'!F:F,"Child")+COUNTIFS('Data Family'!A:A,A123,'Data Family'!F:F,"&lt;&gt;Child",'Data Family'!J:J,"Housewife")+COUNTIFS('Data Family'!A:A,A123,'Data Family'!F:F,"&lt;&gt;Child",'Data Family'!J:J,"Unemployment"),3)</f>
        <v>0</v>
      </c>
      <c r="J123" s="10" t="s">
        <v>791</v>
      </c>
      <c r="K123" s="7" t="s">
        <v>701</v>
      </c>
      <c r="L123" s="7">
        <v>45148</v>
      </c>
      <c r="M123" s="7">
        <v>46975</v>
      </c>
      <c r="N123" s="7"/>
      <c r="O123" s="4" t="str">
        <f t="shared" ca="1" si="4"/>
        <v/>
      </c>
      <c r="P123" s="4" t="str">
        <f t="shared" ca="1" si="5"/>
        <v>Active</v>
      </c>
      <c r="Q123" s="4" t="str">
        <f t="shared" si="7"/>
        <v>PKWT</v>
      </c>
      <c r="R123" s="7" t="s">
        <v>2980</v>
      </c>
      <c r="S123" s="4" t="s">
        <v>2986</v>
      </c>
      <c r="T123" s="4" t="s">
        <v>657</v>
      </c>
      <c r="U123" s="4" t="s">
        <v>2996</v>
      </c>
      <c r="V123" s="4" t="s">
        <v>670</v>
      </c>
      <c r="W123" s="4" t="s">
        <v>669</v>
      </c>
      <c r="X123" s="4" t="str">
        <f>_xlfn.XLOOKUP(V123,Reference!$O:$O,Reference!$N:$N,"Tidak Ketemu")</f>
        <v>G13</v>
      </c>
      <c r="Y123" s="4" t="str">
        <f t="shared" si="6"/>
        <v>TK/0</v>
      </c>
      <c r="Z123" s="10" t="s">
        <v>2132</v>
      </c>
      <c r="AA123" s="10" t="s">
        <v>2133</v>
      </c>
      <c r="AB123" s="7" t="s">
        <v>2134</v>
      </c>
      <c r="AC123" s="7" t="s">
        <v>3816</v>
      </c>
      <c r="AD123" s="17" t="s">
        <v>2135</v>
      </c>
      <c r="AE123" s="6" t="s">
        <v>2131</v>
      </c>
      <c r="AF123" s="6" t="s">
        <v>1751</v>
      </c>
      <c r="AG123" s="6" t="s">
        <v>704</v>
      </c>
      <c r="AN123" s="4"/>
    </row>
    <row r="124" spans="1:40" x14ac:dyDescent="0.35">
      <c r="A124" s="5">
        <v>202044004</v>
      </c>
      <c r="B124" s="5" t="s">
        <v>1012</v>
      </c>
      <c r="C124" s="5" t="s">
        <v>112</v>
      </c>
      <c r="D124" s="5" t="s">
        <v>423</v>
      </c>
      <c r="E124" s="6" t="s">
        <v>809</v>
      </c>
      <c r="F124" s="7">
        <v>37707</v>
      </c>
      <c r="G124" s="10" t="s">
        <v>676</v>
      </c>
      <c r="H124" s="15" t="s">
        <v>666</v>
      </c>
      <c r="I124" s="4">
        <f>MIN(COUNTIFS('Data Family'!A:A,A124,'Data Family'!F:F,"Child")+COUNTIFS('Data Family'!A:A,A124,'Data Family'!F:F,"&lt;&gt;Child",'Data Family'!J:J,"Housewife")+COUNTIFS('Data Family'!A:A,A124,'Data Family'!F:F,"&lt;&gt;Child",'Data Family'!J:J,"Unemployment"),3)</f>
        <v>0</v>
      </c>
      <c r="J124" s="10" t="s">
        <v>791</v>
      </c>
      <c r="K124" s="7" t="s">
        <v>691</v>
      </c>
      <c r="L124" s="7">
        <v>45830</v>
      </c>
      <c r="M124" s="7">
        <v>46560</v>
      </c>
      <c r="N124" s="7"/>
      <c r="O124" s="4" t="str">
        <f t="shared" ca="1" si="4"/>
        <v/>
      </c>
      <c r="P124" s="4" t="str">
        <f t="shared" ca="1" si="5"/>
        <v>Active</v>
      </c>
      <c r="Q124" s="4" t="str">
        <f t="shared" si="7"/>
        <v>PKWT</v>
      </c>
      <c r="R124" s="7" t="s">
        <v>2980</v>
      </c>
      <c r="S124" s="4" t="s">
        <v>2986</v>
      </c>
      <c r="T124" s="4" t="s">
        <v>657</v>
      </c>
      <c r="U124" s="4" t="s">
        <v>2996</v>
      </c>
      <c r="V124" s="4" t="s">
        <v>2640</v>
      </c>
      <c r="W124" s="4" t="s">
        <v>658</v>
      </c>
      <c r="X124" s="4" t="str">
        <f>_xlfn.XLOOKUP(V124,Reference!$O:$O,Reference!$N:$N,"Tidak Ketemu")</f>
        <v>G12</v>
      </c>
      <c r="Y124" s="4" t="str">
        <f t="shared" si="6"/>
        <v>TK/0</v>
      </c>
      <c r="Z124" s="10" t="s">
        <v>1340</v>
      </c>
      <c r="AA124" s="10" t="s">
        <v>1341</v>
      </c>
      <c r="AB124" s="7" t="s">
        <v>1342</v>
      </c>
      <c r="AC124" s="7" t="s">
        <v>3816</v>
      </c>
      <c r="AD124" s="17" t="s">
        <v>1343</v>
      </c>
      <c r="AE124" s="6" t="s">
        <v>1339</v>
      </c>
      <c r="AF124" s="6" t="s">
        <v>1013</v>
      </c>
      <c r="AG124" s="6" t="s">
        <v>704</v>
      </c>
      <c r="AN124" s="4"/>
    </row>
    <row r="125" spans="1:40" x14ac:dyDescent="0.35">
      <c r="A125" s="5">
        <v>201843144</v>
      </c>
      <c r="B125" s="5" t="s">
        <v>2009</v>
      </c>
      <c r="C125" s="5" t="s">
        <v>252</v>
      </c>
      <c r="D125" s="5" t="s">
        <v>563</v>
      </c>
      <c r="E125" s="6" t="s">
        <v>3435</v>
      </c>
      <c r="F125" s="7">
        <v>38345</v>
      </c>
      <c r="G125" s="10" t="s">
        <v>676</v>
      </c>
      <c r="H125" s="15" t="s">
        <v>666</v>
      </c>
      <c r="I125" s="4">
        <f>MIN(COUNTIFS('Data Family'!A:A,A125,'Data Family'!F:F,"Child")+COUNTIFS('Data Family'!A:A,A125,'Data Family'!F:F,"&lt;&gt;Child",'Data Family'!J:J,"Housewife")+COUNTIFS('Data Family'!A:A,A125,'Data Family'!F:F,"&lt;&gt;Child",'Data Family'!J:J,"Unemployment"),3)</f>
        <v>0</v>
      </c>
      <c r="J125" s="10" t="s">
        <v>791</v>
      </c>
      <c r="K125" s="7" t="s">
        <v>691</v>
      </c>
      <c r="L125" s="7">
        <v>45701</v>
      </c>
      <c r="M125" s="7">
        <v>46796</v>
      </c>
      <c r="N125" s="7"/>
      <c r="O125" s="4" t="str">
        <f t="shared" ca="1" si="4"/>
        <v/>
      </c>
      <c r="P125" s="4" t="str">
        <f t="shared" ca="1" si="5"/>
        <v>Active</v>
      </c>
      <c r="Q125" s="4" t="str">
        <f t="shared" si="7"/>
        <v>PKWT</v>
      </c>
      <c r="R125" s="7" t="s">
        <v>2980</v>
      </c>
      <c r="S125" s="4" t="s">
        <v>2986</v>
      </c>
      <c r="T125" s="4" t="s">
        <v>657</v>
      </c>
      <c r="U125" s="4" t="s">
        <v>2996</v>
      </c>
      <c r="V125" s="4" t="s">
        <v>2640</v>
      </c>
      <c r="W125" s="4" t="s">
        <v>658</v>
      </c>
      <c r="X125" s="4" t="str">
        <f>_xlfn.XLOOKUP(V125,Reference!$O:$O,Reference!$N:$N,"Tidak Ketemu")</f>
        <v>G12</v>
      </c>
      <c r="Y125" s="4" t="str">
        <f t="shared" si="6"/>
        <v>TK/0</v>
      </c>
      <c r="Z125" s="10" t="s">
        <v>2169</v>
      </c>
      <c r="AA125" s="10" t="s">
        <v>2170</v>
      </c>
      <c r="AB125" s="7" t="s">
        <v>2171</v>
      </c>
      <c r="AC125" s="7" t="s">
        <v>3816</v>
      </c>
      <c r="AD125" s="17" t="s">
        <v>2172</v>
      </c>
      <c r="AE125" s="6" t="s">
        <v>2168</v>
      </c>
      <c r="AF125" s="6" t="s">
        <v>2011</v>
      </c>
      <c r="AG125" s="6" t="s">
        <v>694</v>
      </c>
      <c r="AN125" s="4"/>
    </row>
    <row r="126" spans="1:40" x14ac:dyDescent="0.35">
      <c r="A126" s="5">
        <v>201642621</v>
      </c>
      <c r="B126" s="5" t="s">
        <v>1536</v>
      </c>
      <c r="C126" s="5" t="s">
        <v>141</v>
      </c>
      <c r="D126" s="5" t="s">
        <v>452</v>
      </c>
      <c r="E126" s="6" t="s">
        <v>3427</v>
      </c>
      <c r="F126" s="7">
        <v>37809</v>
      </c>
      <c r="G126" s="10" t="s">
        <v>676</v>
      </c>
      <c r="H126" s="15" t="s">
        <v>666</v>
      </c>
      <c r="I126" s="4">
        <f>MIN(COUNTIFS('Data Family'!A:A,A126,'Data Family'!F:F,"Child")+COUNTIFS('Data Family'!A:A,A126,'Data Family'!F:F,"&lt;&gt;Child",'Data Family'!J:J,"Housewife")+COUNTIFS('Data Family'!A:A,A126,'Data Family'!F:F,"&lt;&gt;Child",'Data Family'!J:J,"Unemployment"),3)</f>
        <v>2</v>
      </c>
      <c r="J126" s="10" t="s">
        <v>791</v>
      </c>
      <c r="K126" s="7" t="s">
        <v>701</v>
      </c>
      <c r="L126" s="7">
        <v>46181</v>
      </c>
      <c r="M126" s="7">
        <v>47277</v>
      </c>
      <c r="N126" s="7"/>
      <c r="O126" s="4" t="str">
        <f t="shared" ca="1" si="4"/>
        <v/>
      </c>
      <c r="P126" s="4" t="str">
        <f t="shared" ca="1" si="5"/>
        <v>Active</v>
      </c>
      <c r="Q126" s="4" t="str">
        <f t="shared" si="7"/>
        <v>PKWT</v>
      </c>
      <c r="R126" s="7" t="s">
        <v>2980</v>
      </c>
      <c r="S126" s="4" t="s">
        <v>2986</v>
      </c>
      <c r="T126" s="4" t="s">
        <v>657</v>
      </c>
      <c r="U126" s="4" t="s">
        <v>2996</v>
      </c>
      <c r="V126" s="4" t="s">
        <v>2640</v>
      </c>
      <c r="W126" s="4" t="s">
        <v>658</v>
      </c>
      <c r="X126" s="4" t="str">
        <f>_xlfn.XLOOKUP(V126,Reference!$O:$O,Reference!$N:$N,"Tidak Ketemu")</f>
        <v>G12</v>
      </c>
      <c r="Y126" s="4" t="str">
        <f t="shared" si="6"/>
        <v>TK/2</v>
      </c>
      <c r="Z126" s="10" t="s">
        <v>1539</v>
      </c>
      <c r="AA126" s="10" t="s">
        <v>1540</v>
      </c>
      <c r="AB126" s="7" t="s">
        <v>1541</v>
      </c>
      <c r="AC126" s="7" t="s">
        <v>3816</v>
      </c>
      <c r="AD126" s="17" t="s">
        <v>1542</v>
      </c>
      <c r="AE126" s="6" t="s">
        <v>1537</v>
      </c>
      <c r="AF126" s="6" t="s">
        <v>1538</v>
      </c>
      <c r="AG126" s="6" t="s">
        <v>656</v>
      </c>
      <c r="AN126" s="4"/>
    </row>
    <row r="127" spans="1:40" x14ac:dyDescent="0.35">
      <c r="A127" s="5">
        <v>201943782</v>
      </c>
      <c r="B127" s="5" t="s">
        <v>863</v>
      </c>
      <c r="C127" s="5" t="s">
        <v>264</v>
      </c>
      <c r="D127" s="5" t="s">
        <v>575</v>
      </c>
      <c r="E127" s="6" t="s">
        <v>3449</v>
      </c>
      <c r="F127" s="7">
        <v>37654</v>
      </c>
      <c r="G127" s="10" t="s">
        <v>648</v>
      </c>
      <c r="H127" s="15" t="s">
        <v>666</v>
      </c>
      <c r="I127" s="4">
        <f>MIN(COUNTIFS('Data Family'!A:A,A127,'Data Family'!F:F,"Child")+COUNTIFS('Data Family'!A:A,A127,'Data Family'!F:F,"&lt;&gt;Child",'Data Family'!J:J,"Housewife")+COUNTIFS('Data Family'!A:A,A127,'Data Family'!F:F,"&lt;&gt;Child",'Data Family'!J:J,"Unemployment"),3)</f>
        <v>0</v>
      </c>
      <c r="J127" s="10" t="s">
        <v>791</v>
      </c>
      <c r="K127" s="7" t="s">
        <v>701</v>
      </c>
      <c r="L127" s="7">
        <v>45609</v>
      </c>
      <c r="M127" s="7">
        <v>46339</v>
      </c>
      <c r="N127" s="7"/>
      <c r="O127" s="4" t="str">
        <f t="shared" ca="1" si="4"/>
        <v/>
      </c>
      <c r="P127" s="4" t="str">
        <f t="shared" ca="1" si="5"/>
        <v>Active</v>
      </c>
      <c r="Q127" s="4" t="str">
        <f t="shared" si="7"/>
        <v>PKWT</v>
      </c>
      <c r="R127" s="7" t="s">
        <v>2980</v>
      </c>
      <c r="S127" s="4" t="s">
        <v>2986</v>
      </c>
      <c r="T127" s="4" t="s">
        <v>657</v>
      </c>
      <c r="U127" s="4" t="s">
        <v>2996</v>
      </c>
      <c r="V127" s="4" t="s">
        <v>670</v>
      </c>
      <c r="W127" s="4" t="s">
        <v>669</v>
      </c>
      <c r="X127" s="4" t="str">
        <f>_xlfn.XLOOKUP(V127,Reference!$O:$O,Reference!$N:$N,"Tidak Ketemu")</f>
        <v>G13</v>
      </c>
      <c r="Y127" s="4" t="str">
        <f t="shared" si="6"/>
        <v>TK/0</v>
      </c>
      <c r="Z127" s="10" t="s">
        <v>2240</v>
      </c>
      <c r="AA127" s="10" t="s">
        <v>2241</v>
      </c>
      <c r="AB127" s="7" t="s">
        <v>2242</v>
      </c>
      <c r="AC127" s="7" t="s">
        <v>3816</v>
      </c>
      <c r="AD127" s="17" t="s">
        <v>2243</v>
      </c>
      <c r="AE127" s="6" t="s">
        <v>2239</v>
      </c>
      <c r="AF127" s="6" t="s">
        <v>864</v>
      </c>
      <c r="AG127" s="6" t="s">
        <v>694</v>
      </c>
      <c r="AN127" s="4"/>
    </row>
    <row r="128" spans="1:40" x14ac:dyDescent="0.35">
      <c r="A128" s="5">
        <v>201642425</v>
      </c>
      <c r="B128" s="5" t="s">
        <v>720</v>
      </c>
      <c r="C128" s="5" t="s">
        <v>240</v>
      </c>
      <c r="D128" s="5" t="s">
        <v>551</v>
      </c>
      <c r="E128" s="6" t="s">
        <v>664</v>
      </c>
      <c r="F128" s="7">
        <v>37736</v>
      </c>
      <c r="G128" s="10" t="s">
        <v>648</v>
      </c>
      <c r="H128" s="15" t="s">
        <v>666</v>
      </c>
      <c r="I128" s="4">
        <f>MIN(COUNTIFS('Data Family'!A:A,A128,'Data Family'!F:F,"Child")+COUNTIFS('Data Family'!A:A,A128,'Data Family'!F:F,"&lt;&gt;Child",'Data Family'!J:J,"Housewife")+COUNTIFS('Data Family'!A:A,A128,'Data Family'!F:F,"&lt;&gt;Child",'Data Family'!J:J,"Unemployment"),3)</f>
        <v>0</v>
      </c>
      <c r="J128" s="10" t="s">
        <v>791</v>
      </c>
      <c r="K128" s="7" t="s">
        <v>701</v>
      </c>
      <c r="L128" s="7">
        <v>44982</v>
      </c>
      <c r="M128" s="7">
        <v>46808</v>
      </c>
      <c r="N128" s="7"/>
      <c r="O128" s="4" t="str">
        <f t="shared" ca="1" si="4"/>
        <v/>
      </c>
      <c r="P128" s="4" t="str">
        <f t="shared" ca="1" si="5"/>
        <v>Active</v>
      </c>
      <c r="Q128" s="4" t="str">
        <f t="shared" si="7"/>
        <v>PKWT</v>
      </c>
      <c r="R128" s="7" t="s">
        <v>2980</v>
      </c>
      <c r="S128" s="4" t="s">
        <v>2986</v>
      </c>
      <c r="T128" s="4" t="s">
        <v>657</v>
      </c>
      <c r="U128" s="4" t="s">
        <v>2996</v>
      </c>
      <c r="V128" s="4" t="s">
        <v>670</v>
      </c>
      <c r="W128" s="4" t="s">
        <v>669</v>
      </c>
      <c r="X128" s="4" t="str">
        <f>_xlfn.XLOOKUP(V128,Reference!$O:$O,Reference!$N:$N,"Tidak Ketemu")</f>
        <v>G13</v>
      </c>
      <c r="Y128" s="4" t="str">
        <f t="shared" si="6"/>
        <v>TK/0</v>
      </c>
      <c r="Z128" s="10" t="s">
        <v>2107</v>
      </c>
      <c r="AA128" s="10" t="s">
        <v>2108</v>
      </c>
      <c r="AB128" s="7" t="s">
        <v>2109</v>
      </c>
      <c r="AC128" s="7" t="s">
        <v>3816</v>
      </c>
      <c r="AD128" s="17" t="s">
        <v>2110</v>
      </c>
      <c r="AE128" s="6" t="s">
        <v>2106</v>
      </c>
      <c r="AF128" s="6" t="s">
        <v>723</v>
      </c>
      <c r="AG128" s="6" t="s">
        <v>704</v>
      </c>
      <c r="AN128" s="4"/>
    </row>
    <row r="129" spans="1:40" x14ac:dyDescent="0.35">
      <c r="A129" s="5">
        <v>201742748</v>
      </c>
      <c r="B129" s="5" t="s">
        <v>1683</v>
      </c>
      <c r="C129" s="5" t="s">
        <v>167</v>
      </c>
      <c r="D129" s="5" t="s">
        <v>478</v>
      </c>
      <c r="E129" s="6" t="s">
        <v>3444</v>
      </c>
      <c r="F129" s="7">
        <v>37250</v>
      </c>
      <c r="G129" s="10" t="s">
        <v>676</v>
      </c>
      <c r="H129" s="15" t="s">
        <v>666</v>
      </c>
      <c r="I129" s="4">
        <f>MIN(COUNTIFS('Data Family'!A:A,A129,'Data Family'!F:F,"Child")+COUNTIFS('Data Family'!A:A,A129,'Data Family'!F:F,"&lt;&gt;Child",'Data Family'!J:J,"Housewife")+COUNTIFS('Data Family'!A:A,A129,'Data Family'!F:F,"&lt;&gt;Child",'Data Family'!J:J,"Unemployment"),3)</f>
        <v>2</v>
      </c>
      <c r="J129" s="10" t="s">
        <v>791</v>
      </c>
      <c r="K129" s="7" t="s">
        <v>701</v>
      </c>
      <c r="L129" s="7">
        <v>45670</v>
      </c>
      <c r="M129" s="7">
        <v>47496</v>
      </c>
      <c r="N129" s="7"/>
      <c r="O129" s="4" t="str">
        <f t="shared" ca="1" si="4"/>
        <v/>
      </c>
      <c r="P129" s="4" t="str">
        <f t="shared" ca="1" si="5"/>
        <v>Active</v>
      </c>
      <c r="Q129" s="4" t="str">
        <f t="shared" si="7"/>
        <v>PKWT</v>
      </c>
      <c r="R129" s="7" t="s">
        <v>2980</v>
      </c>
      <c r="S129" s="4" t="s">
        <v>2986</v>
      </c>
      <c r="T129" s="4" t="s">
        <v>657</v>
      </c>
      <c r="U129" s="4" t="s">
        <v>2996</v>
      </c>
      <c r="V129" s="4" t="s">
        <v>2640</v>
      </c>
      <c r="W129" s="4" t="s">
        <v>658</v>
      </c>
      <c r="X129" s="4" t="str">
        <f>_xlfn.XLOOKUP(V129,Reference!$O:$O,Reference!$N:$N,"Tidak Ketemu")</f>
        <v>G12</v>
      </c>
      <c r="Y129" s="4" t="str">
        <f t="shared" si="6"/>
        <v>TK/2</v>
      </c>
      <c r="Z129" s="10" t="s">
        <v>1686</v>
      </c>
      <c r="AA129" s="10" t="s">
        <v>1687</v>
      </c>
      <c r="AB129" s="7" t="s">
        <v>1688</v>
      </c>
      <c r="AC129" s="7" t="s">
        <v>3816</v>
      </c>
      <c r="AD129" s="17" t="s">
        <v>1689</v>
      </c>
      <c r="AE129" s="6" t="s">
        <v>1684</v>
      </c>
      <c r="AF129" s="6" t="s">
        <v>1685</v>
      </c>
      <c r="AG129" s="6" t="s">
        <v>656</v>
      </c>
      <c r="AN129" s="4"/>
    </row>
    <row r="130" spans="1:40" x14ac:dyDescent="0.35">
      <c r="A130" s="5">
        <v>201642724</v>
      </c>
      <c r="B130" s="5" t="s">
        <v>2658</v>
      </c>
      <c r="C130" s="5" t="s">
        <v>165</v>
      </c>
      <c r="D130" s="5" t="s">
        <v>476</v>
      </c>
      <c r="E130" s="6" t="s">
        <v>3436</v>
      </c>
      <c r="F130" s="7">
        <v>37696</v>
      </c>
      <c r="G130" s="10" t="s">
        <v>648</v>
      </c>
      <c r="H130" s="15" t="s">
        <v>666</v>
      </c>
      <c r="I130" s="4">
        <f>MIN(COUNTIFS('Data Family'!A:A,A130,'Data Family'!F:F,"Child")+COUNTIFS('Data Family'!A:A,A130,'Data Family'!F:F,"&lt;&gt;Child",'Data Family'!J:J,"Housewife")+COUNTIFS('Data Family'!A:A,A130,'Data Family'!F:F,"&lt;&gt;Child",'Data Family'!J:J,"Unemployment"),3)</f>
        <v>0</v>
      </c>
      <c r="J130" s="10" t="s">
        <v>791</v>
      </c>
      <c r="K130" s="7" t="s">
        <v>677</v>
      </c>
      <c r="L130" s="7">
        <v>45280</v>
      </c>
      <c r="M130" s="7">
        <v>46376</v>
      </c>
      <c r="N130" s="7"/>
      <c r="O130" s="4" t="str">
        <f t="shared" ref="O130:O193" ca="1" si="8">IF(AND(M130&lt;&gt;"", M130&lt;=TODAY(), N130=""), "End of Contract", "")</f>
        <v/>
      </c>
      <c r="P130" s="4" t="str">
        <f t="shared" ref="P130:P193" ca="1" si="9">IF(OR(N130&lt;&gt;"", AND(M130&lt;&gt;"",M130&lt;=TODAY())),"Non-Active","Active")</f>
        <v>Active</v>
      </c>
      <c r="Q130" s="4" t="str">
        <f t="shared" si="7"/>
        <v>PKWT</v>
      </c>
      <c r="R130" s="7" t="s">
        <v>2980</v>
      </c>
      <c r="S130" s="4" t="s">
        <v>2986</v>
      </c>
      <c r="T130" s="4" t="s">
        <v>657</v>
      </c>
      <c r="U130" s="4" t="s">
        <v>2996</v>
      </c>
      <c r="V130" s="4" t="s">
        <v>670</v>
      </c>
      <c r="W130" s="4" t="s">
        <v>669</v>
      </c>
      <c r="X130" s="4" t="str">
        <f>_xlfn.XLOOKUP(V130,Reference!$O:$O,Reference!$N:$N,"Tidak Ketemu")</f>
        <v>G13</v>
      </c>
      <c r="Y130" s="4" t="str">
        <f t="shared" ref="Y130:Y193" si="10">IF(AND(G130="Female",H130="Married"),"TK/0",IF(H130="Married","K/"&amp;I130,"TK/"&amp;I130))</f>
        <v>TK/0</v>
      </c>
      <c r="Z130" s="10" t="s">
        <v>1674</v>
      </c>
      <c r="AA130" s="10" t="s">
        <v>1675</v>
      </c>
      <c r="AB130" s="7" t="s">
        <v>1676</v>
      </c>
      <c r="AC130" s="7" t="s">
        <v>3816</v>
      </c>
      <c r="AD130" s="17" t="s">
        <v>1677</v>
      </c>
      <c r="AE130" s="6" t="s">
        <v>1672</v>
      </c>
      <c r="AF130" s="6" t="s">
        <v>1673</v>
      </c>
      <c r="AG130" s="6" t="s">
        <v>731</v>
      </c>
      <c r="AN130" s="4"/>
    </row>
    <row r="131" spans="1:40" x14ac:dyDescent="0.35">
      <c r="A131" s="5">
        <v>202445315</v>
      </c>
      <c r="B131" s="5" t="s">
        <v>1515</v>
      </c>
      <c r="C131" s="5" t="s">
        <v>171</v>
      </c>
      <c r="D131" s="5" t="s">
        <v>482</v>
      </c>
      <c r="E131" s="6" t="s">
        <v>3444</v>
      </c>
      <c r="F131" s="7">
        <v>38196</v>
      </c>
      <c r="G131" s="10" t="s">
        <v>648</v>
      </c>
      <c r="H131" s="15" t="s">
        <v>666</v>
      </c>
      <c r="I131" s="4">
        <f>MIN(COUNTIFS('Data Family'!A:A,A131,'Data Family'!F:F,"Child")+COUNTIFS('Data Family'!A:A,A131,'Data Family'!F:F,"&lt;&gt;Child",'Data Family'!J:J,"Housewife")+COUNTIFS('Data Family'!A:A,A131,'Data Family'!F:F,"&lt;&gt;Child",'Data Family'!J:J,"Unemployment"),3)</f>
        <v>0</v>
      </c>
      <c r="J131" s="10" t="s">
        <v>791</v>
      </c>
      <c r="K131" s="7" t="s">
        <v>701</v>
      </c>
      <c r="L131" s="7">
        <v>45315</v>
      </c>
      <c r="M131" s="7">
        <v>46411</v>
      </c>
      <c r="N131" s="7"/>
      <c r="O131" s="4" t="str">
        <f t="shared" ca="1" si="8"/>
        <v/>
      </c>
      <c r="P131" s="4" t="str">
        <f t="shared" ca="1" si="9"/>
        <v>Active</v>
      </c>
      <c r="Q131" s="4" t="str">
        <f t="shared" ref="Q131:Q194" si="11">IF(M131="","PKWTT",IF(DATEDIF(L131,M131,"M")&gt;63,"PKWTT",IF(DATEDIF(L131,M131,"M")&gt;60,"PKWT",IF(DATEDIF(L131,M131,"M")&gt;36,"PKWT",IF(DATEDIF(L131,M131,"M")&gt;12, "PKWT","PKWT")))))</f>
        <v>PKWT</v>
      </c>
      <c r="R131" s="7" t="s">
        <v>2980</v>
      </c>
      <c r="S131" s="4" t="s">
        <v>2986</v>
      </c>
      <c r="T131" s="4" t="s">
        <v>657</v>
      </c>
      <c r="U131" s="4" t="s">
        <v>2996</v>
      </c>
      <c r="V131" s="4" t="s">
        <v>670</v>
      </c>
      <c r="W131" s="4" t="s">
        <v>669</v>
      </c>
      <c r="X131" s="4" t="str">
        <f>_xlfn.XLOOKUP(V131,Reference!$O:$O,Reference!$N:$N,"Tidak Ketemu")</f>
        <v>G13</v>
      </c>
      <c r="Y131" s="4" t="str">
        <f t="shared" si="10"/>
        <v>TK/0</v>
      </c>
      <c r="Z131" s="10" t="s">
        <v>1710</v>
      </c>
      <c r="AA131" s="10" t="s">
        <v>1711</v>
      </c>
      <c r="AB131" s="7" t="s">
        <v>1712</v>
      </c>
      <c r="AC131" s="7" t="s">
        <v>3816</v>
      </c>
      <c r="AD131" s="17" t="s">
        <v>1713</v>
      </c>
      <c r="AE131" s="6" t="s">
        <v>1709</v>
      </c>
      <c r="AF131" s="6" t="s">
        <v>1516</v>
      </c>
      <c r="AG131" s="6" t="s">
        <v>818</v>
      </c>
      <c r="AN131" s="4"/>
    </row>
    <row r="132" spans="1:40" x14ac:dyDescent="0.35">
      <c r="A132" s="5">
        <v>201742971</v>
      </c>
      <c r="B132" s="5" t="s">
        <v>1201</v>
      </c>
      <c r="C132" s="5" t="s">
        <v>92</v>
      </c>
      <c r="D132" s="5" t="s">
        <v>403</v>
      </c>
      <c r="E132" s="6" t="s">
        <v>3449</v>
      </c>
      <c r="F132" s="7">
        <v>36985</v>
      </c>
      <c r="G132" s="10" t="s">
        <v>676</v>
      </c>
      <c r="H132" s="15" t="s">
        <v>666</v>
      </c>
      <c r="I132" s="4">
        <f>MIN(COUNTIFS('Data Family'!A:A,A132,'Data Family'!F:F,"Child")+COUNTIFS('Data Family'!A:A,A132,'Data Family'!F:F,"&lt;&gt;Child",'Data Family'!J:J,"Housewife")+COUNTIFS('Data Family'!A:A,A132,'Data Family'!F:F,"&lt;&gt;Child",'Data Family'!J:J,"Unemployment"),3)</f>
        <v>0</v>
      </c>
      <c r="J132" s="10" t="s">
        <v>791</v>
      </c>
      <c r="K132" s="7" t="s">
        <v>701</v>
      </c>
      <c r="L132" s="7">
        <v>45893</v>
      </c>
      <c r="M132" s="7">
        <v>46623</v>
      </c>
      <c r="N132" s="7"/>
      <c r="O132" s="4" t="str">
        <f t="shared" ca="1" si="8"/>
        <v/>
      </c>
      <c r="P132" s="4" t="str">
        <f t="shared" ca="1" si="9"/>
        <v>Active</v>
      </c>
      <c r="Q132" s="4" t="str">
        <f t="shared" si="11"/>
        <v>PKWT</v>
      </c>
      <c r="R132" s="7" t="s">
        <v>2980</v>
      </c>
      <c r="S132" s="4" t="s">
        <v>2986</v>
      </c>
      <c r="T132" s="4" t="s">
        <v>657</v>
      </c>
      <c r="U132" s="4" t="s">
        <v>2996</v>
      </c>
      <c r="V132" s="4" t="s">
        <v>2640</v>
      </c>
      <c r="W132" s="4" t="s">
        <v>658</v>
      </c>
      <c r="X132" s="4" t="str">
        <f>_xlfn.XLOOKUP(V132,Reference!$O:$O,Reference!$N:$N,"Tidak Ketemu")</f>
        <v>G12</v>
      </c>
      <c r="Y132" s="4" t="str">
        <f t="shared" si="10"/>
        <v>TK/0</v>
      </c>
      <c r="Z132" s="10" t="s">
        <v>1204</v>
      </c>
      <c r="AA132" s="10" t="s">
        <v>1205</v>
      </c>
      <c r="AB132" s="7" t="s">
        <v>1206</v>
      </c>
      <c r="AC132" s="7" t="s">
        <v>3816</v>
      </c>
      <c r="AD132" s="17" t="s">
        <v>1207</v>
      </c>
      <c r="AE132" s="6" t="s">
        <v>1202</v>
      </c>
      <c r="AF132" s="6" t="s">
        <v>1203</v>
      </c>
      <c r="AG132" s="6" t="s">
        <v>680</v>
      </c>
      <c r="AN132" s="4"/>
    </row>
    <row r="133" spans="1:40" x14ac:dyDescent="0.35">
      <c r="A133" s="5">
        <v>201943804</v>
      </c>
      <c r="B133" s="5" t="s">
        <v>1344</v>
      </c>
      <c r="C133" s="5" t="s">
        <v>113</v>
      </c>
      <c r="D133" s="5" t="s">
        <v>424</v>
      </c>
      <c r="E133" s="6" t="s">
        <v>809</v>
      </c>
      <c r="F133" s="7">
        <v>37086</v>
      </c>
      <c r="G133" s="10" t="s">
        <v>676</v>
      </c>
      <c r="H133" s="15" t="s">
        <v>666</v>
      </c>
      <c r="I133" s="4">
        <f>MIN(COUNTIFS('Data Family'!A:A,A133,'Data Family'!F:F,"Child")+COUNTIFS('Data Family'!A:A,A133,'Data Family'!F:F,"&lt;&gt;Child",'Data Family'!J:J,"Housewife")+COUNTIFS('Data Family'!A:A,A133,'Data Family'!F:F,"&lt;&gt;Child",'Data Family'!J:J,"Unemployment"),3)</f>
        <v>0</v>
      </c>
      <c r="J133" s="10" t="s">
        <v>791</v>
      </c>
      <c r="K133" s="7" t="s">
        <v>691</v>
      </c>
      <c r="L133" s="7">
        <v>45996</v>
      </c>
      <c r="M133" s="7">
        <v>46726</v>
      </c>
      <c r="N133" s="7"/>
      <c r="O133" s="4" t="str">
        <f t="shared" ca="1" si="8"/>
        <v/>
      </c>
      <c r="P133" s="4" t="str">
        <f t="shared" ca="1" si="9"/>
        <v>Active</v>
      </c>
      <c r="Q133" s="4" t="str">
        <f t="shared" si="11"/>
        <v>PKWT</v>
      </c>
      <c r="R133" s="7" t="s">
        <v>2980</v>
      </c>
      <c r="S133" s="4" t="s">
        <v>2986</v>
      </c>
      <c r="T133" s="4" t="s">
        <v>657</v>
      </c>
      <c r="U133" s="4" t="s">
        <v>2996</v>
      </c>
      <c r="V133" s="4" t="s">
        <v>2640</v>
      </c>
      <c r="W133" s="4" t="s">
        <v>658</v>
      </c>
      <c r="X133" s="4" t="str">
        <f>_xlfn.XLOOKUP(V133,Reference!$O:$O,Reference!$N:$N,"Tidak Ketemu")</f>
        <v>G12</v>
      </c>
      <c r="Y133" s="4" t="str">
        <f t="shared" si="10"/>
        <v>TK/0</v>
      </c>
      <c r="Z133" s="10" t="s">
        <v>1347</v>
      </c>
      <c r="AA133" s="10" t="s">
        <v>1348</v>
      </c>
      <c r="AB133" s="7" t="s">
        <v>1349</v>
      </c>
      <c r="AC133" s="7" t="s">
        <v>3816</v>
      </c>
      <c r="AD133" s="17" t="s">
        <v>1350</v>
      </c>
      <c r="AE133" s="6" t="s">
        <v>1345</v>
      </c>
      <c r="AF133" s="6" t="s">
        <v>1346</v>
      </c>
      <c r="AG133" s="6" t="s">
        <v>818</v>
      </c>
      <c r="AN133" s="4"/>
    </row>
    <row r="134" spans="1:40" x14ac:dyDescent="0.35">
      <c r="A134" s="5">
        <v>201642523</v>
      </c>
      <c r="B134" s="5" t="s">
        <v>1575</v>
      </c>
      <c r="C134" s="5" t="s">
        <v>148</v>
      </c>
      <c r="D134" s="5" t="s">
        <v>459</v>
      </c>
      <c r="E134" s="6" t="s">
        <v>3449</v>
      </c>
      <c r="F134" s="7">
        <v>37824</v>
      </c>
      <c r="G134" s="10" t="s">
        <v>648</v>
      </c>
      <c r="H134" s="15" t="s">
        <v>666</v>
      </c>
      <c r="I134" s="4">
        <f>MIN(COUNTIFS('Data Family'!A:A,A134,'Data Family'!F:F,"Child")+COUNTIFS('Data Family'!A:A,A134,'Data Family'!F:F,"&lt;&gt;Child",'Data Family'!J:J,"Housewife")+COUNTIFS('Data Family'!A:A,A134,'Data Family'!F:F,"&lt;&gt;Child",'Data Family'!J:J,"Unemployment"),3)</f>
        <v>0</v>
      </c>
      <c r="J134" s="10" t="s">
        <v>791</v>
      </c>
      <c r="K134" s="7" t="s">
        <v>701</v>
      </c>
      <c r="L134" s="7">
        <v>45079</v>
      </c>
      <c r="M134" s="7">
        <v>46906</v>
      </c>
      <c r="N134" s="7"/>
      <c r="O134" s="4" t="str">
        <f t="shared" ca="1" si="8"/>
        <v/>
      </c>
      <c r="P134" s="4" t="str">
        <f t="shared" ca="1" si="9"/>
        <v>Active</v>
      </c>
      <c r="Q134" s="4" t="str">
        <f t="shared" si="11"/>
        <v>PKWT</v>
      </c>
      <c r="R134" s="7" t="s">
        <v>2980</v>
      </c>
      <c r="S134" s="4" t="s">
        <v>2986</v>
      </c>
      <c r="T134" s="4" t="s">
        <v>657</v>
      </c>
      <c r="U134" s="4" t="s">
        <v>2996</v>
      </c>
      <c r="V134" s="4" t="s">
        <v>670</v>
      </c>
      <c r="W134" s="4" t="s">
        <v>669</v>
      </c>
      <c r="X134" s="4" t="str">
        <f>_xlfn.XLOOKUP(V134,Reference!$O:$O,Reference!$N:$N,"Tidak Ketemu")</f>
        <v>G13</v>
      </c>
      <c r="Y134" s="4" t="str">
        <f t="shared" si="10"/>
        <v>TK/0</v>
      </c>
      <c r="Z134" s="10" t="s">
        <v>1578</v>
      </c>
      <c r="AA134" s="10" t="s">
        <v>1579</v>
      </c>
      <c r="AB134" s="7" t="s">
        <v>1580</v>
      </c>
      <c r="AC134" s="7" t="s">
        <v>3816</v>
      </c>
      <c r="AD134" s="17" t="s">
        <v>1581</v>
      </c>
      <c r="AE134" s="6" t="s">
        <v>1576</v>
      </c>
      <c r="AF134" s="6" t="s">
        <v>1577</v>
      </c>
      <c r="AG134" s="6" t="s">
        <v>704</v>
      </c>
      <c r="AN134" s="4"/>
    </row>
    <row r="135" spans="1:40" x14ac:dyDescent="0.35">
      <c r="A135" s="5">
        <v>201843269</v>
      </c>
      <c r="B135" s="5" t="s">
        <v>937</v>
      </c>
      <c r="C135" s="5" t="s">
        <v>121</v>
      </c>
      <c r="D135" s="5" t="s">
        <v>432</v>
      </c>
      <c r="E135" s="6" t="s">
        <v>3444</v>
      </c>
      <c r="F135" s="7">
        <v>37187</v>
      </c>
      <c r="G135" s="10" t="s">
        <v>676</v>
      </c>
      <c r="H135" s="15" t="s">
        <v>666</v>
      </c>
      <c r="I135" s="4">
        <f>MIN(COUNTIFS('Data Family'!A:A,A135,'Data Family'!F:F,"Child")+COUNTIFS('Data Family'!A:A,A135,'Data Family'!F:F,"&lt;&gt;Child",'Data Family'!J:J,"Housewife")+COUNTIFS('Data Family'!A:A,A135,'Data Family'!F:F,"&lt;&gt;Child",'Data Family'!J:J,"Unemployment"),3)</f>
        <v>0</v>
      </c>
      <c r="J135" s="10" t="s">
        <v>791</v>
      </c>
      <c r="K135" s="7" t="s">
        <v>677</v>
      </c>
      <c r="L135" s="7">
        <v>45826</v>
      </c>
      <c r="M135" s="7">
        <v>46922</v>
      </c>
      <c r="N135" s="7"/>
      <c r="O135" s="4" t="str">
        <f t="shared" ca="1" si="8"/>
        <v/>
      </c>
      <c r="P135" s="4" t="str">
        <f t="shared" ca="1" si="9"/>
        <v>Active</v>
      </c>
      <c r="Q135" s="4" t="str">
        <f t="shared" si="11"/>
        <v>PKWT</v>
      </c>
      <c r="R135" s="7" t="s">
        <v>2980</v>
      </c>
      <c r="S135" s="4" t="s">
        <v>2986</v>
      </c>
      <c r="T135" s="4" t="s">
        <v>657</v>
      </c>
      <c r="U135" s="4" t="s">
        <v>2996</v>
      </c>
      <c r="V135" s="4" t="s">
        <v>2640</v>
      </c>
      <c r="W135" s="4" t="s">
        <v>658</v>
      </c>
      <c r="X135" s="4" t="str">
        <f>_xlfn.XLOOKUP(V135,Reference!$O:$O,Reference!$N:$N,"Tidak Ketemu")</f>
        <v>G12</v>
      </c>
      <c r="Y135" s="4" t="str">
        <f t="shared" si="10"/>
        <v>TK/0</v>
      </c>
      <c r="Z135" s="10" t="s">
        <v>1397</v>
      </c>
      <c r="AA135" s="10" t="s">
        <v>1398</v>
      </c>
      <c r="AB135" s="7" t="s">
        <v>1399</v>
      </c>
      <c r="AC135" s="7" t="s">
        <v>3816</v>
      </c>
      <c r="AD135" s="17" t="s">
        <v>1400</v>
      </c>
      <c r="AE135" s="6" t="s">
        <v>1396</v>
      </c>
      <c r="AF135" s="6" t="s">
        <v>939</v>
      </c>
      <c r="AG135" s="6" t="s">
        <v>694</v>
      </c>
      <c r="AN135" s="4"/>
    </row>
    <row r="136" spans="1:40" x14ac:dyDescent="0.35">
      <c r="A136" s="5">
        <v>201943608</v>
      </c>
      <c r="B136" s="5" t="s">
        <v>1149</v>
      </c>
      <c r="C136" s="5" t="s">
        <v>254</v>
      </c>
      <c r="D136" s="5" t="s">
        <v>565</v>
      </c>
      <c r="E136" s="6" t="s">
        <v>3444</v>
      </c>
      <c r="F136" s="7">
        <v>37421</v>
      </c>
      <c r="G136" s="10" t="s">
        <v>676</v>
      </c>
      <c r="H136" s="15" t="s">
        <v>666</v>
      </c>
      <c r="I136" s="4">
        <f>MIN(COUNTIFS('Data Family'!A:A,A136,'Data Family'!F:F,"Child")+COUNTIFS('Data Family'!A:A,A136,'Data Family'!F:F,"&lt;&gt;Child",'Data Family'!J:J,"Housewife")+COUNTIFS('Data Family'!A:A,A136,'Data Family'!F:F,"&lt;&gt;Child",'Data Family'!J:J,"Unemployment"),3)</f>
        <v>0</v>
      </c>
      <c r="J136" s="10" t="s">
        <v>791</v>
      </c>
      <c r="K136" s="7" t="s">
        <v>677</v>
      </c>
      <c r="L136" s="7">
        <v>45800</v>
      </c>
      <c r="M136" s="7">
        <v>46896</v>
      </c>
      <c r="N136" s="7"/>
      <c r="O136" s="4" t="str">
        <f t="shared" ca="1" si="8"/>
        <v/>
      </c>
      <c r="P136" s="4" t="str">
        <f t="shared" ca="1" si="9"/>
        <v>Active</v>
      </c>
      <c r="Q136" s="4" t="str">
        <f t="shared" si="11"/>
        <v>PKWT</v>
      </c>
      <c r="R136" s="7" t="s">
        <v>2980</v>
      </c>
      <c r="S136" s="4" t="s">
        <v>2986</v>
      </c>
      <c r="T136" s="4" t="s">
        <v>657</v>
      </c>
      <c r="U136" s="4" t="s">
        <v>2996</v>
      </c>
      <c r="V136" s="4" t="s">
        <v>2640</v>
      </c>
      <c r="W136" s="4" t="s">
        <v>658</v>
      </c>
      <c r="X136" s="4" t="str">
        <f>_xlfn.XLOOKUP(V136,Reference!$O:$O,Reference!$N:$N,"Tidak Ketemu")</f>
        <v>G12</v>
      </c>
      <c r="Y136" s="4" t="str">
        <f t="shared" si="10"/>
        <v>TK/0</v>
      </c>
      <c r="Z136" s="10" t="s">
        <v>2178</v>
      </c>
      <c r="AA136" s="10" t="s">
        <v>2179</v>
      </c>
      <c r="AB136" s="7" t="s">
        <v>2180</v>
      </c>
      <c r="AC136" s="7" t="s">
        <v>3816</v>
      </c>
      <c r="AD136" s="17" t="s">
        <v>2181</v>
      </c>
      <c r="AE136" s="6" t="s">
        <v>2177</v>
      </c>
      <c r="AF136" s="6" t="s">
        <v>1151</v>
      </c>
      <c r="AG136" s="6" t="s">
        <v>778</v>
      </c>
      <c r="AN136" s="4"/>
    </row>
    <row r="137" spans="1:40" x14ac:dyDescent="0.35">
      <c r="A137" s="5">
        <v>202545907</v>
      </c>
      <c r="B137" s="5" t="s">
        <v>2182</v>
      </c>
      <c r="C137" s="5" t="s">
        <v>255</v>
      </c>
      <c r="D137" s="5" t="s">
        <v>566</v>
      </c>
      <c r="E137" s="6" t="s">
        <v>3428</v>
      </c>
      <c r="F137" s="7">
        <v>38147</v>
      </c>
      <c r="G137" s="10" t="s">
        <v>676</v>
      </c>
      <c r="H137" s="15" t="s">
        <v>666</v>
      </c>
      <c r="I137" s="4">
        <f>MIN(COUNTIFS('Data Family'!A:A,A137,'Data Family'!F:F,"Child")+COUNTIFS('Data Family'!A:A,A137,'Data Family'!F:F,"&lt;&gt;Child",'Data Family'!J:J,"Housewife")+COUNTIFS('Data Family'!A:A,A137,'Data Family'!F:F,"&lt;&gt;Child",'Data Family'!J:J,"Unemployment"),3)</f>
        <v>0</v>
      </c>
      <c r="J137" s="10" t="s">
        <v>791</v>
      </c>
      <c r="K137" s="7" t="s">
        <v>701</v>
      </c>
      <c r="L137" s="7">
        <v>45907</v>
      </c>
      <c r="M137" s="7">
        <v>46637</v>
      </c>
      <c r="N137" s="7"/>
      <c r="O137" s="4" t="str">
        <f t="shared" ca="1" si="8"/>
        <v/>
      </c>
      <c r="P137" s="4" t="str">
        <f t="shared" ca="1" si="9"/>
        <v>Active</v>
      </c>
      <c r="Q137" s="4" t="str">
        <f t="shared" si="11"/>
        <v>PKWT</v>
      </c>
      <c r="R137" s="7" t="s">
        <v>2980</v>
      </c>
      <c r="S137" s="4" t="s">
        <v>2986</v>
      </c>
      <c r="T137" s="4" t="s">
        <v>657</v>
      </c>
      <c r="U137" s="4" t="s">
        <v>2996</v>
      </c>
      <c r="V137" s="4" t="s">
        <v>2640</v>
      </c>
      <c r="W137" s="4" t="s">
        <v>658</v>
      </c>
      <c r="X137" s="4" t="str">
        <f>_xlfn.XLOOKUP(V137,Reference!$O:$O,Reference!$N:$N,"Tidak Ketemu")</f>
        <v>G12</v>
      </c>
      <c r="Y137" s="4" t="str">
        <f t="shared" si="10"/>
        <v>TK/0</v>
      </c>
      <c r="Z137" s="10" t="s">
        <v>2185</v>
      </c>
      <c r="AA137" s="10" t="s">
        <v>2186</v>
      </c>
      <c r="AB137" s="7" t="s">
        <v>2187</v>
      </c>
      <c r="AC137" s="7" t="s">
        <v>3816</v>
      </c>
      <c r="AD137" s="17" t="s">
        <v>2188</v>
      </c>
      <c r="AE137" s="6" t="s">
        <v>2183</v>
      </c>
      <c r="AF137" s="6" t="s">
        <v>2184</v>
      </c>
      <c r="AG137" s="6" t="s">
        <v>680</v>
      </c>
      <c r="AN137" s="4"/>
    </row>
    <row r="138" spans="1:40" x14ac:dyDescent="0.35">
      <c r="A138" s="5">
        <v>201642392</v>
      </c>
      <c r="B138" s="5" t="s">
        <v>1656</v>
      </c>
      <c r="C138" s="5" t="s">
        <v>218</v>
      </c>
      <c r="D138" s="5" t="s">
        <v>529</v>
      </c>
      <c r="E138" s="6" t="s">
        <v>3449</v>
      </c>
      <c r="F138" s="7">
        <v>37768</v>
      </c>
      <c r="G138" s="10" t="s">
        <v>648</v>
      </c>
      <c r="H138" s="15" t="s">
        <v>666</v>
      </c>
      <c r="I138" s="4">
        <f>MIN(COUNTIFS('Data Family'!A:A,A138,'Data Family'!F:F,"Child")+COUNTIFS('Data Family'!A:A,A138,'Data Family'!F:F,"&lt;&gt;Child",'Data Family'!J:J,"Housewife")+COUNTIFS('Data Family'!A:A,A138,'Data Family'!F:F,"&lt;&gt;Child",'Data Family'!J:J,"Unemployment"),3)</f>
        <v>0</v>
      </c>
      <c r="J138" s="10" t="s">
        <v>3002</v>
      </c>
      <c r="K138" s="7" t="s">
        <v>691</v>
      </c>
      <c r="L138" s="7">
        <v>44949</v>
      </c>
      <c r="M138" s="7">
        <v>46775</v>
      </c>
      <c r="N138" s="7"/>
      <c r="O138" s="4" t="str">
        <f t="shared" ca="1" si="8"/>
        <v/>
      </c>
      <c r="P138" s="4" t="str">
        <f t="shared" ca="1" si="9"/>
        <v>Active</v>
      </c>
      <c r="Q138" s="4" t="str">
        <f t="shared" si="11"/>
        <v>PKWT</v>
      </c>
      <c r="R138" s="7" t="s">
        <v>2980</v>
      </c>
      <c r="S138" s="4" t="s">
        <v>2986</v>
      </c>
      <c r="T138" s="4" t="s">
        <v>657</v>
      </c>
      <c r="U138" s="4" t="s">
        <v>2996</v>
      </c>
      <c r="V138" s="4" t="s">
        <v>670</v>
      </c>
      <c r="W138" s="4" t="s">
        <v>669</v>
      </c>
      <c r="X138" s="4" t="str">
        <f>_xlfn.XLOOKUP(V138,Reference!$O:$O,Reference!$N:$N,"Tidak Ketemu")</f>
        <v>G13</v>
      </c>
      <c r="Y138" s="4" t="str">
        <f t="shared" si="10"/>
        <v>TK/0</v>
      </c>
      <c r="Z138" s="10" t="s">
        <v>1985</v>
      </c>
      <c r="AA138" s="10" t="s">
        <v>1986</v>
      </c>
      <c r="AB138" s="7" t="s">
        <v>1987</v>
      </c>
      <c r="AC138" s="7" t="s">
        <v>3816</v>
      </c>
      <c r="AD138" s="17" t="s">
        <v>1988</v>
      </c>
      <c r="AE138" s="6" t="s">
        <v>1984</v>
      </c>
      <c r="AF138" s="6" t="s">
        <v>1658</v>
      </c>
      <c r="AG138" s="6" t="s">
        <v>818</v>
      </c>
      <c r="AN138" s="4"/>
    </row>
    <row r="139" spans="1:40" x14ac:dyDescent="0.35">
      <c r="A139" s="5">
        <v>202044160</v>
      </c>
      <c r="B139" s="5" t="s">
        <v>1058</v>
      </c>
      <c r="C139" s="5" t="s">
        <v>73</v>
      </c>
      <c r="D139" s="5" t="s">
        <v>384</v>
      </c>
      <c r="E139" s="6" t="s">
        <v>3449</v>
      </c>
      <c r="F139" s="7">
        <v>37515</v>
      </c>
      <c r="G139" s="10" t="s">
        <v>676</v>
      </c>
      <c r="H139" s="15" t="s">
        <v>666</v>
      </c>
      <c r="I139" s="4">
        <f>MIN(COUNTIFS('Data Family'!A:A,A139,'Data Family'!F:F,"Child")+COUNTIFS('Data Family'!A:A,A139,'Data Family'!F:F,"&lt;&gt;Child",'Data Family'!J:J,"Housewife")+COUNTIFS('Data Family'!A:A,A139,'Data Family'!F:F,"&lt;&gt;Child",'Data Family'!J:J,"Unemployment"),3)</f>
        <v>0</v>
      </c>
      <c r="J139" s="10" t="s">
        <v>791</v>
      </c>
      <c r="K139" s="7" t="s">
        <v>677</v>
      </c>
      <c r="L139" s="7">
        <v>45986</v>
      </c>
      <c r="M139" s="7">
        <v>46351</v>
      </c>
      <c r="N139" s="7"/>
      <c r="O139" s="4" t="str">
        <f t="shared" ca="1" si="8"/>
        <v/>
      </c>
      <c r="P139" s="4" t="str">
        <f t="shared" ca="1" si="9"/>
        <v>Active</v>
      </c>
      <c r="Q139" s="4" t="str">
        <f t="shared" si="11"/>
        <v>PKWT</v>
      </c>
      <c r="R139" s="7" t="s">
        <v>2980</v>
      </c>
      <c r="S139" s="4" t="s">
        <v>2687</v>
      </c>
      <c r="T139" s="4" t="s">
        <v>657</v>
      </c>
      <c r="U139" s="4" t="s">
        <v>2996</v>
      </c>
      <c r="V139" s="4" t="s">
        <v>2640</v>
      </c>
      <c r="W139" s="4" t="s">
        <v>658</v>
      </c>
      <c r="X139" s="4" t="str">
        <f>_xlfn.XLOOKUP(V139,Reference!$O:$O,Reference!$N:$N,"Tidak Ketemu")</f>
        <v>G12</v>
      </c>
      <c r="Y139" s="4" t="str">
        <f t="shared" si="10"/>
        <v>TK/0</v>
      </c>
      <c r="Z139" s="10" t="s">
        <v>1061</v>
      </c>
      <c r="AA139" s="10" t="s">
        <v>1062</v>
      </c>
      <c r="AB139" s="7" t="s">
        <v>1063</v>
      </c>
      <c r="AC139" s="7" t="s">
        <v>3816</v>
      </c>
      <c r="AD139" s="17" t="s">
        <v>1064</v>
      </c>
      <c r="AE139" s="6" t="s">
        <v>1059</v>
      </c>
      <c r="AF139" s="6" t="s">
        <v>1060</v>
      </c>
      <c r="AG139" s="6" t="s">
        <v>680</v>
      </c>
      <c r="AN139" s="4"/>
    </row>
    <row r="140" spans="1:40" x14ac:dyDescent="0.35">
      <c r="A140" s="5">
        <v>202144405</v>
      </c>
      <c r="B140" s="5" t="s">
        <v>2276</v>
      </c>
      <c r="C140" s="5" t="s">
        <v>313</v>
      </c>
      <c r="D140" s="5" t="s">
        <v>624</v>
      </c>
      <c r="E140" s="6" t="s">
        <v>3444</v>
      </c>
      <c r="F140" s="7">
        <v>37886</v>
      </c>
      <c r="G140" s="10" t="s">
        <v>648</v>
      </c>
      <c r="H140" s="15" t="s">
        <v>666</v>
      </c>
      <c r="I140" s="4">
        <f>MIN(COUNTIFS('Data Family'!A:A,A140,'Data Family'!F:F,"Child")+COUNTIFS('Data Family'!A:A,A140,'Data Family'!F:F,"&lt;&gt;Child",'Data Family'!J:J,"Housewife")+COUNTIFS('Data Family'!A:A,A140,'Data Family'!F:F,"&lt;&gt;Child",'Data Family'!J:J,"Unemployment"),3)</f>
        <v>0</v>
      </c>
      <c r="J140" s="10" t="s">
        <v>791</v>
      </c>
      <c r="K140" s="7" t="s">
        <v>691</v>
      </c>
      <c r="L140" s="7">
        <v>45866</v>
      </c>
      <c r="M140" s="7">
        <v>46596</v>
      </c>
      <c r="N140" s="7"/>
      <c r="O140" s="4" t="str">
        <f t="shared" ca="1" si="8"/>
        <v/>
      </c>
      <c r="P140" s="4" t="str">
        <f t="shared" ca="1" si="9"/>
        <v>Active</v>
      </c>
      <c r="Q140" s="4" t="str">
        <f t="shared" si="11"/>
        <v>PKWT</v>
      </c>
      <c r="R140" s="7" t="s">
        <v>2980</v>
      </c>
      <c r="S140" s="4" t="s">
        <v>2986</v>
      </c>
      <c r="T140" s="4" t="s">
        <v>657</v>
      </c>
      <c r="U140" s="4" t="s">
        <v>2996</v>
      </c>
      <c r="V140" s="4" t="s">
        <v>670</v>
      </c>
      <c r="W140" s="4" t="s">
        <v>669</v>
      </c>
      <c r="X140" s="4" t="str">
        <f>_xlfn.XLOOKUP(V140,Reference!$O:$O,Reference!$N:$N,"Tidak Ketemu")</f>
        <v>G13</v>
      </c>
      <c r="Y140" s="4" t="str">
        <f t="shared" si="10"/>
        <v>TK/0</v>
      </c>
      <c r="Z140" s="10" t="s">
        <v>2499</v>
      </c>
      <c r="AA140" s="10" t="s">
        <v>2500</v>
      </c>
      <c r="AB140" s="7" t="s">
        <v>2501</v>
      </c>
      <c r="AC140" s="7" t="s">
        <v>3816</v>
      </c>
      <c r="AD140" s="17" t="s">
        <v>2502</v>
      </c>
      <c r="AE140" s="6" t="s">
        <v>2498</v>
      </c>
      <c r="AF140" s="6" t="s">
        <v>2278</v>
      </c>
      <c r="AG140" s="6" t="s">
        <v>656</v>
      </c>
      <c r="AN140" s="4"/>
    </row>
    <row r="141" spans="1:40" x14ac:dyDescent="0.35">
      <c r="A141" s="5">
        <v>201742763</v>
      </c>
      <c r="B141" s="5" t="s">
        <v>1012</v>
      </c>
      <c r="C141" s="5" t="s">
        <v>296</v>
      </c>
      <c r="D141" s="5" t="s">
        <v>607</v>
      </c>
      <c r="E141" s="6" t="s">
        <v>3444</v>
      </c>
      <c r="F141" s="7">
        <v>37919</v>
      </c>
      <c r="G141" s="10" t="s">
        <v>676</v>
      </c>
      <c r="H141" s="15" t="s">
        <v>666</v>
      </c>
      <c r="I141" s="4">
        <f>MIN(COUNTIFS('Data Family'!A:A,A141,'Data Family'!F:F,"Child")+COUNTIFS('Data Family'!A:A,A141,'Data Family'!F:F,"&lt;&gt;Child",'Data Family'!J:J,"Housewife")+COUNTIFS('Data Family'!A:A,A141,'Data Family'!F:F,"&lt;&gt;Child",'Data Family'!J:J,"Unemployment"),3)</f>
        <v>0</v>
      </c>
      <c r="J141" s="10" t="s">
        <v>791</v>
      </c>
      <c r="K141" s="7" t="s">
        <v>652</v>
      </c>
      <c r="L141" s="7">
        <v>45685</v>
      </c>
      <c r="M141" s="7">
        <v>46415</v>
      </c>
      <c r="N141" s="7"/>
      <c r="O141" s="4" t="str">
        <f t="shared" ca="1" si="8"/>
        <v/>
      </c>
      <c r="P141" s="4" t="str">
        <f t="shared" ca="1" si="9"/>
        <v>Active</v>
      </c>
      <c r="Q141" s="4" t="str">
        <f t="shared" si="11"/>
        <v>PKWT</v>
      </c>
      <c r="R141" s="7" t="s">
        <v>2980</v>
      </c>
      <c r="S141" s="4" t="s">
        <v>2687</v>
      </c>
      <c r="T141" s="4" t="s">
        <v>657</v>
      </c>
      <c r="U141" s="4" t="s">
        <v>2996</v>
      </c>
      <c r="V141" s="4" t="s">
        <v>2640</v>
      </c>
      <c r="W141" s="4" t="s">
        <v>658</v>
      </c>
      <c r="X141" s="4" t="str">
        <f>_xlfn.XLOOKUP(V141,Reference!$O:$O,Reference!$N:$N,"Tidak Ketemu")</f>
        <v>G12</v>
      </c>
      <c r="Y141" s="4" t="str">
        <f t="shared" si="10"/>
        <v>TK/0</v>
      </c>
      <c r="Z141" s="10" t="s">
        <v>2410</v>
      </c>
      <c r="AA141" s="10" t="s">
        <v>2411</v>
      </c>
      <c r="AB141" s="7" t="s">
        <v>2412</v>
      </c>
      <c r="AC141" s="7" t="s">
        <v>3816</v>
      </c>
      <c r="AD141" s="17" t="s">
        <v>2413</v>
      </c>
      <c r="AE141" s="6" t="s">
        <v>2409</v>
      </c>
      <c r="AF141" s="6" t="s">
        <v>1013</v>
      </c>
      <c r="AG141" s="6" t="s">
        <v>778</v>
      </c>
      <c r="AN141" s="4"/>
    </row>
    <row r="142" spans="1:40" x14ac:dyDescent="0.35">
      <c r="A142" s="5">
        <v>202345000</v>
      </c>
      <c r="B142" s="5" t="s">
        <v>1306</v>
      </c>
      <c r="C142" s="5" t="s">
        <v>107</v>
      </c>
      <c r="D142" s="5" t="s">
        <v>418</v>
      </c>
      <c r="E142" s="6" t="s">
        <v>3445</v>
      </c>
      <c r="F142" s="7">
        <v>37327</v>
      </c>
      <c r="G142" s="10" t="s">
        <v>676</v>
      </c>
      <c r="H142" s="15" t="s">
        <v>666</v>
      </c>
      <c r="I142" s="4">
        <f>MIN(COUNTIFS('Data Family'!A:A,A142,'Data Family'!F:F,"Child")+COUNTIFS('Data Family'!A:A,A142,'Data Family'!F:F,"&lt;&gt;Child",'Data Family'!J:J,"Housewife")+COUNTIFS('Data Family'!A:A,A142,'Data Family'!F:F,"&lt;&gt;Child",'Data Family'!J:J,"Unemployment"),3)</f>
        <v>0</v>
      </c>
      <c r="J142" s="10" t="s">
        <v>791</v>
      </c>
      <c r="K142" s="7" t="s">
        <v>677</v>
      </c>
      <c r="L142" s="7">
        <v>45366</v>
      </c>
      <c r="M142" s="7">
        <v>47192</v>
      </c>
      <c r="N142" s="7"/>
      <c r="O142" s="4" t="str">
        <f t="shared" ca="1" si="8"/>
        <v/>
      </c>
      <c r="P142" s="4" t="str">
        <f t="shared" ca="1" si="9"/>
        <v>Active</v>
      </c>
      <c r="Q142" s="4" t="str">
        <f t="shared" si="11"/>
        <v>PKWT</v>
      </c>
      <c r="R142" s="7" t="s">
        <v>2980</v>
      </c>
      <c r="S142" s="4" t="s">
        <v>2687</v>
      </c>
      <c r="T142" s="4" t="s">
        <v>657</v>
      </c>
      <c r="U142" s="4" t="s">
        <v>2996</v>
      </c>
      <c r="V142" s="4" t="s">
        <v>2640</v>
      </c>
      <c r="W142" s="4" t="s">
        <v>658</v>
      </c>
      <c r="X142" s="4" t="str">
        <f>_xlfn.XLOOKUP(V142,Reference!$O:$O,Reference!$N:$N,"Tidak Ketemu")</f>
        <v>G12</v>
      </c>
      <c r="Y142" s="4" t="str">
        <f t="shared" si="10"/>
        <v>TK/0</v>
      </c>
      <c r="Z142" s="10" t="s">
        <v>1309</v>
      </c>
      <c r="AA142" s="10" t="s">
        <v>1310</v>
      </c>
      <c r="AB142" s="7" t="s">
        <v>1311</v>
      </c>
      <c r="AC142" s="7" t="s">
        <v>3816</v>
      </c>
      <c r="AD142" s="17" t="s">
        <v>1312</v>
      </c>
      <c r="AE142" s="6" t="s">
        <v>1307</v>
      </c>
      <c r="AF142" s="6" t="s">
        <v>1308</v>
      </c>
      <c r="AG142" s="6" t="s">
        <v>818</v>
      </c>
      <c r="AN142" s="4"/>
    </row>
    <row r="143" spans="1:40" x14ac:dyDescent="0.35">
      <c r="A143" s="5">
        <v>202044150</v>
      </c>
      <c r="B143" s="5" t="s">
        <v>999</v>
      </c>
      <c r="C143" s="5" t="s">
        <v>114</v>
      </c>
      <c r="D143" s="5" t="s">
        <v>425</v>
      </c>
      <c r="E143" s="6" t="s">
        <v>3445</v>
      </c>
      <c r="F143" s="7">
        <v>37050</v>
      </c>
      <c r="G143" s="10" t="s">
        <v>676</v>
      </c>
      <c r="H143" s="15" t="s">
        <v>666</v>
      </c>
      <c r="I143" s="4">
        <f>MIN(COUNTIFS('Data Family'!A:A,A143,'Data Family'!F:F,"Child")+COUNTIFS('Data Family'!A:A,A143,'Data Family'!F:F,"&lt;&gt;Child",'Data Family'!J:J,"Housewife")+COUNTIFS('Data Family'!A:A,A143,'Data Family'!F:F,"&lt;&gt;Child",'Data Family'!J:J,"Unemployment"),3)</f>
        <v>0</v>
      </c>
      <c r="J143" s="10" t="s">
        <v>791</v>
      </c>
      <c r="K143" s="7" t="s">
        <v>701</v>
      </c>
      <c r="L143" s="7">
        <v>45976</v>
      </c>
      <c r="M143" s="7">
        <v>47802</v>
      </c>
      <c r="N143" s="7"/>
      <c r="O143" s="4" t="str">
        <f t="shared" ca="1" si="8"/>
        <v/>
      </c>
      <c r="P143" s="4" t="str">
        <f t="shared" ca="1" si="9"/>
        <v>Active</v>
      </c>
      <c r="Q143" s="4" t="str">
        <f t="shared" si="11"/>
        <v>PKWT</v>
      </c>
      <c r="R143" s="7" t="s">
        <v>2980</v>
      </c>
      <c r="S143" s="4" t="s">
        <v>2687</v>
      </c>
      <c r="T143" s="4" t="s">
        <v>657</v>
      </c>
      <c r="U143" s="4" t="s">
        <v>2996</v>
      </c>
      <c r="V143" s="4" t="s">
        <v>2640</v>
      </c>
      <c r="W143" s="4" t="s">
        <v>658</v>
      </c>
      <c r="X143" s="4" t="str">
        <f>_xlfn.XLOOKUP(V143,Reference!$O:$O,Reference!$N:$N,"Tidak Ketemu")</f>
        <v>G12</v>
      </c>
      <c r="Y143" s="4" t="str">
        <f t="shared" si="10"/>
        <v>TK/0</v>
      </c>
      <c r="Z143" s="10" t="s">
        <v>1352</v>
      </c>
      <c r="AA143" s="10" t="s">
        <v>1353</v>
      </c>
      <c r="AB143" s="7" t="s">
        <v>1354</v>
      </c>
      <c r="AC143" s="7" t="s">
        <v>3816</v>
      </c>
      <c r="AD143" s="17" t="s">
        <v>1355</v>
      </c>
      <c r="AE143" s="6" t="s">
        <v>1351</v>
      </c>
      <c r="AF143" s="6" t="s">
        <v>1001</v>
      </c>
      <c r="AG143" s="6" t="s">
        <v>656</v>
      </c>
      <c r="AN143" s="4"/>
    </row>
    <row r="144" spans="1:40" x14ac:dyDescent="0.35">
      <c r="A144" s="5">
        <v>201843460</v>
      </c>
      <c r="B144" s="5" t="s">
        <v>1121</v>
      </c>
      <c r="C144" s="5" t="s">
        <v>142</v>
      </c>
      <c r="D144" s="5" t="s">
        <v>453</v>
      </c>
      <c r="E144" s="6" t="s">
        <v>809</v>
      </c>
      <c r="F144" s="7">
        <v>37689</v>
      </c>
      <c r="G144" s="10" t="s">
        <v>648</v>
      </c>
      <c r="H144" s="15" t="s">
        <v>666</v>
      </c>
      <c r="I144" s="4">
        <f>MIN(COUNTIFS('Data Family'!A:A,A144,'Data Family'!F:F,"Child")+COUNTIFS('Data Family'!A:A,A144,'Data Family'!F:F,"&lt;&gt;Child",'Data Family'!J:J,"Housewife")+COUNTIFS('Data Family'!A:A,A144,'Data Family'!F:F,"&lt;&gt;Child",'Data Family'!J:J,"Unemployment"),3)</f>
        <v>0</v>
      </c>
      <c r="J144" s="10" t="s">
        <v>791</v>
      </c>
      <c r="K144" s="7" t="s">
        <v>652</v>
      </c>
      <c r="L144" s="7">
        <v>45286</v>
      </c>
      <c r="M144" s="7">
        <v>47113</v>
      </c>
      <c r="N144" s="7"/>
      <c r="O144" s="4" t="str">
        <f t="shared" ca="1" si="8"/>
        <v/>
      </c>
      <c r="P144" s="4" t="str">
        <f t="shared" ca="1" si="9"/>
        <v>Active</v>
      </c>
      <c r="Q144" s="4" t="str">
        <f t="shared" si="11"/>
        <v>PKWT</v>
      </c>
      <c r="R144" s="7" t="s">
        <v>2980</v>
      </c>
      <c r="S144" s="4" t="s">
        <v>2986</v>
      </c>
      <c r="T144" s="4" t="s">
        <v>657</v>
      </c>
      <c r="U144" s="4" t="s">
        <v>2996</v>
      </c>
      <c r="V144" s="4" t="s">
        <v>670</v>
      </c>
      <c r="W144" s="4" t="s">
        <v>669</v>
      </c>
      <c r="X144" s="4" t="str">
        <f>_xlfn.XLOOKUP(V144,Reference!$O:$O,Reference!$N:$N,"Tidak Ketemu")</f>
        <v>G13</v>
      </c>
      <c r="Y144" s="4" t="str">
        <f t="shared" si="10"/>
        <v>TK/0</v>
      </c>
      <c r="Z144" s="10" t="s">
        <v>1544</v>
      </c>
      <c r="AA144" s="10" t="s">
        <v>1545</v>
      </c>
      <c r="AB144" s="7" t="s">
        <v>1546</v>
      </c>
      <c r="AC144" s="7" t="s">
        <v>3816</v>
      </c>
      <c r="AD144" s="17" t="s">
        <v>1547</v>
      </c>
      <c r="AE144" s="6" t="s">
        <v>1543</v>
      </c>
      <c r="AF144" s="6" t="s">
        <v>1122</v>
      </c>
      <c r="AG144" s="6" t="s">
        <v>704</v>
      </c>
      <c r="AN144" s="4"/>
    </row>
    <row r="145" spans="1:40" x14ac:dyDescent="0.35">
      <c r="A145" s="5">
        <v>201441771</v>
      </c>
      <c r="B145" s="5" t="s">
        <v>790</v>
      </c>
      <c r="C145" s="5" t="s">
        <v>39</v>
      </c>
      <c r="D145" s="5" t="s">
        <v>350</v>
      </c>
      <c r="E145" s="6" t="s">
        <v>664</v>
      </c>
      <c r="F145" s="7">
        <v>37734</v>
      </c>
      <c r="G145" s="10" t="s">
        <v>676</v>
      </c>
      <c r="H145" s="15" t="s">
        <v>666</v>
      </c>
      <c r="I145" s="4">
        <f>MIN(COUNTIFS('Data Family'!A:A,A145,'Data Family'!F:F,"Child")+COUNTIFS('Data Family'!A:A,A145,'Data Family'!F:F,"&lt;&gt;Child",'Data Family'!J:J,"Housewife")+COUNTIFS('Data Family'!A:A,A145,'Data Family'!F:F,"&lt;&gt;Child",'Data Family'!J:J,"Unemployment"),3)</f>
        <v>0</v>
      </c>
      <c r="J145" s="10" t="s">
        <v>791</v>
      </c>
      <c r="K145" s="7" t="s">
        <v>691</v>
      </c>
      <c r="L145" s="7">
        <v>46154</v>
      </c>
      <c r="M145" s="7">
        <v>46519</v>
      </c>
      <c r="N145" s="7"/>
      <c r="O145" s="4" t="str">
        <f t="shared" ca="1" si="8"/>
        <v/>
      </c>
      <c r="P145" s="4" t="str">
        <f t="shared" ca="1" si="9"/>
        <v>Active</v>
      </c>
      <c r="Q145" s="4" t="str">
        <f t="shared" si="11"/>
        <v>PKWT</v>
      </c>
      <c r="R145" s="7" t="s">
        <v>2980</v>
      </c>
      <c r="S145" s="4" t="s">
        <v>2687</v>
      </c>
      <c r="T145" s="4" t="s">
        <v>657</v>
      </c>
      <c r="U145" s="4" t="s">
        <v>2996</v>
      </c>
      <c r="V145" s="4" t="s">
        <v>2640</v>
      </c>
      <c r="W145" s="4" t="s">
        <v>658</v>
      </c>
      <c r="X145" s="4" t="str">
        <f>_xlfn.XLOOKUP(V145,Reference!$O:$O,Reference!$N:$N,"Tidak Ketemu")</f>
        <v>G12</v>
      </c>
      <c r="Y145" s="4" t="str">
        <f t="shared" si="10"/>
        <v>TK/0</v>
      </c>
      <c r="Z145" s="10" t="s">
        <v>796</v>
      </c>
      <c r="AA145" s="10" t="s">
        <v>797</v>
      </c>
      <c r="AB145" s="7" t="s">
        <v>798</v>
      </c>
      <c r="AC145" s="7" t="s">
        <v>3816</v>
      </c>
      <c r="AD145" s="17" t="s">
        <v>799</v>
      </c>
      <c r="AE145" s="6" t="s">
        <v>792</v>
      </c>
      <c r="AF145" s="6" t="s">
        <v>793</v>
      </c>
      <c r="AG145" s="6" t="s">
        <v>656</v>
      </c>
      <c r="AN145" s="4"/>
    </row>
    <row r="146" spans="1:40" x14ac:dyDescent="0.35">
      <c r="A146" s="5">
        <v>201943691</v>
      </c>
      <c r="B146" s="5" t="s">
        <v>827</v>
      </c>
      <c r="C146" s="5" t="s">
        <v>43</v>
      </c>
      <c r="D146" s="5" t="s">
        <v>354</v>
      </c>
      <c r="E146" s="6" t="s">
        <v>689</v>
      </c>
      <c r="F146" s="7">
        <v>37584</v>
      </c>
      <c r="G146" s="10" t="s">
        <v>676</v>
      </c>
      <c r="H146" s="15" t="s">
        <v>666</v>
      </c>
      <c r="I146" s="4">
        <f>MIN(COUNTIFS('Data Family'!A:A,A146,'Data Family'!F:F,"Child")+COUNTIFS('Data Family'!A:A,A146,'Data Family'!F:F,"&lt;&gt;Child",'Data Family'!J:J,"Housewife")+COUNTIFS('Data Family'!A:A,A146,'Data Family'!F:F,"&lt;&gt;Child",'Data Family'!J:J,"Unemployment"),3)</f>
        <v>0</v>
      </c>
      <c r="J146" s="10" t="s">
        <v>791</v>
      </c>
      <c r="K146" s="7" t="s">
        <v>677</v>
      </c>
      <c r="L146" s="7">
        <v>45883</v>
      </c>
      <c r="M146" s="7">
        <v>46613</v>
      </c>
      <c r="N146" s="7"/>
      <c r="O146" s="4" t="str">
        <f t="shared" ca="1" si="8"/>
        <v/>
      </c>
      <c r="P146" s="4" t="str">
        <f t="shared" ca="1" si="9"/>
        <v>Active</v>
      </c>
      <c r="Q146" s="4" t="str">
        <f t="shared" si="11"/>
        <v>PKWT</v>
      </c>
      <c r="R146" s="7" t="s">
        <v>2980</v>
      </c>
      <c r="S146" s="4" t="s">
        <v>2687</v>
      </c>
      <c r="T146" s="4" t="s">
        <v>657</v>
      </c>
      <c r="U146" s="4" t="s">
        <v>2996</v>
      </c>
      <c r="V146" s="4" t="s">
        <v>2640</v>
      </c>
      <c r="W146" s="4" t="s">
        <v>658</v>
      </c>
      <c r="X146" s="4" t="str">
        <f>_xlfn.XLOOKUP(V146,Reference!$O:$O,Reference!$N:$N,"Tidak Ketemu")</f>
        <v>G12</v>
      </c>
      <c r="Y146" s="4" t="str">
        <f t="shared" si="10"/>
        <v>TK/0</v>
      </c>
      <c r="Z146" s="10" t="s">
        <v>830</v>
      </c>
      <c r="AA146" s="10" t="s">
        <v>831</v>
      </c>
      <c r="AB146" s="7" t="s">
        <v>832</v>
      </c>
      <c r="AC146" s="7" t="s">
        <v>3816</v>
      </c>
      <c r="AD146" s="17" t="s">
        <v>833</v>
      </c>
      <c r="AE146" s="6" t="s">
        <v>828</v>
      </c>
      <c r="AF146" s="6" t="s">
        <v>829</v>
      </c>
      <c r="AG146" s="6" t="s">
        <v>818</v>
      </c>
      <c r="AN146" s="4"/>
    </row>
    <row r="147" spans="1:40" x14ac:dyDescent="0.35">
      <c r="A147" s="5">
        <v>201642522</v>
      </c>
      <c r="B147" s="5" t="s">
        <v>879</v>
      </c>
      <c r="C147" s="5" t="s">
        <v>98</v>
      </c>
      <c r="D147" s="5" t="s">
        <v>409</v>
      </c>
      <c r="E147" s="6" t="s">
        <v>3449</v>
      </c>
      <c r="F147" s="7">
        <v>37810</v>
      </c>
      <c r="G147" s="10" t="s">
        <v>676</v>
      </c>
      <c r="H147" s="15" t="s">
        <v>666</v>
      </c>
      <c r="I147" s="4">
        <f>MIN(COUNTIFS('Data Family'!A:A,A147,'Data Family'!F:F,"Child")+COUNTIFS('Data Family'!A:A,A147,'Data Family'!F:F,"&lt;&gt;Child",'Data Family'!J:J,"Housewife")+COUNTIFS('Data Family'!A:A,A147,'Data Family'!F:F,"&lt;&gt;Child",'Data Family'!J:J,"Unemployment"),3)</f>
        <v>2</v>
      </c>
      <c r="J147" s="10" t="s">
        <v>791</v>
      </c>
      <c r="K147" s="7" t="s">
        <v>701</v>
      </c>
      <c r="L147" s="7">
        <v>46174</v>
      </c>
      <c r="M147" s="7">
        <v>47270</v>
      </c>
      <c r="N147" s="7"/>
      <c r="O147" s="4" t="str">
        <f t="shared" ca="1" si="8"/>
        <v/>
      </c>
      <c r="P147" s="4" t="str">
        <f t="shared" ca="1" si="9"/>
        <v>Active</v>
      </c>
      <c r="Q147" s="4" t="str">
        <f t="shared" si="11"/>
        <v>PKWT</v>
      </c>
      <c r="R147" s="7" t="s">
        <v>2980</v>
      </c>
      <c r="S147" s="4" t="s">
        <v>2687</v>
      </c>
      <c r="T147" s="4" t="s">
        <v>657</v>
      </c>
      <c r="U147" s="4" t="s">
        <v>2996</v>
      </c>
      <c r="V147" s="4" t="s">
        <v>2640</v>
      </c>
      <c r="W147" s="4" t="s">
        <v>658</v>
      </c>
      <c r="X147" s="4" t="str">
        <f>_xlfn.XLOOKUP(V147,Reference!$O:$O,Reference!$N:$N,"Tidak Ketemu")</f>
        <v>G12</v>
      </c>
      <c r="Y147" s="4" t="str">
        <f t="shared" si="10"/>
        <v>TK/2</v>
      </c>
      <c r="Z147" s="10" t="s">
        <v>1246</v>
      </c>
      <c r="AA147" s="10" t="s">
        <v>1247</v>
      </c>
      <c r="AB147" s="7" t="s">
        <v>1248</v>
      </c>
      <c r="AC147" s="7" t="s">
        <v>3816</v>
      </c>
      <c r="AD147" s="17" t="s">
        <v>1249</v>
      </c>
      <c r="AE147" s="6" t="s">
        <v>1245</v>
      </c>
      <c r="AF147" s="6" t="s">
        <v>881</v>
      </c>
      <c r="AG147" s="6" t="s">
        <v>778</v>
      </c>
      <c r="AN147" s="4"/>
    </row>
    <row r="148" spans="1:40" x14ac:dyDescent="0.35">
      <c r="A148" s="5">
        <v>201943641</v>
      </c>
      <c r="B148" s="5" t="s">
        <v>1368</v>
      </c>
      <c r="C148" s="5" t="s">
        <v>311</v>
      </c>
      <c r="D148" s="5" t="s">
        <v>622</v>
      </c>
      <c r="E148" s="6" t="s">
        <v>3428</v>
      </c>
      <c r="F148" s="7">
        <v>37804</v>
      </c>
      <c r="G148" s="10" t="s">
        <v>676</v>
      </c>
      <c r="H148" s="15" t="s">
        <v>666</v>
      </c>
      <c r="I148" s="4">
        <f>MIN(COUNTIFS('Data Family'!A:A,A148,'Data Family'!F:F,"Child")+COUNTIFS('Data Family'!A:A,A148,'Data Family'!F:F,"&lt;&gt;Child",'Data Family'!J:J,"Housewife")+COUNTIFS('Data Family'!A:A,A148,'Data Family'!F:F,"&lt;&gt;Child",'Data Family'!J:J,"Unemployment"),3)</f>
        <v>0</v>
      </c>
      <c r="J148" s="10" t="s">
        <v>791</v>
      </c>
      <c r="K148" s="7" t="s">
        <v>701</v>
      </c>
      <c r="L148" s="7">
        <v>45833</v>
      </c>
      <c r="M148" s="7">
        <v>46563</v>
      </c>
      <c r="N148" s="7"/>
      <c r="O148" s="4" t="str">
        <f t="shared" ca="1" si="8"/>
        <v/>
      </c>
      <c r="P148" s="4" t="str">
        <f t="shared" ca="1" si="9"/>
        <v>Active</v>
      </c>
      <c r="Q148" s="4" t="str">
        <f t="shared" si="11"/>
        <v>PKWT</v>
      </c>
      <c r="R148" s="7" t="s">
        <v>2980</v>
      </c>
      <c r="S148" s="4" t="s">
        <v>2687</v>
      </c>
      <c r="T148" s="4" t="s">
        <v>657</v>
      </c>
      <c r="U148" s="4" t="s">
        <v>2996</v>
      </c>
      <c r="V148" s="4" t="s">
        <v>2640</v>
      </c>
      <c r="W148" s="4" t="s">
        <v>658</v>
      </c>
      <c r="X148" s="4" t="str">
        <f>_xlfn.XLOOKUP(V148,Reference!$O:$O,Reference!$N:$N,"Tidak Ketemu")</f>
        <v>G12</v>
      </c>
      <c r="Y148" s="4" t="str">
        <f t="shared" si="10"/>
        <v>TK/0</v>
      </c>
      <c r="Z148" s="10" t="s">
        <v>2489</v>
      </c>
      <c r="AA148" s="10" t="s">
        <v>2490</v>
      </c>
      <c r="AB148" s="7" t="s">
        <v>2491</v>
      </c>
      <c r="AC148" s="7" t="s">
        <v>3816</v>
      </c>
      <c r="AD148" s="17" t="s">
        <v>2492</v>
      </c>
      <c r="AE148" s="6" t="s">
        <v>2488</v>
      </c>
      <c r="AF148" s="6" t="s">
        <v>1369</v>
      </c>
      <c r="AG148" s="6" t="s">
        <v>731</v>
      </c>
      <c r="AN148" s="4"/>
    </row>
    <row r="149" spans="1:40" x14ac:dyDescent="0.35">
      <c r="A149" s="5">
        <v>201843213</v>
      </c>
      <c r="B149" s="5" t="s">
        <v>3032</v>
      </c>
      <c r="C149" s="5" t="s">
        <v>335</v>
      </c>
      <c r="D149" s="5" t="s">
        <v>646</v>
      </c>
      <c r="E149" s="6" t="s">
        <v>664</v>
      </c>
      <c r="F149" s="7">
        <v>37717</v>
      </c>
      <c r="G149" s="10" t="s">
        <v>676</v>
      </c>
      <c r="H149" s="15" t="s">
        <v>666</v>
      </c>
      <c r="I149" s="4">
        <f>MIN(COUNTIFS('Data Family'!A:A,A149,'Data Family'!F:F,"Child")+COUNTIFS('Data Family'!A:A,A149,'Data Family'!F:F,"&lt;&gt;Child",'Data Family'!J:J,"Housewife")+COUNTIFS('Data Family'!A:A,A149,'Data Family'!F:F,"&lt;&gt;Child",'Data Family'!J:J,"Unemployment"),3)</f>
        <v>0</v>
      </c>
      <c r="J149" s="10" t="s">
        <v>791</v>
      </c>
      <c r="K149" s="7" t="s">
        <v>701</v>
      </c>
      <c r="L149" s="7">
        <v>45770</v>
      </c>
      <c r="M149" s="7">
        <v>47596</v>
      </c>
      <c r="N149" s="7"/>
      <c r="O149" s="4" t="str">
        <f t="shared" ca="1" si="8"/>
        <v/>
      </c>
      <c r="P149" s="4" t="str">
        <f t="shared" ca="1" si="9"/>
        <v>Active</v>
      </c>
      <c r="Q149" s="4" t="str">
        <f t="shared" si="11"/>
        <v>PKWT</v>
      </c>
      <c r="R149" s="7" t="s">
        <v>2980</v>
      </c>
      <c r="S149" s="4" t="s">
        <v>2687</v>
      </c>
      <c r="T149" s="4" t="s">
        <v>657</v>
      </c>
      <c r="U149" s="4" t="s">
        <v>2996</v>
      </c>
      <c r="V149" s="4" t="s">
        <v>2640</v>
      </c>
      <c r="W149" s="4" t="s">
        <v>658</v>
      </c>
      <c r="X149" s="4" t="str">
        <f>_xlfn.XLOOKUP(V149,Reference!$O:$O,Reference!$N:$N,"Tidak Ketemu")</f>
        <v>G12</v>
      </c>
      <c r="Y149" s="4" t="str">
        <f t="shared" si="10"/>
        <v>TK/0</v>
      </c>
      <c r="Z149" s="10" t="s">
        <v>2617</v>
      </c>
      <c r="AA149" s="10" t="s">
        <v>2618</v>
      </c>
      <c r="AB149" s="7" t="s">
        <v>2619</v>
      </c>
      <c r="AC149" s="7" t="s">
        <v>3816</v>
      </c>
      <c r="AD149" s="17" t="s">
        <v>2620</v>
      </c>
      <c r="AE149" s="6" t="s">
        <v>2616</v>
      </c>
      <c r="AF149" s="6" t="s">
        <v>1071</v>
      </c>
      <c r="AG149" s="6" t="s">
        <v>694</v>
      </c>
      <c r="AN149" s="4"/>
    </row>
    <row r="150" spans="1:40" x14ac:dyDescent="0.35">
      <c r="A150" s="5">
        <v>202345227</v>
      </c>
      <c r="B150" s="5" t="s">
        <v>1130</v>
      </c>
      <c r="C150" s="5" t="s">
        <v>192</v>
      </c>
      <c r="D150" s="5" t="s">
        <v>503</v>
      </c>
      <c r="E150" s="6" t="s">
        <v>809</v>
      </c>
      <c r="F150" s="7">
        <v>37786</v>
      </c>
      <c r="G150" s="10" t="s">
        <v>676</v>
      </c>
      <c r="H150" s="15" t="s">
        <v>666</v>
      </c>
      <c r="I150" s="4">
        <f>MIN(COUNTIFS('Data Family'!A:A,A150,'Data Family'!F:F,"Child")+COUNTIFS('Data Family'!A:A,A150,'Data Family'!F:F,"&lt;&gt;Child",'Data Family'!J:J,"Housewife")+COUNTIFS('Data Family'!A:A,A150,'Data Family'!F:F,"&lt;&gt;Child",'Data Family'!J:J,"Unemployment"),3)</f>
        <v>0</v>
      </c>
      <c r="J150" s="10" t="s">
        <v>791</v>
      </c>
      <c r="K150" s="7" t="s">
        <v>701</v>
      </c>
      <c r="L150" s="7">
        <v>45593</v>
      </c>
      <c r="M150" s="7">
        <v>46688</v>
      </c>
      <c r="N150" s="7"/>
      <c r="O150" s="4" t="str">
        <f t="shared" ca="1" si="8"/>
        <v/>
      </c>
      <c r="P150" s="4" t="str">
        <f t="shared" ca="1" si="9"/>
        <v>Active</v>
      </c>
      <c r="Q150" s="4" t="str">
        <f t="shared" si="11"/>
        <v>PKWT</v>
      </c>
      <c r="R150" s="7" t="s">
        <v>2980</v>
      </c>
      <c r="S150" s="4" t="s">
        <v>2687</v>
      </c>
      <c r="T150" s="4" t="s">
        <v>657</v>
      </c>
      <c r="U150" s="4" t="s">
        <v>2996</v>
      </c>
      <c r="V150" s="4" t="s">
        <v>2640</v>
      </c>
      <c r="W150" s="4" t="s">
        <v>658</v>
      </c>
      <c r="X150" s="4" t="str">
        <f>_xlfn.XLOOKUP(V150,Reference!$O:$O,Reference!$N:$N,"Tidak Ketemu")</f>
        <v>G12</v>
      </c>
      <c r="Y150" s="4" t="str">
        <f t="shared" si="10"/>
        <v>TK/0</v>
      </c>
      <c r="Z150" s="10" t="s">
        <v>1835</v>
      </c>
      <c r="AA150" s="10" t="s">
        <v>1836</v>
      </c>
      <c r="AB150" s="7" t="s">
        <v>1837</v>
      </c>
      <c r="AC150" s="7" t="s">
        <v>3816</v>
      </c>
      <c r="AD150" s="17" t="s">
        <v>1838</v>
      </c>
      <c r="AE150" s="6" t="s">
        <v>1834</v>
      </c>
      <c r="AF150" s="6" t="s">
        <v>1131</v>
      </c>
      <c r="AG150" s="6" t="s">
        <v>680</v>
      </c>
      <c r="AN150" s="4"/>
    </row>
    <row r="151" spans="1:40" x14ac:dyDescent="0.35">
      <c r="A151" s="5">
        <v>202244652</v>
      </c>
      <c r="B151" s="5" t="s">
        <v>2194</v>
      </c>
      <c r="C151" s="5" t="s">
        <v>278</v>
      </c>
      <c r="D151" s="5" t="s">
        <v>589</v>
      </c>
      <c r="E151" s="6" t="s">
        <v>664</v>
      </c>
      <c r="F151" s="7">
        <v>37695</v>
      </c>
      <c r="G151" s="10" t="s">
        <v>648</v>
      </c>
      <c r="H151" s="15" t="s">
        <v>666</v>
      </c>
      <c r="I151" s="4">
        <f>MIN(COUNTIFS('Data Family'!A:A,A151,'Data Family'!F:F,"Child")+COUNTIFS('Data Family'!A:A,A151,'Data Family'!F:F,"&lt;&gt;Child",'Data Family'!J:J,"Housewife")+COUNTIFS('Data Family'!A:A,A151,'Data Family'!F:F,"&lt;&gt;Child",'Data Family'!J:J,"Unemployment"),3)</f>
        <v>0</v>
      </c>
      <c r="J151" s="10" t="s">
        <v>791</v>
      </c>
      <c r="K151" s="7" t="s">
        <v>677</v>
      </c>
      <c r="L151" s="7">
        <v>46113</v>
      </c>
      <c r="M151" s="7">
        <v>47939</v>
      </c>
      <c r="N151" s="7"/>
      <c r="O151" s="4" t="str">
        <f t="shared" ca="1" si="8"/>
        <v/>
      </c>
      <c r="P151" s="4" t="str">
        <f t="shared" ca="1" si="9"/>
        <v>Active</v>
      </c>
      <c r="Q151" s="4" t="str">
        <f t="shared" si="11"/>
        <v>PKWT</v>
      </c>
      <c r="R151" s="7" t="s">
        <v>2980</v>
      </c>
      <c r="S151" s="4" t="s">
        <v>2986</v>
      </c>
      <c r="T151" s="4" t="s">
        <v>657</v>
      </c>
      <c r="U151" s="4" t="s">
        <v>2996</v>
      </c>
      <c r="V151" s="4" t="s">
        <v>670</v>
      </c>
      <c r="W151" s="4" t="s">
        <v>669</v>
      </c>
      <c r="X151" s="4" t="str">
        <f>_xlfn.XLOOKUP(V151,Reference!$O:$O,Reference!$N:$N,"Tidak Ketemu")</f>
        <v>G13</v>
      </c>
      <c r="Y151" s="4" t="str">
        <f t="shared" si="10"/>
        <v>TK/0</v>
      </c>
      <c r="Z151" s="10" t="s">
        <v>2312</v>
      </c>
      <c r="AA151" s="10" t="s">
        <v>2313</v>
      </c>
      <c r="AB151" s="7" t="s">
        <v>2314</v>
      </c>
      <c r="AC151" s="7" t="s">
        <v>3816</v>
      </c>
      <c r="AD151" s="17" t="s">
        <v>2315</v>
      </c>
      <c r="AE151" s="6" t="s">
        <v>2311</v>
      </c>
      <c r="AF151" s="6" t="s">
        <v>2196</v>
      </c>
      <c r="AG151" s="6" t="s">
        <v>818</v>
      </c>
      <c r="AN151" s="4"/>
    </row>
    <row r="152" spans="1:40" x14ac:dyDescent="0.35">
      <c r="A152" s="5">
        <v>202244764</v>
      </c>
      <c r="B152" s="5" t="s">
        <v>800</v>
      </c>
      <c r="C152" s="5" t="s">
        <v>40</v>
      </c>
      <c r="D152" s="5" t="s">
        <v>351</v>
      </c>
      <c r="E152" s="6" t="s">
        <v>664</v>
      </c>
      <c r="F152" s="7">
        <v>37900</v>
      </c>
      <c r="G152" s="10" t="s">
        <v>648</v>
      </c>
      <c r="H152" s="15" t="s">
        <v>666</v>
      </c>
      <c r="I152" s="4">
        <f>MIN(COUNTIFS('Data Family'!A:A,A152,'Data Family'!F:F,"Child")+COUNTIFS('Data Family'!A:A,A152,'Data Family'!F:F,"&lt;&gt;Child",'Data Family'!J:J,"Housewife")+COUNTIFS('Data Family'!A:A,A152,'Data Family'!F:F,"&lt;&gt;Child",'Data Family'!J:J,"Unemployment"),3)</f>
        <v>0</v>
      </c>
      <c r="J152" s="10" t="s">
        <v>791</v>
      </c>
      <c r="K152" s="7" t="s">
        <v>652</v>
      </c>
      <c r="L152" s="7">
        <v>46195</v>
      </c>
      <c r="M152" s="7">
        <v>46590</v>
      </c>
      <c r="N152" s="7"/>
      <c r="O152" s="4" t="str">
        <f t="shared" ca="1" si="8"/>
        <v/>
      </c>
      <c r="P152" s="4" t="str">
        <f t="shared" ca="1" si="9"/>
        <v>Active</v>
      </c>
      <c r="Q152" s="4" t="str">
        <f t="shared" si="11"/>
        <v>PKWT</v>
      </c>
      <c r="R152" s="7" t="s">
        <v>2980</v>
      </c>
      <c r="S152" s="4" t="s">
        <v>2986</v>
      </c>
      <c r="T152" s="4" t="s">
        <v>657</v>
      </c>
      <c r="U152" s="4" t="s">
        <v>2996</v>
      </c>
      <c r="V152" s="4" t="s">
        <v>670</v>
      </c>
      <c r="W152" s="4" t="s">
        <v>669</v>
      </c>
      <c r="X152" s="4" t="str">
        <f>_xlfn.XLOOKUP(V152,Reference!$O:$O,Reference!$N:$N,"Tidak Ketemu")</f>
        <v>G13</v>
      </c>
      <c r="Y152" s="4" t="str">
        <f t="shared" si="10"/>
        <v>TK/0</v>
      </c>
      <c r="Z152" s="10" t="s">
        <v>804</v>
      </c>
      <c r="AA152" s="10" t="s">
        <v>805</v>
      </c>
      <c r="AB152" s="7" t="s">
        <v>806</v>
      </c>
      <c r="AC152" s="7" t="s">
        <v>3816</v>
      </c>
      <c r="AD152" s="17" t="s">
        <v>807</v>
      </c>
      <c r="AE152" s="6" t="s">
        <v>801</v>
      </c>
      <c r="AF152" s="6" t="s">
        <v>802</v>
      </c>
      <c r="AG152" s="6" t="s">
        <v>704</v>
      </c>
      <c r="AN152" s="4"/>
    </row>
    <row r="153" spans="1:40" x14ac:dyDescent="0.35">
      <c r="A153" s="5">
        <v>201943744</v>
      </c>
      <c r="B153" s="5" t="s">
        <v>2594</v>
      </c>
      <c r="C153" s="5" t="s">
        <v>332</v>
      </c>
      <c r="D153" s="5" t="s">
        <v>643</v>
      </c>
      <c r="E153" s="6" t="s">
        <v>3445</v>
      </c>
      <c r="F153" s="7">
        <v>37778</v>
      </c>
      <c r="G153" s="10" t="s">
        <v>648</v>
      </c>
      <c r="H153" s="15" t="s">
        <v>666</v>
      </c>
      <c r="I153" s="4">
        <f>MIN(COUNTIFS('Data Family'!A:A,A153,'Data Family'!F:F,"Child")+COUNTIFS('Data Family'!A:A,A153,'Data Family'!F:F,"&lt;&gt;Child",'Data Family'!J:J,"Housewife")+COUNTIFS('Data Family'!A:A,A153,'Data Family'!F:F,"&lt;&gt;Child",'Data Family'!J:J,"Unemployment"),3)</f>
        <v>1</v>
      </c>
      <c r="J153" s="10" t="s">
        <v>791</v>
      </c>
      <c r="K153" s="7" t="s">
        <v>701</v>
      </c>
      <c r="L153" s="7">
        <v>45571</v>
      </c>
      <c r="M153" s="7">
        <v>46666</v>
      </c>
      <c r="N153" s="7"/>
      <c r="O153" s="4" t="str">
        <f t="shared" ca="1" si="8"/>
        <v/>
      </c>
      <c r="P153" s="4" t="str">
        <f t="shared" ca="1" si="9"/>
        <v>Active</v>
      </c>
      <c r="Q153" s="4" t="str">
        <f t="shared" si="11"/>
        <v>PKWT</v>
      </c>
      <c r="R153" s="7" t="s">
        <v>2980</v>
      </c>
      <c r="S153" s="4" t="s">
        <v>2986</v>
      </c>
      <c r="T153" s="4" t="s">
        <v>657</v>
      </c>
      <c r="U153" s="4" t="s">
        <v>2996</v>
      </c>
      <c r="V153" s="4" t="s">
        <v>670</v>
      </c>
      <c r="W153" s="4" t="s">
        <v>669</v>
      </c>
      <c r="X153" s="4" t="str">
        <f>_xlfn.XLOOKUP(V153,Reference!$O:$O,Reference!$N:$N,"Tidak Ketemu")</f>
        <v>G13</v>
      </c>
      <c r="Y153" s="4" t="str">
        <f t="shared" si="10"/>
        <v>TK/1</v>
      </c>
      <c r="Z153" s="10" t="s">
        <v>2602</v>
      </c>
      <c r="AA153" s="10" t="s">
        <v>2603</v>
      </c>
      <c r="AB153" s="7" t="s">
        <v>2604</v>
      </c>
      <c r="AC153" s="7" t="s">
        <v>3816</v>
      </c>
      <c r="AD153" s="17" t="s">
        <v>2605</v>
      </c>
      <c r="AE153" s="6" t="s">
        <v>2601</v>
      </c>
      <c r="AF153" s="6" t="s">
        <v>2596</v>
      </c>
      <c r="AG153" s="6" t="s">
        <v>704</v>
      </c>
      <c r="AN153" s="4"/>
    </row>
    <row r="154" spans="1:40" x14ac:dyDescent="0.35">
      <c r="A154" s="5">
        <v>202345177</v>
      </c>
      <c r="B154" s="5" t="s">
        <v>997</v>
      </c>
      <c r="C154" s="5" t="s">
        <v>120</v>
      </c>
      <c r="D154" s="5" t="s">
        <v>431</v>
      </c>
      <c r="E154" s="6" t="s">
        <v>689</v>
      </c>
      <c r="F154" s="7">
        <v>37976</v>
      </c>
      <c r="G154" s="10" t="s">
        <v>648</v>
      </c>
      <c r="H154" s="15" t="s">
        <v>666</v>
      </c>
      <c r="I154" s="4">
        <f>MIN(COUNTIFS('Data Family'!A:A,A154,'Data Family'!F:F,"Child")+COUNTIFS('Data Family'!A:A,A154,'Data Family'!F:F,"&lt;&gt;Child",'Data Family'!J:J,"Housewife")+COUNTIFS('Data Family'!A:A,A154,'Data Family'!F:F,"&lt;&gt;Child",'Data Family'!J:J,"Unemployment"),3)</f>
        <v>0</v>
      </c>
      <c r="J154" s="10" t="s">
        <v>791</v>
      </c>
      <c r="K154" s="7" t="s">
        <v>701</v>
      </c>
      <c r="L154" s="7">
        <v>45177</v>
      </c>
      <c r="M154" s="7">
        <v>46273</v>
      </c>
      <c r="N154" s="7"/>
      <c r="O154" s="4" t="str">
        <f t="shared" ca="1" si="8"/>
        <v/>
      </c>
      <c r="P154" s="4" t="str">
        <f t="shared" ca="1" si="9"/>
        <v>Active</v>
      </c>
      <c r="Q154" s="4" t="str">
        <f t="shared" si="11"/>
        <v>PKWT</v>
      </c>
      <c r="R154" s="7" t="s">
        <v>2980</v>
      </c>
      <c r="S154" s="4" t="s">
        <v>2986</v>
      </c>
      <c r="T154" s="4" t="s">
        <v>657</v>
      </c>
      <c r="U154" s="4" t="s">
        <v>2996</v>
      </c>
      <c r="V154" s="4" t="s">
        <v>670</v>
      </c>
      <c r="W154" s="4" t="s">
        <v>669</v>
      </c>
      <c r="X154" s="4" t="str">
        <f>_xlfn.XLOOKUP(V154,Reference!$O:$O,Reference!$N:$N,"Tidak Ketemu")</f>
        <v>G13</v>
      </c>
      <c r="Y154" s="4" t="str">
        <f t="shared" si="10"/>
        <v>TK/0</v>
      </c>
      <c r="Z154" s="10" t="s">
        <v>1392</v>
      </c>
      <c r="AA154" s="10" t="s">
        <v>1393</v>
      </c>
      <c r="AB154" s="7" t="s">
        <v>1394</v>
      </c>
      <c r="AC154" s="7" t="s">
        <v>3816</v>
      </c>
      <c r="AD154" s="17" t="s">
        <v>1395</v>
      </c>
      <c r="AE154" s="6" t="s">
        <v>1391</v>
      </c>
      <c r="AF154" s="6" t="s">
        <v>998</v>
      </c>
      <c r="AG154" s="6" t="s">
        <v>656</v>
      </c>
      <c r="AN154" s="4"/>
    </row>
    <row r="155" spans="1:40" x14ac:dyDescent="0.35">
      <c r="A155" s="5">
        <v>201642680</v>
      </c>
      <c r="B155" s="5" t="s">
        <v>1332</v>
      </c>
      <c r="C155" s="5" t="s">
        <v>131</v>
      </c>
      <c r="D155" s="5" t="s">
        <v>442</v>
      </c>
      <c r="E155" s="6" t="s">
        <v>3445</v>
      </c>
      <c r="F155" s="7">
        <v>37895</v>
      </c>
      <c r="G155" s="10" t="s">
        <v>648</v>
      </c>
      <c r="H155" s="15" t="s">
        <v>666</v>
      </c>
      <c r="I155" s="4">
        <f>MIN(COUNTIFS('Data Family'!A:A,A155,'Data Family'!F:F,"Child")+COUNTIFS('Data Family'!A:A,A155,'Data Family'!F:F,"&lt;&gt;Child",'Data Family'!J:J,"Housewife")+COUNTIFS('Data Family'!A:A,A155,'Data Family'!F:F,"&lt;&gt;Child",'Data Family'!J:J,"Unemployment"),3)</f>
        <v>0</v>
      </c>
      <c r="J155" s="10" t="s">
        <v>791</v>
      </c>
      <c r="K155" s="7" t="s">
        <v>691</v>
      </c>
      <c r="L155" s="7">
        <v>45236</v>
      </c>
      <c r="M155" s="7">
        <v>47063</v>
      </c>
      <c r="N155" s="7"/>
      <c r="O155" s="4" t="str">
        <f t="shared" ca="1" si="8"/>
        <v/>
      </c>
      <c r="P155" s="4" t="str">
        <f t="shared" ca="1" si="9"/>
        <v>Active</v>
      </c>
      <c r="Q155" s="4" t="str">
        <f t="shared" si="11"/>
        <v>PKWT</v>
      </c>
      <c r="R155" s="7" t="s">
        <v>2980</v>
      </c>
      <c r="S155" s="4" t="s">
        <v>2986</v>
      </c>
      <c r="T155" s="4" t="s">
        <v>657</v>
      </c>
      <c r="U155" s="4" t="s">
        <v>2996</v>
      </c>
      <c r="V155" s="4" t="s">
        <v>670</v>
      </c>
      <c r="W155" s="4" t="s">
        <v>669</v>
      </c>
      <c r="X155" s="4" t="str">
        <f>_xlfn.XLOOKUP(V155,Reference!$O:$O,Reference!$N:$N,"Tidak Ketemu")</f>
        <v>G13</v>
      </c>
      <c r="Y155" s="4" t="str">
        <f t="shared" si="10"/>
        <v>TK/0</v>
      </c>
      <c r="Z155" s="10" t="s">
        <v>1465</v>
      </c>
      <c r="AA155" s="10" t="s">
        <v>1466</v>
      </c>
      <c r="AB155" s="7" t="s">
        <v>1467</v>
      </c>
      <c r="AC155" s="7" t="s">
        <v>3816</v>
      </c>
      <c r="AD155" s="17" t="s">
        <v>1468</v>
      </c>
      <c r="AE155" s="6" t="s">
        <v>1464</v>
      </c>
      <c r="AF155" s="6" t="s">
        <v>1334</v>
      </c>
      <c r="AG155" s="6" t="s">
        <v>694</v>
      </c>
      <c r="AN155" s="4"/>
    </row>
    <row r="156" spans="1:40" x14ac:dyDescent="0.35">
      <c r="A156" s="5">
        <v>201943797</v>
      </c>
      <c r="B156" s="5" t="s">
        <v>1262</v>
      </c>
      <c r="C156" s="5" t="s">
        <v>124</v>
      </c>
      <c r="D156" s="5" t="s">
        <v>435</v>
      </c>
      <c r="E156" s="6" t="s">
        <v>664</v>
      </c>
      <c r="F156" s="7">
        <v>37624</v>
      </c>
      <c r="G156" s="10" t="s">
        <v>648</v>
      </c>
      <c r="H156" s="15" t="s">
        <v>666</v>
      </c>
      <c r="I156" s="4">
        <f>MIN(COUNTIFS('Data Family'!A:A,A156,'Data Family'!F:F,"Child")+COUNTIFS('Data Family'!A:A,A156,'Data Family'!F:F,"&lt;&gt;Child",'Data Family'!J:J,"Housewife")+COUNTIFS('Data Family'!A:A,A156,'Data Family'!F:F,"&lt;&gt;Child",'Data Family'!J:J,"Unemployment"),3)</f>
        <v>0</v>
      </c>
      <c r="J156" s="10" t="s">
        <v>791</v>
      </c>
      <c r="K156" s="7" t="s">
        <v>701</v>
      </c>
      <c r="L156" s="7">
        <v>45624</v>
      </c>
      <c r="M156" s="7">
        <v>46719</v>
      </c>
      <c r="N156" s="7"/>
      <c r="O156" s="4" t="str">
        <f t="shared" ca="1" si="8"/>
        <v/>
      </c>
      <c r="P156" s="4" t="str">
        <f t="shared" ca="1" si="9"/>
        <v>Active</v>
      </c>
      <c r="Q156" s="4" t="str">
        <f t="shared" si="11"/>
        <v>PKWT</v>
      </c>
      <c r="R156" s="7" t="s">
        <v>2980</v>
      </c>
      <c r="S156" s="4" t="s">
        <v>2986</v>
      </c>
      <c r="T156" s="4" t="s">
        <v>657</v>
      </c>
      <c r="U156" s="4" t="s">
        <v>2996</v>
      </c>
      <c r="V156" s="4" t="s">
        <v>670</v>
      </c>
      <c r="W156" s="4" t="s">
        <v>669</v>
      </c>
      <c r="X156" s="4" t="str">
        <f>_xlfn.XLOOKUP(V156,Reference!$O:$O,Reference!$N:$N,"Tidak Ketemu")</f>
        <v>G13</v>
      </c>
      <c r="Y156" s="4" t="str">
        <f t="shared" si="10"/>
        <v>TK/0</v>
      </c>
      <c r="Z156" s="10" t="s">
        <v>1416</v>
      </c>
      <c r="AA156" s="10" t="s">
        <v>1417</v>
      </c>
      <c r="AB156" s="7" t="s">
        <v>1418</v>
      </c>
      <c r="AC156" s="7" t="s">
        <v>3816</v>
      </c>
      <c r="AD156" s="17" t="s">
        <v>1419</v>
      </c>
      <c r="AE156" s="6" t="s">
        <v>1415</v>
      </c>
      <c r="AF156" s="6" t="s">
        <v>1263</v>
      </c>
      <c r="AG156" s="6" t="s">
        <v>656</v>
      </c>
      <c r="AN156" s="4"/>
    </row>
    <row r="157" spans="1:40" x14ac:dyDescent="0.35">
      <c r="A157" s="5">
        <v>201943729</v>
      </c>
      <c r="B157" s="5" t="s">
        <v>1714</v>
      </c>
      <c r="C157" s="5" t="s">
        <v>172</v>
      </c>
      <c r="D157" s="5" t="s">
        <v>483</v>
      </c>
      <c r="E157" s="6" t="s">
        <v>3436</v>
      </c>
      <c r="F157" s="7">
        <v>37880</v>
      </c>
      <c r="G157" s="10" t="s">
        <v>648</v>
      </c>
      <c r="H157" s="15" t="s">
        <v>666</v>
      </c>
      <c r="I157" s="4">
        <f>MIN(COUNTIFS('Data Family'!A:A,A157,'Data Family'!F:F,"Child")+COUNTIFS('Data Family'!A:A,A157,'Data Family'!F:F,"&lt;&gt;Child",'Data Family'!J:J,"Housewife")+COUNTIFS('Data Family'!A:A,A157,'Data Family'!F:F,"&lt;&gt;Child",'Data Family'!J:J,"Unemployment"),3)</f>
        <v>0</v>
      </c>
      <c r="J157" s="10" t="s">
        <v>791</v>
      </c>
      <c r="K157" s="7" t="s">
        <v>691</v>
      </c>
      <c r="L157" s="7">
        <v>45556</v>
      </c>
      <c r="M157" s="7">
        <v>46286</v>
      </c>
      <c r="N157" s="7"/>
      <c r="O157" s="4" t="str">
        <f t="shared" ca="1" si="8"/>
        <v/>
      </c>
      <c r="P157" s="4" t="str">
        <f t="shared" ca="1" si="9"/>
        <v>Active</v>
      </c>
      <c r="Q157" s="4" t="str">
        <f t="shared" si="11"/>
        <v>PKWT</v>
      </c>
      <c r="R157" s="7" t="s">
        <v>2980</v>
      </c>
      <c r="S157" s="4" t="s">
        <v>2986</v>
      </c>
      <c r="T157" s="4" t="s">
        <v>657</v>
      </c>
      <c r="U157" s="4" t="s">
        <v>2996</v>
      </c>
      <c r="V157" s="4" t="s">
        <v>670</v>
      </c>
      <c r="W157" s="4" t="s">
        <v>669</v>
      </c>
      <c r="X157" s="4" t="str">
        <f>_xlfn.XLOOKUP(V157,Reference!$O:$O,Reference!$N:$N,"Tidak Ketemu")</f>
        <v>G13</v>
      </c>
      <c r="Y157" s="4" t="str">
        <f t="shared" si="10"/>
        <v>TK/0</v>
      </c>
      <c r="Z157" s="10" t="s">
        <v>1717</v>
      </c>
      <c r="AA157" s="10" t="s">
        <v>1718</v>
      </c>
      <c r="AB157" s="7" t="s">
        <v>1719</v>
      </c>
      <c r="AC157" s="7" t="s">
        <v>3816</v>
      </c>
      <c r="AD157" s="17" t="s">
        <v>1720</v>
      </c>
      <c r="AE157" s="6" t="s">
        <v>1715</v>
      </c>
      <c r="AF157" s="6" t="s">
        <v>1716</v>
      </c>
      <c r="AG157" s="6" t="s">
        <v>656</v>
      </c>
      <c r="AN157" s="4"/>
    </row>
    <row r="158" spans="1:40" x14ac:dyDescent="0.35">
      <c r="A158" s="5">
        <v>201742848</v>
      </c>
      <c r="B158" s="5" t="s">
        <v>2021</v>
      </c>
      <c r="C158" s="5" t="s">
        <v>225</v>
      </c>
      <c r="D158" s="5" t="s">
        <v>536</v>
      </c>
      <c r="E158" s="6" t="s">
        <v>809</v>
      </c>
      <c r="F158" s="7">
        <v>37888</v>
      </c>
      <c r="G158" s="10" t="s">
        <v>648</v>
      </c>
      <c r="H158" s="15" t="s">
        <v>666</v>
      </c>
      <c r="I158" s="4">
        <f>MIN(COUNTIFS('Data Family'!A:A,A158,'Data Family'!F:F,"Child")+COUNTIFS('Data Family'!A:A,A158,'Data Family'!F:F,"&lt;&gt;Child",'Data Family'!J:J,"Housewife")+COUNTIFS('Data Family'!A:A,A158,'Data Family'!F:F,"&lt;&gt;Child",'Data Family'!J:J,"Unemployment"),3)</f>
        <v>0</v>
      </c>
      <c r="J158" s="10" t="s">
        <v>791</v>
      </c>
      <c r="K158" s="7" t="s">
        <v>701</v>
      </c>
      <c r="L158" s="7">
        <v>45039</v>
      </c>
      <c r="M158" s="7">
        <v>46866</v>
      </c>
      <c r="N158" s="7"/>
      <c r="O158" s="4" t="str">
        <f t="shared" ca="1" si="8"/>
        <v/>
      </c>
      <c r="P158" s="4" t="str">
        <f t="shared" ca="1" si="9"/>
        <v>Active</v>
      </c>
      <c r="Q158" s="4" t="str">
        <f t="shared" si="11"/>
        <v>PKWT</v>
      </c>
      <c r="R158" s="7" t="s">
        <v>2980</v>
      </c>
      <c r="S158" s="4" t="s">
        <v>2986</v>
      </c>
      <c r="T158" s="4" t="s">
        <v>657</v>
      </c>
      <c r="U158" s="4" t="s">
        <v>2996</v>
      </c>
      <c r="V158" s="4" t="s">
        <v>670</v>
      </c>
      <c r="W158" s="4" t="s">
        <v>669</v>
      </c>
      <c r="X158" s="4" t="str">
        <f>_xlfn.XLOOKUP(V158,Reference!$O:$O,Reference!$N:$N,"Tidak Ketemu")</f>
        <v>G13</v>
      </c>
      <c r="Y158" s="4" t="str">
        <f t="shared" si="10"/>
        <v>TK/0</v>
      </c>
      <c r="Z158" s="10" t="s">
        <v>2024</v>
      </c>
      <c r="AA158" s="10" t="s">
        <v>2025</v>
      </c>
      <c r="AB158" s="7" t="s">
        <v>2026</v>
      </c>
      <c r="AC158" s="7" t="s">
        <v>3816</v>
      </c>
      <c r="AD158" s="17" t="s">
        <v>2027</v>
      </c>
      <c r="AE158" s="6" t="s">
        <v>2022</v>
      </c>
      <c r="AF158" s="6" t="s">
        <v>2023</v>
      </c>
      <c r="AG158" s="6" t="s">
        <v>818</v>
      </c>
      <c r="AN158" s="4"/>
    </row>
    <row r="159" spans="1:40" x14ac:dyDescent="0.35">
      <c r="A159" s="5">
        <v>201742917</v>
      </c>
      <c r="B159" s="5" t="s">
        <v>1105</v>
      </c>
      <c r="C159" s="5" t="s">
        <v>80</v>
      </c>
      <c r="D159" s="5" t="s">
        <v>391</v>
      </c>
      <c r="E159" s="6" t="s">
        <v>689</v>
      </c>
      <c r="F159" s="7">
        <v>37948</v>
      </c>
      <c r="G159" s="10" t="s">
        <v>648</v>
      </c>
      <c r="H159" s="15" t="s">
        <v>666</v>
      </c>
      <c r="I159" s="4">
        <f>MIN(COUNTIFS('Data Family'!A:A,A159,'Data Family'!F:F,"Child")+COUNTIFS('Data Family'!A:A,A159,'Data Family'!F:F,"&lt;&gt;Child",'Data Family'!J:J,"Housewife")+COUNTIFS('Data Family'!A:A,A159,'Data Family'!F:F,"&lt;&gt;Child",'Data Family'!J:J,"Unemployment"),3)</f>
        <v>0</v>
      </c>
      <c r="J159" s="10" t="s">
        <v>791</v>
      </c>
      <c r="K159" s="7" t="s">
        <v>701</v>
      </c>
      <c r="L159" s="7">
        <v>45839</v>
      </c>
      <c r="M159" s="7">
        <v>46569</v>
      </c>
      <c r="N159" s="7"/>
      <c r="O159" s="4" t="str">
        <f t="shared" ca="1" si="8"/>
        <v/>
      </c>
      <c r="P159" s="4" t="str">
        <f t="shared" ca="1" si="9"/>
        <v>Active</v>
      </c>
      <c r="Q159" s="4" t="str">
        <f t="shared" si="11"/>
        <v>PKWT</v>
      </c>
      <c r="R159" s="7" t="s">
        <v>2980</v>
      </c>
      <c r="S159" s="4" t="s">
        <v>2986</v>
      </c>
      <c r="T159" s="4" t="s">
        <v>657</v>
      </c>
      <c r="U159" s="4" t="s">
        <v>2996</v>
      </c>
      <c r="V159" s="4" t="s">
        <v>670</v>
      </c>
      <c r="W159" s="4" t="s">
        <v>669</v>
      </c>
      <c r="X159" s="4" t="str">
        <f>_xlfn.XLOOKUP(V159,Reference!$O:$O,Reference!$N:$N,"Tidak Ketemu")</f>
        <v>G13</v>
      </c>
      <c r="Y159" s="4" t="str">
        <f t="shared" si="10"/>
        <v>TK/0</v>
      </c>
      <c r="Z159" s="10" t="s">
        <v>1108</v>
      </c>
      <c r="AA159" s="10" t="s">
        <v>1109</v>
      </c>
      <c r="AB159" s="7" t="s">
        <v>1110</v>
      </c>
      <c r="AC159" s="7" t="s">
        <v>3816</v>
      </c>
      <c r="AD159" s="17" t="s">
        <v>1111</v>
      </c>
      <c r="AE159" s="6" t="s">
        <v>1106</v>
      </c>
      <c r="AF159" s="6" t="s">
        <v>1107</v>
      </c>
      <c r="AG159" s="6" t="s">
        <v>731</v>
      </c>
      <c r="AN159" s="4"/>
    </row>
    <row r="160" spans="1:40" x14ac:dyDescent="0.35">
      <c r="A160" s="5">
        <v>202244606</v>
      </c>
      <c r="B160" s="5" t="s">
        <v>1527</v>
      </c>
      <c r="C160" s="5" t="s">
        <v>185</v>
      </c>
      <c r="D160" s="5" t="s">
        <v>496</v>
      </c>
      <c r="E160" s="6" t="s">
        <v>3450</v>
      </c>
      <c r="F160" s="7">
        <v>37420</v>
      </c>
      <c r="G160" s="10" t="s">
        <v>648</v>
      </c>
      <c r="H160" s="15" t="s">
        <v>666</v>
      </c>
      <c r="I160" s="4">
        <f>MIN(COUNTIFS('Data Family'!A:A,A160,'Data Family'!F:F,"Child")+COUNTIFS('Data Family'!A:A,A160,'Data Family'!F:F,"&lt;&gt;Child",'Data Family'!J:J,"Housewife")+COUNTIFS('Data Family'!A:A,A160,'Data Family'!F:F,"&lt;&gt;Child",'Data Family'!J:J,"Unemployment"),3)</f>
        <v>0</v>
      </c>
      <c r="J160" s="10" t="s">
        <v>3002</v>
      </c>
      <c r="K160" s="7" t="s">
        <v>701</v>
      </c>
      <c r="L160" s="7">
        <v>46067</v>
      </c>
      <c r="M160" s="7">
        <v>46797</v>
      </c>
      <c r="N160" s="7"/>
      <c r="O160" s="4" t="str">
        <f t="shared" ca="1" si="8"/>
        <v/>
      </c>
      <c r="P160" s="4" t="str">
        <f t="shared" ca="1" si="9"/>
        <v>Active</v>
      </c>
      <c r="Q160" s="4" t="str">
        <f t="shared" si="11"/>
        <v>PKWT</v>
      </c>
      <c r="R160" s="7" t="s">
        <v>2980</v>
      </c>
      <c r="S160" s="4" t="s">
        <v>2986</v>
      </c>
      <c r="T160" s="4" t="s">
        <v>657</v>
      </c>
      <c r="U160" s="4" t="s">
        <v>2996</v>
      </c>
      <c r="V160" s="4" t="s">
        <v>670</v>
      </c>
      <c r="W160" s="4" t="s">
        <v>669</v>
      </c>
      <c r="X160" s="4" t="str">
        <f>_xlfn.XLOOKUP(V160,Reference!$O:$O,Reference!$N:$N,"Tidak Ketemu")</f>
        <v>G13</v>
      </c>
      <c r="Y160" s="4" t="str">
        <f t="shared" si="10"/>
        <v>TK/0</v>
      </c>
      <c r="Z160" s="10" t="s">
        <v>1796</v>
      </c>
      <c r="AA160" s="10" t="s">
        <v>1797</v>
      </c>
      <c r="AB160" s="7" t="s">
        <v>1798</v>
      </c>
      <c r="AC160" s="7" t="s">
        <v>3816</v>
      </c>
      <c r="AD160" s="17" t="s">
        <v>1799</v>
      </c>
      <c r="AE160" s="6" t="s">
        <v>1795</v>
      </c>
      <c r="AF160" s="6" t="s">
        <v>1528</v>
      </c>
      <c r="AG160" s="6" t="s">
        <v>731</v>
      </c>
      <c r="AN160" s="4"/>
    </row>
    <row r="161" spans="1:40" x14ac:dyDescent="0.35">
      <c r="A161" s="5">
        <v>201642691</v>
      </c>
      <c r="B161" s="5" t="s">
        <v>2634</v>
      </c>
      <c r="C161" s="5" t="s">
        <v>230</v>
      </c>
      <c r="D161" s="5" t="s">
        <v>541</v>
      </c>
      <c r="E161" s="6" t="s">
        <v>768</v>
      </c>
      <c r="F161" s="7">
        <v>37304</v>
      </c>
      <c r="G161" s="10" t="s">
        <v>648</v>
      </c>
      <c r="H161" s="15" t="s">
        <v>666</v>
      </c>
      <c r="I161" s="4">
        <f>MIN(COUNTIFS('Data Family'!A:A,A161,'Data Family'!F:F,"Child")+COUNTIFS('Data Family'!A:A,A161,'Data Family'!F:F,"&lt;&gt;Child",'Data Family'!J:J,"Housewife")+COUNTIFS('Data Family'!A:A,A161,'Data Family'!F:F,"&lt;&gt;Child",'Data Family'!J:J,"Unemployment"),3)</f>
        <v>0</v>
      </c>
      <c r="J161" s="10" t="s">
        <v>791</v>
      </c>
      <c r="K161" s="7" t="s">
        <v>677</v>
      </c>
      <c r="L161" s="7">
        <v>45247</v>
      </c>
      <c r="M161" s="7">
        <v>46343</v>
      </c>
      <c r="N161" s="7"/>
      <c r="O161" s="4" t="str">
        <f t="shared" ca="1" si="8"/>
        <v/>
      </c>
      <c r="P161" s="4" t="str">
        <f t="shared" ca="1" si="9"/>
        <v>Active</v>
      </c>
      <c r="Q161" s="4" t="str">
        <f t="shared" si="11"/>
        <v>PKWT</v>
      </c>
      <c r="R161" s="7" t="s">
        <v>2980</v>
      </c>
      <c r="S161" s="4" t="s">
        <v>2986</v>
      </c>
      <c r="T161" s="4" t="s">
        <v>657</v>
      </c>
      <c r="U161" s="4" t="s">
        <v>2996</v>
      </c>
      <c r="V161" s="4" t="s">
        <v>670</v>
      </c>
      <c r="W161" s="4" t="s">
        <v>669</v>
      </c>
      <c r="X161" s="4" t="str">
        <f>_xlfn.XLOOKUP(V161,Reference!$O:$O,Reference!$N:$N,"Tidak Ketemu")</f>
        <v>G13</v>
      </c>
      <c r="Y161" s="4" t="str">
        <f t="shared" si="10"/>
        <v>TK/0</v>
      </c>
      <c r="Z161" s="10" t="s">
        <v>2055</v>
      </c>
      <c r="AA161" s="10" t="s">
        <v>2056</v>
      </c>
      <c r="AB161" s="7" t="s">
        <v>2057</v>
      </c>
      <c r="AC161" s="7" t="s">
        <v>3816</v>
      </c>
      <c r="AD161" s="17" t="s">
        <v>2058</v>
      </c>
      <c r="AE161" s="6" t="s">
        <v>2053</v>
      </c>
      <c r="AF161" s="6" t="s">
        <v>2054</v>
      </c>
      <c r="AG161" s="6" t="s">
        <v>818</v>
      </c>
      <c r="AN161" s="4"/>
    </row>
    <row r="162" spans="1:40" x14ac:dyDescent="0.35">
      <c r="A162" s="5">
        <v>201742834</v>
      </c>
      <c r="B162" s="5" t="s">
        <v>2040</v>
      </c>
      <c r="C162" s="5" t="s">
        <v>280</v>
      </c>
      <c r="D162" s="5" t="s">
        <v>591</v>
      </c>
      <c r="E162" s="6" t="s">
        <v>689</v>
      </c>
      <c r="F162" s="7">
        <v>37419</v>
      </c>
      <c r="G162" s="10" t="s">
        <v>648</v>
      </c>
      <c r="H162" s="15" t="s">
        <v>666</v>
      </c>
      <c r="I162" s="4">
        <f>MIN(COUNTIFS('Data Family'!A:A,A162,'Data Family'!F:F,"Child")+COUNTIFS('Data Family'!A:A,A162,'Data Family'!F:F,"&lt;&gt;Child",'Data Family'!J:J,"Housewife")+COUNTIFS('Data Family'!A:A,A162,'Data Family'!F:F,"&lt;&gt;Child",'Data Family'!J:J,"Unemployment"),3)</f>
        <v>0</v>
      </c>
      <c r="J162" s="10" t="s">
        <v>791</v>
      </c>
      <c r="K162" s="7" t="s">
        <v>652</v>
      </c>
      <c r="L162" s="7">
        <v>45025</v>
      </c>
      <c r="M162" s="7">
        <v>46852</v>
      </c>
      <c r="N162" s="7"/>
      <c r="O162" s="4" t="str">
        <f t="shared" ca="1" si="8"/>
        <v/>
      </c>
      <c r="P162" s="4" t="str">
        <f t="shared" ca="1" si="9"/>
        <v>Active</v>
      </c>
      <c r="Q162" s="4" t="str">
        <f t="shared" si="11"/>
        <v>PKWT</v>
      </c>
      <c r="R162" s="7" t="s">
        <v>2980</v>
      </c>
      <c r="S162" s="4" t="s">
        <v>2986</v>
      </c>
      <c r="T162" s="4" t="s">
        <v>657</v>
      </c>
      <c r="U162" s="4" t="s">
        <v>2996</v>
      </c>
      <c r="V162" s="4" t="s">
        <v>670</v>
      </c>
      <c r="W162" s="4" t="s">
        <v>669</v>
      </c>
      <c r="X162" s="4" t="str">
        <f>_xlfn.XLOOKUP(V162,Reference!$O:$O,Reference!$N:$N,"Tidak Ketemu")</f>
        <v>G13</v>
      </c>
      <c r="Y162" s="4" t="str">
        <f t="shared" si="10"/>
        <v>TK/0</v>
      </c>
      <c r="Z162" s="10" t="s">
        <v>2322</v>
      </c>
      <c r="AA162" s="10" t="s">
        <v>2323</v>
      </c>
      <c r="AB162" s="7" t="s">
        <v>2324</v>
      </c>
      <c r="AC162" s="7" t="s">
        <v>3816</v>
      </c>
      <c r="AD162" s="17" t="s">
        <v>2325</v>
      </c>
      <c r="AE162" s="6" t="s">
        <v>2321</v>
      </c>
      <c r="AF162" s="6" t="s">
        <v>2042</v>
      </c>
      <c r="AG162" s="6" t="s">
        <v>818</v>
      </c>
      <c r="AN162" s="4"/>
    </row>
    <row r="163" spans="1:40" x14ac:dyDescent="0.35">
      <c r="A163" s="5">
        <v>202545795</v>
      </c>
      <c r="B163" s="5" t="s">
        <v>1375</v>
      </c>
      <c r="C163" s="5" t="s">
        <v>174</v>
      </c>
      <c r="D163" s="5" t="s">
        <v>485</v>
      </c>
      <c r="E163" s="6" t="s">
        <v>768</v>
      </c>
      <c r="F163" s="7">
        <v>37733</v>
      </c>
      <c r="G163" s="10" t="s">
        <v>648</v>
      </c>
      <c r="H163" s="15" t="s">
        <v>666</v>
      </c>
      <c r="I163" s="4">
        <f>MIN(COUNTIFS('Data Family'!A:A,A163,'Data Family'!F:F,"Child")+COUNTIFS('Data Family'!A:A,A163,'Data Family'!F:F,"&lt;&gt;Child",'Data Family'!J:J,"Housewife")+COUNTIFS('Data Family'!A:A,A163,'Data Family'!F:F,"&lt;&gt;Child",'Data Family'!J:J,"Unemployment"),3)</f>
        <v>0</v>
      </c>
      <c r="J163" s="10" t="s">
        <v>791</v>
      </c>
      <c r="K163" s="7" t="s">
        <v>701</v>
      </c>
      <c r="L163" s="7">
        <v>45795</v>
      </c>
      <c r="M163" s="7">
        <v>47621</v>
      </c>
      <c r="N163" s="7"/>
      <c r="O163" s="4" t="str">
        <f t="shared" ca="1" si="8"/>
        <v/>
      </c>
      <c r="P163" s="4" t="str">
        <f t="shared" ca="1" si="9"/>
        <v>Active</v>
      </c>
      <c r="Q163" s="4" t="str">
        <f t="shared" si="11"/>
        <v>PKWT</v>
      </c>
      <c r="R163" s="7" t="s">
        <v>2980</v>
      </c>
      <c r="S163" s="4" t="s">
        <v>2986</v>
      </c>
      <c r="T163" s="4" t="s">
        <v>657</v>
      </c>
      <c r="U163" s="4" t="s">
        <v>2996</v>
      </c>
      <c r="V163" s="4" t="s">
        <v>670</v>
      </c>
      <c r="W163" s="4" t="s">
        <v>669</v>
      </c>
      <c r="X163" s="4" t="str">
        <f>_xlfn.XLOOKUP(V163,Reference!$O:$O,Reference!$N:$N,"Tidak Ketemu")</f>
        <v>G13</v>
      </c>
      <c r="Y163" s="4" t="str">
        <f t="shared" si="10"/>
        <v>TK/0</v>
      </c>
      <c r="Z163" s="10" t="s">
        <v>1729</v>
      </c>
      <c r="AA163" s="10" t="s">
        <v>1730</v>
      </c>
      <c r="AB163" s="7" t="s">
        <v>1731</v>
      </c>
      <c r="AC163" s="7" t="s">
        <v>3816</v>
      </c>
      <c r="AD163" s="17" t="s">
        <v>1732</v>
      </c>
      <c r="AE163" s="6" t="s">
        <v>1728</v>
      </c>
      <c r="AF163" s="6" t="s">
        <v>1377</v>
      </c>
      <c r="AG163" s="6" t="s">
        <v>778</v>
      </c>
      <c r="AN163" s="4"/>
    </row>
    <row r="164" spans="1:40" x14ac:dyDescent="0.35">
      <c r="A164" s="5">
        <v>201843184</v>
      </c>
      <c r="B164" s="5" t="s">
        <v>1081</v>
      </c>
      <c r="C164" s="5" t="s">
        <v>76</v>
      </c>
      <c r="D164" s="5" t="s">
        <v>387</v>
      </c>
      <c r="E164" s="6" t="s">
        <v>742</v>
      </c>
      <c r="F164" s="7">
        <v>37539</v>
      </c>
      <c r="G164" s="10" t="s">
        <v>648</v>
      </c>
      <c r="H164" s="15" t="s">
        <v>666</v>
      </c>
      <c r="I164" s="4">
        <f>MIN(COUNTIFS('Data Family'!A:A,A164,'Data Family'!F:F,"Child")+COUNTIFS('Data Family'!A:A,A164,'Data Family'!F:F,"&lt;&gt;Child",'Data Family'!J:J,"Housewife")+COUNTIFS('Data Family'!A:A,A164,'Data Family'!F:F,"&lt;&gt;Child",'Data Family'!J:J,"Unemployment"),3)</f>
        <v>0</v>
      </c>
      <c r="J164" s="10" t="s">
        <v>791</v>
      </c>
      <c r="K164" s="7" t="s">
        <v>691</v>
      </c>
      <c r="L164" s="7">
        <v>45010</v>
      </c>
      <c r="M164" s="7">
        <v>46837</v>
      </c>
      <c r="N164" s="7"/>
      <c r="O164" s="4" t="str">
        <f t="shared" ca="1" si="8"/>
        <v/>
      </c>
      <c r="P164" s="4" t="str">
        <f t="shared" ca="1" si="9"/>
        <v>Active</v>
      </c>
      <c r="Q164" s="4" t="str">
        <f t="shared" si="11"/>
        <v>PKWT</v>
      </c>
      <c r="R164" s="7" t="s">
        <v>2980</v>
      </c>
      <c r="S164" s="4" t="s">
        <v>2986</v>
      </c>
      <c r="T164" s="4" t="s">
        <v>657</v>
      </c>
      <c r="U164" s="4" t="s">
        <v>2996</v>
      </c>
      <c r="V164" s="4" t="s">
        <v>670</v>
      </c>
      <c r="W164" s="4" t="s">
        <v>669</v>
      </c>
      <c r="X164" s="4" t="str">
        <f>_xlfn.XLOOKUP(V164,Reference!$O:$O,Reference!$N:$N,"Tidak Ketemu")</f>
        <v>G13</v>
      </c>
      <c r="Y164" s="4" t="str">
        <f t="shared" si="10"/>
        <v>TK/0</v>
      </c>
      <c r="Z164" s="10" t="s">
        <v>1084</v>
      </c>
      <c r="AA164" s="10" t="s">
        <v>1085</v>
      </c>
      <c r="AB164" s="7" t="s">
        <v>1086</v>
      </c>
      <c r="AC164" s="7" t="s">
        <v>3816</v>
      </c>
      <c r="AD164" s="17" t="s">
        <v>1087</v>
      </c>
      <c r="AE164" s="6" t="s">
        <v>1082</v>
      </c>
      <c r="AF164" s="6" t="s">
        <v>1083</v>
      </c>
      <c r="AG164" s="6" t="s">
        <v>704</v>
      </c>
      <c r="AN164" s="4"/>
    </row>
    <row r="165" spans="1:40" x14ac:dyDescent="0.35">
      <c r="A165" s="5">
        <v>202044036</v>
      </c>
      <c r="B165" s="5" t="s">
        <v>1434</v>
      </c>
      <c r="C165" s="5" t="s">
        <v>194</v>
      </c>
      <c r="D165" s="5" t="s">
        <v>505</v>
      </c>
      <c r="E165" s="6" t="s">
        <v>768</v>
      </c>
      <c r="F165" s="7">
        <v>37455</v>
      </c>
      <c r="G165" s="10" t="s">
        <v>648</v>
      </c>
      <c r="H165" s="15" t="s">
        <v>666</v>
      </c>
      <c r="I165" s="4">
        <f>MIN(COUNTIFS('Data Family'!A:A,A165,'Data Family'!F:F,"Child")+COUNTIFS('Data Family'!A:A,A165,'Data Family'!F:F,"&lt;&gt;Child",'Data Family'!J:J,"Housewife")+COUNTIFS('Data Family'!A:A,A165,'Data Family'!F:F,"&lt;&gt;Child",'Data Family'!J:J,"Unemployment"),3)</f>
        <v>0</v>
      </c>
      <c r="J165" s="10" t="s">
        <v>791</v>
      </c>
      <c r="K165" s="7" t="s">
        <v>691</v>
      </c>
      <c r="L165" s="7">
        <v>45862</v>
      </c>
      <c r="M165" s="7">
        <v>46227</v>
      </c>
      <c r="N165" s="7"/>
      <c r="O165" s="4" t="str">
        <f t="shared" ca="1" si="8"/>
        <v>End of Contract</v>
      </c>
      <c r="P165" s="4" t="str">
        <f t="shared" ca="1" si="9"/>
        <v>Non-Active</v>
      </c>
      <c r="Q165" s="4" t="str">
        <f t="shared" si="11"/>
        <v>PKWT</v>
      </c>
      <c r="R165" s="7" t="s">
        <v>2980</v>
      </c>
      <c r="S165" s="4" t="s">
        <v>2986</v>
      </c>
      <c r="T165" s="4" t="s">
        <v>657</v>
      </c>
      <c r="U165" s="4" t="s">
        <v>2996</v>
      </c>
      <c r="V165" s="4" t="s">
        <v>670</v>
      </c>
      <c r="W165" s="4" t="s">
        <v>669</v>
      </c>
      <c r="X165" s="4" t="str">
        <f>_xlfn.XLOOKUP(V165,Reference!$O:$O,Reference!$N:$N,"Tidak Ketemu")</f>
        <v>G13</v>
      </c>
      <c r="Y165" s="4" t="str">
        <f t="shared" si="10"/>
        <v>TK/0</v>
      </c>
      <c r="Z165" s="10" t="s">
        <v>1845</v>
      </c>
      <c r="AA165" s="10" t="s">
        <v>1846</v>
      </c>
      <c r="AB165" s="7" t="s">
        <v>1847</v>
      </c>
      <c r="AC165" s="7" t="s">
        <v>3816</v>
      </c>
      <c r="AD165" s="17" t="s">
        <v>1848</v>
      </c>
      <c r="AE165" s="6" t="s">
        <v>1844</v>
      </c>
      <c r="AF165" s="6" t="s">
        <v>1436</v>
      </c>
      <c r="AG165" s="6" t="s">
        <v>818</v>
      </c>
      <c r="AN165" s="4"/>
    </row>
    <row r="166" spans="1:40" x14ac:dyDescent="0.35">
      <c r="A166" s="5">
        <v>202043974</v>
      </c>
      <c r="B166" s="5" t="s">
        <v>1192</v>
      </c>
      <c r="C166" s="5" t="s">
        <v>91</v>
      </c>
      <c r="D166" s="5" t="s">
        <v>402</v>
      </c>
      <c r="E166" s="6" t="s">
        <v>689</v>
      </c>
      <c r="F166" s="7">
        <v>37541</v>
      </c>
      <c r="G166" s="10" t="s">
        <v>648</v>
      </c>
      <c r="H166" s="15" t="s">
        <v>666</v>
      </c>
      <c r="I166" s="4">
        <f>MIN(COUNTIFS('Data Family'!A:A,A166,'Data Family'!F:F,"Child")+COUNTIFS('Data Family'!A:A,A166,'Data Family'!F:F,"&lt;&gt;Child",'Data Family'!J:J,"Housewife")+COUNTIFS('Data Family'!A:A,A166,'Data Family'!F:F,"&lt;&gt;Child",'Data Family'!J:J,"Unemployment"),3)</f>
        <v>1</v>
      </c>
      <c r="J166" s="10" t="s">
        <v>791</v>
      </c>
      <c r="K166" s="7" t="s">
        <v>701</v>
      </c>
      <c r="L166" s="7">
        <v>45800</v>
      </c>
      <c r="M166" s="7">
        <v>47626</v>
      </c>
      <c r="N166" s="7"/>
      <c r="O166" s="4" t="str">
        <f t="shared" ca="1" si="8"/>
        <v/>
      </c>
      <c r="P166" s="4" t="str">
        <f t="shared" ca="1" si="9"/>
        <v>Active</v>
      </c>
      <c r="Q166" s="4" t="str">
        <f t="shared" si="11"/>
        <v>PKWT</v>
      </c>
      <c r="R166" s="7" t="s">
        <v>2980</v>
      </c>
      <c r="S166" s="4" t="s">
        <v>2986</v>
      </c>
      <c r="T166" s="4" t="s">
        <v>657</v>
      </c>
      <c r="U166" s="4" t="s">
        <v>2996</v>
      </c>
      <c r="V166" s="4" t="s">
        <v>670</v>
      </c>
      <c r="W166" s="4" t="s">
        <v>669</v>
      </c>
      <c r="X166" s="4" t="str">
        <f>_xlfn.XLOOKUP(V166,Reference!$O:$O,Reference!$N:$N,"Tidak Ketemu")</f>
        <v>G13</v>
      </c>
      <c r="Y166" s="4" t="str">
        <f t="shared" si="10"/>
        <v>TK/1</v>
      </c>
      <c r="Z166" s="10" t="s">
        <v>1195</v>
      </c>
      <c r="AA166" s="10" t="s">
        <v>1196</v>
      </c>
      <c r="AB166" s="7" t="s">
        <v>1197</v>
      </c>
      <c r="AC166" s="7" t="s">
        <v>3816</v>
      </c>
      <c r="AD166" s="17" t="s">
        <v>1198</v>
      </c>
      <c r="AE166" s="6" t="s">
        <v>1193</v>
      </c>
      <c r="AF166" s="6" t="s">
        <v>1194</v>
      </c>
      <c r="AG166" s="6" t="s">
        <v>704</v>
      </c>
      <c r="AN166" s="4"/>
    </row>
    <row r="167" spans="1:40" x14ac:dyDescent="0.35">
      <c r="A167" s="5">
        <v>202345166</v>
      </c>
      <c r="B167" s="5" t="s">
        <v>1480</v>
      </c>
      <c r="C167" s="5" t="s">
        <v>133</v>
      </c>
      <c r="D167" s="5" t="s">
        <v>444</v>
      </c>
      <c r="E167" s="6" t="s">
        <v>768</v>
      </c>
      <c r="F167" s="7">
        <v>37491</v>
      </c>
      <c r="G167" s="10" t="s">
        <v>648</v>
      </c>
      <c r="H167" s="15" t="s">
        <v>666</v>
      </c>
      <c r="I167" s="4">
        <f>MIN(COUNTIFS('Data Family'!A:A,A167,'Data Family'!F:F,"Child")+COUNTIFS('Data Family'!A:A,A167,'Data Family'!F:F,"&lt;&gt;Child",'Data Family'!J:J,"Housewife")+COUNTIFS('Data Family'!A:A,A167,'Data Family'!F:F,"&lt;&gt;Child",'Data Family'!J:J,"Unemployment"),3)</f>
        <v>0</v>
      </c>
      <c r="J167" s="10" t="s">
        <v>791</v>
      </c>
      <c r="K167" s="7" t="s">
        <v>701</v>
      </c>
      <c r="L167" s="7">
        <v>45166</v>
      </c>
      <c r="M167" s="7">
        <v>46262</v>
      </c>
      <c r="N167" s="7"/>
      <c r="O167" s="4" t="str">
        <f t="shared" ca="1" si="8"/>
        <v/>
      </c>
      <c r="P167" s="4" t="str">
        <f t="shared" ca="1" si="9"/>
        <v>Active</v>
      </c>
      <c r="Q167" s="4" t="str">
        <f t="shared" si="11"/>
        <v>PKWT</v>
      </c>
      <c r="R167" s="7" t="s">
        <v>2980</v>
      </c>
      <c r="S167" s="4" t="s">
        <v>2986</v>
      </c>
      <c r="T167" s="4" t="s">
        <v>657</v>
      </c>
      <c r="U167" s="4" t="s">
        <v>2996</v>
      </c>
      <c r="V167" s="4" t="s">
        <v>670</v>
      </c>
      <c r="W167" s="4" t="s">
        <v>669</v>
      </c>
      <c r="X167" s="4" t="str">
        <f>_xlfn.XLOOKUP(V167,Reference!$O:$O,Reference!$N:$N,"Tidak Ketemu")</f>
        <v>G13</v>
      </c>
      <c r="Y167" s="4" t="str">
        <f t="shared" si="10"/>
        <v>TK/0</v>
      </c>
      <c r="Z167" s="10" t="s">
        <v>1483</v>
      </c>
      <c r="AA167" s="10" t="s">
        <v>1484</v>
      </c>
      <c r="AB167" s="7" t="s">
        <v>1485</v>
      </c>
      <c r="AC167" s="7" t="s">
        <v>3816</v>
      </c>
      <c r="AD167" s="17" t="s">
        <v>1486</v>
      </c>
      <c r="AE167" s="6" t="s">
        <v>1481</v>
      </c>
      <c r="AF167" s="6" t="s">
        <v>1482</v>
      </c>
      <c r="AG167" s="6" t="s">
        <v>656</v>
      </c>
      <c r="AN167" s="4"/>
    </row>
    <row r="168" spans="1:40" x14ac:dyDescent="0.35">
      <c r="A168" s="5">
        <v>202244604</v>
      </c>
      <c r="B168" s="5" t="s">
        <v>1548</v>
      </c>
      <c r="C168" s="5" t="s">
        <v>211</v>
      </c>
      <c r="D168" s="5" t="s">
        <v>522</v>
      </c>
      <c r="E168" s="6" t="s">
        <v>3450</v>
      </c>
      <c r="F168" s="7">
        <v>37783</v>
      </c>
      <c r="G168" s="10" t="s">
        <v>648</v>
      </c>
      <c r="H168" s="15" t="s">
        <v>666</v>
      </c>
      <c r="I168" s="4">
        <f>MIN(COUNTIFS('Data Family'!A:A,A168,'Data Family'!F:F,"Child")+COUNTIFS('Data Family'!A:A,A168,'Data Family'!F:F,"&lt;&gt;Child",'Data Family'!J:J,"Housewife")+COUNTIFS('Data Family'!A:A,A168,'Data Family'!F:F,"&lt;&gt;Child",'Data Family'!J:J,"Unemployment"),3)</f>
        <v>0</v>
      </c>
      <c r="J168" s="10" t="s">
        <v>791</v>
      </c>
      <c r="K168" s="7" t="s">
        <v>652</v>
      </c>
      <c r="L168" s="7">
        <v>46065</v>
      </c>
      <c r="M168" s="7">
        <v>46430</v>
      </c>
      <c r="N168" s="7"/>
      <c r="O168" s="4" t="str">
        <f t="shared" ca="1" si="8"/>
        <v/>
      </c>
      <c r="P168" s="4" t="str">
        <f t="shared" ca="1" si="9"/>
        <v>Active</v>
      </c>
      <c r="Q168" s="4" t="str">
        <f t="shared" si="11"/>
        <v>PKWT</v>
      </c>
      <c r="R168" s="7" t="s">
        <v>2980</v>
      </c>
      <c r="S168" s="4" t="s">
        <v>2986</v>
      </c>
      <c r="T168" s="4" t="s">
        <v>657</v>
      </c>
      <c r="U168" s="4" t="s">
        <v>2996</v>
      </c>
      <c r="V168" s="4" t="s">
        <v>670</v>
      </c>
      <c r="W168" s="4" t="s">
        <v>669</v>
      </c>
      <c r="X168" s="4" t="str">
        <f>_xlfn.XLOOKUP(V168,Reference!$O:$O,Reference!$N:$N,"Tidak Ketemu")</f>
        <v>G13</v>
      </c>
      <c r="Y168" s="4" t="str">
        <f t="shared" si="10"/>
        <v>TK/0</v>
      </c>
      <c r="Z168" s="10" t="s">
        <v>1946</v>
      </c>
      <c r="AA168" s="10" t="s">
        <v>1947</v>
      </c>
      <c r="AB168" s="7" t="s">
        <v>1948</v>
      </c>
      <c r="AC168" s="7" t="s">
        <v>3816</v>
      </c>
      <c r="AD168" s="17" t="s">
        <v>1949</v>
      </c>
      <c r="AE168" s="6" t="s">
        <v>1945</v>
      </c>
      <c r="AF168" s="6" t="s">
        <v>1550</v>
      </c>
      <c r="AG168" s="6" t="s">
        <v>818</v>
      </c>
      <c r="AN168" s="4"/>
    </row>
    <row r="169" spans="1:40" x14ac:dyDescent="0.35">
      <c r="A169" s="5">
        <v>201943597</v>
      </c>
      <c r="B169" s="5" t="s">
        <v>2040</v>
      </c>
      <c r="C169" s="5" t="s">
        <v>316</v>
      </c>
      <c r="D169" s="5" t="s">
        <v>627</v>
      </c>
      <c r="E169" s="6" t="s">
        <v>689</v>
      </c>
      <c r="F169" s="7">
        <v>33002</v>
      </c>
      <c r="G169" s="10" t="s">
        <v>648</v>
      </c>
      <c r="H169" s="15" t="s">
        <v>651</v>
      </c>
      <c r="I169" s="4">
        <f>MIN(COUNTIFS('Data Family'!A:A,A169,'Data Family'!F:F,"Child")+COUNTIFS('Data Family'!A:A,A169,'Data Family'!F:F,"&lt;&gt;Child",'Data Family'!J:J,"Housewife")+COUNTIFS('Data Family'!A:A,A169,'Data Family'!F:F,"&lt;&gt;Child",'Data Family'!J:J,"Unemployment"),3)</f>
        <v>2</v>
      </c>
      <c r="J169" s="10" t="s">
        <v>791</v>
      </c>
      <c r="K169" s="7" t="s">
        <v>701</v>
      </c>
      <c r="L169" s="7">
        <v>43597</v>
      </c>
      <c r="M169" s="7"/>
      <c r="N169" s="7"/>
      <c r="O169" s="4" t="str">
        <f t="shared" ca="1" si="8"/>
        <v/>
      </c>
      <c r="P169" s="4" t="str">
        <f t="shared" ca="1" si="9"/>
        <v>Active</v>
      </c>
      <c r="Q169" s="4" t="str">
        <f t="shared" si="11"/>
        <v>PKWTT</v>
      </c>
      <c r="R169" s="7" t="s">
        <v>2980</v>
      </c>
      <c r="S169" s="4" t="s">
        <v>2986</v>
      </c>
      <c r="T169" s="4" t="s">
        <v>657</v>
      </c>
      <c r="U169" s="4" t="s">
        <v>2996</v>
      </c>
      <c r="V169" s="4" t="s">
        <v>706</v>
      </c>
      <c r="W169" s="4" t="s">
        <v>3060</v>
      </c>
      <c r="X169" s="4" t="str">
        <f>_xlfn.XLOOKUP(V169,Reference!$O:$O,Reference!$N:$N,"Tidak Ketemu")</f>
        <v>G08</v>
      </c>
      <c r="Y169" s="4" t="str">
        <f t="shared" si="10"/>
        <v>K/2</v>
      </c>
      <c r="Z169" s="10" t="s">
        <v>2514</v>
      </c>
      <c r="AA169" s="10" t="s">
        <v>2515</v>
      </c>
      <c r="AB169" s="7" t="s">
        <v>2516</v>
      </c>
      <c r="AC169" s="7" t="s">
        <v>3816</v>
      </c>
      <c r="AD169" s="17" t="s">
        <v>2517</v>
      </c>
      <c r="AE169" s="6" t="s">
        <v>2513</v>
      </c>
      <c r="AF169" s="6" t="s">
        <v>2042</v>
      </c>
      <c r="AG169" s="6" t="s">
        <v>731</v>
      </c>
      <c r="AN169" s="4"/>
    </row>
    <row r="170" spans="1:40" x14ac:dyDescent="0.35">
      <c r="A170" s="5">
        <v>201843265</v>
      </c>
      <c r="B170" s="5" t="s">
        <v>2021</v>
      </c>
      <c r="C170" s="5" t="s">
        <v>260</v>
      </c>
      <c r="D170" s="5" t="s">
        <v>571</v>
      </c>
      <c r="E170" s="6" t="s">
        <v>664</v>
      </c>
      <c r="F170" s="7">
        <v>37778</v>
      </c>
      <c r="G170" s="10" t="s">
        <v>648</v>
      </c>
      <c r="H170" s="15" t="s">
        <v>666</v>
      </c>
      <c r="I170" s="4">
        <f>MIN(COUNTIFS('Data Family'!A:A,A170,'Data Family'!F:F,"Child")+COUNTIFS('Data Family'!A:A,A170,'Data Family'!F:F,"&lt;&gt;Child",'Data Family'!J:J,"Housewife")+COUNTIFS('Data Family'!A:A,A170,'Data Family'!F:F,"&lt;&gt;Child",'Data Family'!J:J,"Unemployment"),3)</f>
        <v>0</v>
      </c>
      <c r="J170" s="10" t="s">
        <v>3001</v>
      </c>
      <c r="K170" s="7" t="s">
        <v>652</v>
      </c>
      <c r="L170" s="7">
        <v>45091</v>
      </c>
      <c r="M170" s="7">
        <v>46918</v>
      </c>
      <c r="N170" s="7"/>
      <c r="O170" s="4" t="str">
        <f t="shared" ca="1" si="8"/>
        <v/>
      </c>
      <c r="P170" s="4" t="str">
        <f t="shared" ca="1" si="9"/>
        <v>Active</v>
      </c>
      <c r="Q170" s="4" t="str">
        <f t="shared" si="11"/>
        <v>PKWT</v>
      </c>
      <c r="R170" s="7" t="s">
        <v>2980</v>
      </c>
      <c r="S170" s="4" t="s">
        <v>2986</v>
      </c>
      <c r="T170" s="4" t="s">
        <v>657</v>
      </c>
      <c r="U170" s="4" t="s">
        <v>2996</v>
      </c>
      <c r="V170" s="4" t="s">
        <v>670</v>
      </c>
      <c r="W170" s="4" t="s">
        <v>669</v>
      </c>
      <c r="X170" s="4" t="str">
        <f>_xlfn.XLOOKUP(V170,Reference!$O:$O,Reference!$N:$N,"Tidak Ketemu")</f>
        <v>G13</v>
      </c>
      <c r="Y170" s="4" t="str">
        <f t="shared" si="10"/>
        <v>TK/0</v>
      </c>
      <c r="Z170" s="10" t="s">
        <v>2214</v>
      </c>
      <c r="AA170" s="10" t="s">
        <v>2215</v>
      </c>
      <c r="AB170" s="7" t="s">
        <v>2216</v>
      </c>
      <c r="AC170" s="7" t="s">
        <v>3816</v>
      </c>
      <c r="AD170" s="17" t="s">
        <v>2217</v>
      </c>
      <c r="AE170" s="6" t="s">
        <v>2213</v>
      </c>
      <c r="AF170" s="6" t="s">
        <v>2023</v>
      </c>
      <c r="AG170" s="6" t="s">
        <v>694</v>
      </c>
      <c r="AN170" s="4"/>
    </row>
    <row r="171" spans="1:40" x14ac:dyDescent="0.35">
      <c r="A171" s="5">
        <v>202043910</v>
      </c>
      <c r="B171" s="5" t="s">
        <v>1776</v>
      </c>
      <c r="C171" s="5" t="s">
        <v>328</v>
      </c>
      <c r="D171" s="5" t="s">
        <v>639</v>
      </c>
      <c r="E171" s="6" t="s">
        <v>742</v>
      </c>
      <c r="F171" s="7">
        <v>32916</v>
      </c>
      <c r="G171" s="10" t="s">
        <v>648</v>
      </c>
      <c r="H171" s="15" t="s">
        <v>651</v>
      </c>
      <c r="I171" s="4">
        <f>MIN(COUNTIFS('Data Family'!A:A,A171,'Data Family'!F:F,"Child")+COUNTIFS('Data Family'!A:A,A171,'Data Family'!F:F,"&lt;&gt;Child",'Data Family'!J:J,"Housewife")+COUNTIFS('Data Family'!A:A,A171,'Data Family'!F:F,"&lt;&gt;Child",'Data Family'!J:J,"Unemployment"),3)</f>
        <v>2</v>
      </c>
      <c r="J171" s="10" t="s">
        <v>791</v>
      </c>
      <c r="K171" s="7" t="s">
        <v>701</v>
      </c>
      <c r="L171" s="7">
        <v>42449</v>
      </c>
      <c r="M171" s="7"/>
      <c r="N171" s="7"/>
      <c r="O171" s="4" t="str">
        <f t="shared" ca="1" si="8"/>
        <v/>
      </c>
      <c r="P171" s="4" t="str">
        <f t="shared" ca="1" si="9"/>
        <v>Active</v>
      </c>
      <c r="Q171" s="4" t="str">
        <f t="shared" si="11"/>
        <v>PKWTT</v>
      </c>
      <c r="R171" s="7" t="s">
        <v>2980</v>
      </c>
      <c r="S171" s="4" t="s">
        <v>2986</v>
      </c>
      <c r="T171" s="4" t="s">
        <v>657</v>
      </c>
      <c r="U171" s="4" t="s">
        <v>2996</v>
      </c>
      <c r="V171" s="4" t="s">
        <v>706</v>
      </c>
      <c r="W171" s="4" t="s">
        <v>3060</v>
      </c>
      <c r="X171" s="4" t="str">
        <f>_xlfn.XLOOKUP(V171,Reference!$O:$O,Reference!$N:$N,"Tidak Ketemu")</f>
        <v>G08</v>
      </c>
      <c r="Y171" s="4" t="str">
        <f t="shared" si="10"/>
        <v>K/2</v>
      </c>
      <c r="Z171" s="10" t="s">
        <v>2578</v>
      </c>
      <c r="AA171" s="10" t="s">
        <v>2579</v>
      </c>
      <c r="AB171" s="7" t="s">
        <v>2580</v>
      </c>
      <c r="AC171" s="7" t="s">
        <v>3816</v>
      </c>
      <c r="AD171" s="17" t="s">
        <v>2581</v>
      </c>
      <c r="AE171" s="6" t="s">
        <v>2577</v>
      </c>
      <c r="AF171" s="6" t="s">
        <v>1778</v>
      </c>
      <c r="AG171" s="6" t="s">
        <v>778</v>
      </c>
      <c r="AN171" s="4"/>
    </row>
    <row r="172" spans="1:40" x14ac:dyDescent="0.35">
      <c r="A172" s="5">
        <v>201943816</v>
      </c>
      <c r="B172" s="5" t="s">
        <v>1219</v>
      </c>
      <c r="C172" s="5" t="s">
        <v>160</v>
      </c>
      <c r="D172" s="5" t="s">
        <v>471</v>
      </c>
      <c r="E172" s="6" t="s">
        <v>689</v>
      </c>
      <c r="F172" s="7">
        <v>37983</v>
      </c>
      <c r="G172" s="10" t="s">
        <v>648</v>
      </c>
      <c r="H172" s="15" t="s">
        <v>666</v>
      </c>
      <c r="I172" s="4">
        <f>MIN(COUNTIFS('Data Family'!A:A,A172,'Data Family'!F:F,"Child")+COUNTIFS('Data Family'!A:A,A172,'Data Family'!F:F,"&lt;&gt;Child",'Data Family'!J:J,"Housewife")+COUNTIFS('Data Family'!A:A,A172,'Data Family'!F:F,"&lt;&gt;Child",'Data Family'!J:J,"Unemployment"),3)</f>
        <v>0</v>
      </c>
      <c r="J172" s="10" t="s">
        <v>791</v>
      </c>
      <c r="K172" s="7" t="s">
        <v>677</v>
      </c>
      <c r="L172" s="7">
        <v>45643</v>
      </c>
      <c r="M172" s="7">
        <v>46373</v>
      </c>
      <c r="N172" s="7"/>
      <c r="O172" s="4" t="str">
        <f t="shared" ca="1" si="8"/>
        <v/>
      </c>
      <c r="P172" s="4" t="str">
        <f t="shared" ca="1" si="9"/>
        <v>Active</v>
      </c>
      <c r="Q172" s="4" t="str">
        <f t="shared" si="11"/>
        <v>PKWT</v>
      </c>
      <c r="R172" s="7" t="s">
        <v>2980</v>
      </c>
      <c r="S172" s="4" t="s">
        <v>2986</v>
      </c>
      <c r="T172" s="4" t="s">
        <v>657</v>
      </c>
      <c r="U172" s="4" t="s">
        <v>2996</v>
      </c>
      <c r="V172" s="4" t="s">
        <v>670</v>
      </c>
      <c r="W172" s="4" t="s">
        <v>669</v>
      </c>
      <c r="X172" s="4" t="str">
        <f>_xlfn.XLOOKUP(V172,Reference!$O:$O,Reference!$N:$N,"Tidak Ketemu")</f>
        <v>G13</v>
      </c>
      <c r="Y172" s="4" t="str">
        <f t="shared" si="10"/>
        <v>TK/0</v>
      </c>
      <c r="Z172" s="10" t="s">
        <v>1642</v>
      </c>
      <c r="AA172" s="10" t="s">
        <v>1643</v>
      </c>
      <c r="AB172" s="7" t="s">
        <v>1644</v>
      </c>
      <c r="AC172" s="7" t="s">
        <v>3816</v>
      </c>
      <c r="AD172" s="17" t="s">
        <v>1645</v>
      </c>
      <c r="AE172" s="6" t="s">
        <v>1641</v>
      </c>
      <c r="AF172" s="6" t="s">
        <v>1221</v>
      </c>
      <c r="AG172" s="6" t="s">
        <v>704</v>
      </c>
      <c r="AN172" s="4"/>
    </row>
    <row r="173" spans="1:40" x14ac:dyDescent="0.35">
      <c r="A173" s="5">
        <v>202144474</v>
      </c>
      <c r="B173" s="5" t="s">
        <v>1332</v>
      </c>
      <c r="C173" s="5" t="s">
        <v>111</v>
      </c>
      <c r="D173" s="5" t="s">
        <v>422</v>
      </c>
      <c r="E173" s="6" t="s">
        <v>689</v>
      </c>
      <c r="F173" s="7">
        <v>33442</v>
      </c>
      <c r="G173" s="10" t="s">
        <v>648</v>
      </c>
      <c r="H173" s="15" t="s">
        <v>651</v>
      </c>
      <c r="I173" s="4">
        <f>MIN(COUNTIFS('Data Family'!A:A,A173,'Data Family'!F:F,"Child")+COUNTIFS('Data Family'!A:A,A173,'Data Family'!F:F,"&lt;&gt;Child",'Data Family'!J:J,"Housewife")+COUNTIFS('Data Family'!A:A,A173,'Data Family'!F:F,"&lt;&gt;Child",'Data Family'!J:J,"Unemployment"),3)</f>
        <v>2</v>
      </c>
      <c r="J173" s="10" t="s">
        <v>791</v>
      </c>
      <c r="K173" s="7" t="s">
        <v>677</v>
      </c>
      <c r="L173" s="7">
        <v>41917</v>
      </c>
      <c r="M173" s="7"/>
      <c r="N173" s="7"/>
      <c r="O173" s="4" t="str">
        <f t="shared" ca="1" si="8"/>
        <v/>
      </c>
      <c r="P173" s="4" t="str">
        <f t="shared" ca="1" si="9"/>
        <v>Active</v>
      </c>
      <c r="Q173" s="4" t="str">
        <f t="shared" si="11"/>
        <v>PKWTT</v>
      </c>
      <c r="R173" s="7" t="s">
        <v>2980</v>
      </c>
      <c r="S173" s="4" t="s">
        <v>2986</v>
      </c>
      <c r="T173" s="4" t="s">
        <v>657</v>
      </c>
      <c r="U173" s="4" t="s">
        <v>2996</v>
      </c>
      <c r="V173" s="4" t="s">
        <v>706</v>
      </c>
      <c r="W173" s="4" t="s">
        <v>3060</v>
      </c>
      <c r="X173" s="4" t="str">
        <f>_xlfn.XLOOKUP(V173,Reference!$O:$O,Reference!$N:$N,"Tidak Ketemu")</f>
        <v>G08</v>
      </c>
      <c r="Y173" s="4" t="str">
        <f t="shared" si="10"/>
        <v>K/2</v>
      </c>
      <c r="Z173" s="10" t="s">
        <v>1335</v>
      </c>
      <c r="AA173" s="10" t="s">
        <v>1336</v>
      </c>
      <c r="AB173" s="7" t="s">
        <v>1337</v>
      </c>
      <c r="AC173" s="7" t="s">
        <v>3816</v>
      </c>
      <c r="AD173" s="17" t="s">
        <v>1338</v>
      </c>
      <c r="AE173" s="6" t="s">
        <v>1333</v>
      </c>
      <c r="AF173" s="6" t="s">
        <v>1334</v>
      </c>
      <c r="AG173" s="6" t="s">
        <v>731</v>
      </c>
      <c r="AN173" s="4"/>
    </row>
    <row r="174" spans="1:40" x14ac:dyDescent="0.35">
      <c r="A174" s="5">
        <v>202144525</v>
      </c>
      <c r="B174" s="5" t="s">
        <v>913</v>
      </c>
      <c r="C174" s="5" t="s">
        <v>54</v>
      </c>
      <c r="D174" s="5" t="s">
        <v>365</v>
      </c>
      <c r="E174" s="6" t="s">
        <v>664</v>
      </c>
      <c r="F174" s="7">
        <v>33485</v>
      </c>
      <c r="G174" s="10" t="s">
        <v>648</v>
      </c>
      <c r="H174" s="15" t="s">
        <v>651</v>
      </c>
      <c r="I174" s="4">
        <f>MIN(COUNTIFS('Data Family'!A:A,A174,'Data Family'!F:F,"Child")+COUNTIFS('Data Family'!A:A,A174,'Data Family'!F:F,"&lt;&gt;Child",'Data Family'!J:J,"Housewife")+COUNTIFS('Data Family'!A:A,A174,'Data Family'!F:F,"&lt;&gt;Child",'Data Family'!J:J,"Unemployment"),3)</f>
        <v>3</v>
      </c>
      <c r="J174" s="10" t="s">
        <v>791</v>
      </c>
      <c r="K174" s="7" t="s">
        <v>652</v>
      </c>
      <c r="L174" s="7">
        <v>41968</v>
      </c>
      <c r="M174" s="7"/>
      <c r="N174" s="7"/>
      <c r="O174" s="4" t="str">
        <f t="shared" ca="1" si="8"/>
        <v/>
      </c>
      <c r="P174" s="4" t="str">
        <f t="shared" ca="1" si="9"/>
        <v>Active</v>
      </c>
      <c r="Q174" s="4" t="str">
        <f t="shared" si="11"/>
        <v>PKWTT</v>
      </c>
      <c r="R174" s="7" t="s">
        <v>2980</v>
      </c>
      <c r="S174" s="4" t="s">
        <v>2986</v>
      </c>
      <c r="T174" s="4" t="s">
        <v>657</v>
      </c>
      <c r="U174" s="4" t="s">
        <v>2996</v>
      </c>
      <c r="V174" s="4" t="s">
        <v>706</v>
      </c>
      <c r="W174" s="4" t="s">
        <v>3060</v>
      </c>
      <c r="X174" s="4" t="str">
        <f>_xlfn.XLOOKUP(V174,Reference!$O:$O,Reference!$N:$N,"Tidak Ketemu")</f>
        <v>G08</v>
      </c>
      <c r="Y174" s="4" t="str">
        <f t="shared" si="10"/>
        <v>K/3</v>
      </c>
      <c r="Z174" s="10" t="s">
        <v>917</v>
      </c>
      <c r="AA174" s="10" t="s">
        <v>918</v>
      </c>
      <c r="AB174" s="7" t="s">
        <v>919</v>
      </c>
      <c r="AC174" s="7" t="s">
        <v>3816</v>
      </c>
      <c r="AD174" s="17" t="s">
        <v>920</v>
      </c>
      <c r="AE174" s="6" t="s">
        <v>914</v>
      </c>
      <c r="AF174" s="6" t="s">
        <v>915</v>
      </c>
      <c r="AG174" s="6" t="s">
        <v>656</v>
      </c>
      <c r="AN174" s="4"/>
    </row>
    <row r="175" spans="1:40" x14ac:dyDescent="0.35">
      <c r="A175" s="5">
        <v>201843355</v>
      </c>
      <c r="B175" s="5" t="s">
        <v>1005</v>
      </c>
      <c r="C175" s="5" t="s">
        <v>66</v>
      </c>
      <c r="D175" s="5" t="s">
        <v>377</v>
      </c>
      <c r="E175" s="6" t="s">
        <v>809</v>
      </c>
      <c r="F175" s="7">
        <v>35988</v>
      </c>
      <c r="G175" s="10" t="s">
        <v>648</v>
      </c>
      <c r="H175" s="15" t="s">
        <v>651</v>
      </c>
      <c r="I175" s="4">
        <f>MIN(COUNTIFS('Data Family'!A:A,A175,'Data Family'!F:F,"Child")+COUNTIFS('Data Family'!A:A,A175,'Data Family'!F:F,"&lt;&gt;Child",'Data Family'!J:J,"Housewife")+COUNTIFS('Data Family'!A:A,A175,'Data Family'!F:F,"&lt;&gt;Child",'Data Family'!J:J,"Unemployment"),3)</f>
        <v>2</v>
      </c>
      <c r="J175" s="10" t="s">
        <v>791</v>
      </c>
      <c r="K175" s="7" t="s">
        <v>701</v>
      </c>
      <c r="L175" s="7">
        <v>43355</v>
      </c>
      <c r="M175" s="7"/>
      <c r="N175" s="7"/>
      <c r="O175" s="4" t="str">
        <f t="shared" ca="1" si="8"/>
        <v/>
      </c>
      <c r="P175" s="4" t="str">
        <f t="shared" ca="1" si="9"/>
        <v>Active</v>
      </c>
      <c r="Q175" s="4" t="str">
        <f t="shared" si="11"/>
        <v>PKWTT</v>
      </c>
      <c r="R175" s="7" t="s">
        <v>2980</v>
      </c>
      <c r="S175" s="4" t="s">
        <v>2986</v>
      </c>
      <c r="T175" s="4" t="s">
        <v>657</v>
      </c>
      <c r="U175" s="4" t="s">
        <v>2996</v>
      </c>
      <c r="V175" s="4" t="s">
        <v>706</v>
      </c>
      <c r="W175" s="4" t="s">
        <v>3060</v>
      </c>
      <c r="X175" s="4" t="str">
        <f>_xlfn.XLOOKUP(V175,Reference!$O:$O,Reference!$N:$N,"Tidak Ketemu")</f>
        <v>G08</v>
      </c>
      <c r="Y175" s="4" t="str">
        <f t="shared" si="10"/>
        <v>K/2</v>
      </c>
      <c r="Z175" s="10" t="s">
        <v>1008</v>
      </c>
      <c r="AA175" s="10" t="s">
        <v>1009</v>
      </c>
      <c r="AB175" s="7" t="s">
        <v>1010</v>
      </c>
      <c r="AC175" s="7" t="s">
        <v>3816</v>
      </c>
      <c r="AD175" s="17" t="s">
        <v>1011</v>
      </c>
      <c r="AE175" s="6" t="s">
        <v>1006</v>
      </c>
      <c r="AF175" s="6" t="s">
        <v>1007</v>
      </c>
      <c r="AG175" s="6" t="s">
        <v>778</v>
      </c>
      <c r="AN175" s="4"/>
    </row>
    <row r="176" spans="1:40" x14ac:dyDescent="0.35">
      <c r="A176" s="5">
        <v>201441661</v>
      </c>
      <c r="B176" s="5" t="s">
        <v>1030</v>
      </c>
      <c r="C176" s="5" t="s">
        <v>69</v>
      </c>
      <c r="D176" s="5" t="s">
        <v>380</v>
      </c>
      <c r="E176" s="6" t="s">
        <v>768</v>
      </c>
      <c r="F176" s="7">
        <v>38103</v>
      </c>
      <c r="G176" s="10" t="s">
        <v>648</v>
      </c>
      <c r="H176" s="15" t="s">
        <v>666</v>
      </c>
      <c r="I176" s="4">
        <f>MIN(COUNTIFS('Data Family'!A:A,A176,'Data Family'!F:F,"Child")+COUNTIFS('Data Family'!A:A,A176,'Data Family'!F:F,"&lt;&gt;Child",'Data Family'!J:J,"Housewife")+COUNTIFS('Data Family'!A:A,A176,'Data Family'!F:F,"&lt;&gt;Child",'Data Family'!J:J,"Unemployment"),3)</f>
        <v>0</v>
      </c>
      <c r="J176" s="10" t="s">
        <v>791</v>
      </c>
      <c r="K176" s="7" t="s">
        <v>677</v>
      </c>
      <c r="L176" s="7">
        <v>44948</v>
      </c>
      <c r="M176" s="7">
        <v>46774</v>
      </c>
      <c r="N176" s="7"/>
      <c r="O176" s="4" t="str">
        <f t="shared" ca="1" si="8"/>
        <v/>
      </c>
      <c r="P176" s="4" t="str">
        <f t="shared" ca="1" si="9"/>
        <v>Active</v>
      </c>
      <c r="Q176" s="4" t="str">
        <f t="shared" si="11"/>
        <v>PKWT</v>
      </c>
      <c r="R176" s="7" t="s">
        <v>2980</v>
      </c>
      <c r="S176" s="4" t="s">
        <v>2986</v>
      </c>
      <c r="T176" s="4" t="s">
        <v>657</v>
      </c>
      <c r="U176" s="4" t="s">
        <v>2996</v>
      </c>
      <c r="V176" s="4" t="s">
        <v>670</v>
      </c>
      <c r="W176" s="4" t="s">
        <v>669</v>
      </c>
      <c r="X176" s="4" t="str">
        <f>_xlfn.XLOOKUP(V176,Reference!$O:$O,Reference!$N:$N,"Tidak Ketemu")</f>
        <v>G13</v>
      </c>
      <c r="Y176" s="4" t="str">
        <f t="shared" si="10"/>
        <v>TK/0</v>
      </c>
      <c r="Z176" s="10" t="s">
        <v>1033</v>
      </c>
      <c r="AA176" s="10" t="s">
        <v>1034</v>
      </c>
      <c r="AB176" s="7" t="s">
        <v>1035</v>
      </c>
      <c r="AC176" s="7" t="s">
        <v>3816</v>
      </c>
      <c r="AD176" s="17" t="s">
        <v>1036</v>
      </c>
      <c r="AE176" s="6" t="s">
        <v>1031</v>
      </c>
      <c r="AF176" s="6" t="s">
        <v>1032</v>
      </c>
      <c r="AG176" s="6" t="s">
        <v>818</v>
      </c>
      <c r="AN176" s="4"/>
    </row>
    <row r="177" spans="1:40" x14ac:dyDescent="0.35">
      <c r="A177" s="5">
        <v>201943713</v>
      </c>
      <c r="B177" s="5" t="s">
        <v>2033</v>
      </c>
      <c r="C177" s="5" t="s">
        <v>227</v>
      </c>
      <c r="D177" s="5" t="s">
        <v>538</v>
      </c>
      <c r="E177" s="6" t="s">
        <v>742</v>
      </c>
      <c r="F177" s="7">
        <v>34269</v>
      </c>
      <c r="G177" s="10" t="s">
        <v>648</v>
      </c>
      <c r="H177" s="15" t="s">
        <v>651</v>
      </c>
      <c r="I177" s="4">
        <f>MIN(COUNTIFS('Data Family'!A:A,A177,'Data Family'!F:F,"Child")+COUNTIFS('Data Family'!A:A,A177,'Data Family'!F:F,"&lt;&gt;Child",'Data Family'!J:J,"Housewife")+COUNTIFS('Data Family'!A:A,A177,'Data Family'!F:F,"&lt;&gt;Child",'Data Family'!J:J,"Unemployment"),3)</f>
        <v>1</v>
      </c>
      <c r="J177" s="10" t="s">
        <v>791</v>
      </c>
      <c r="K177" s="7" t="s">
        <v>691</v>
      </c>
      <c r="L177" s="7">
        <v>43348</v>
      </c>
      <c r="M177" s="7"/>
      <c r="N177" s="7"/>
      <c r="O177" s="4" t="str">
        <f t="shared" ca="1" si="8"/>
        <v/>
      </c>
      <c r="P177" s="4" t="str">
        <f t="shared" ca="1" si="9"/>
        <v>Active</v>
      </c>
      <c r="Q177" s="4" t="str">
        <f t="shared" si="11"/>
        <v>PKWTT</v>
      </c>
      <c r="R177" s="7" t="s">
        <v>2980</v>
      </c>
      <c r="S177" s="4" t="s">
        <v>2986</v>
      </c>
      <c r="T177" s="4" t="s">
        <v>657</v>
      </c>
      <c r="U177" s="4" t="s">
        <v>2996</v>
      </c>
      <c r="V177" s="4" t="s">
        <v>706</v>
      </c>
      <c r="W177" s="4" t="s">
        <v>3060</v>
      </c>
      <c r="X177" s="4" t="str">
        <f>_xlfn.XLOOKUP(V177,Reference!$O:$O,Reference!$N:$N,"Tidak Ketemu")</f>
        <v>G08</v>
      </c>
      <c r="Y177" s="4" t="str">
        <f t="shared" si="10"/>
        <v>K/1</v>
      </c>
      <c r="Z177" s="10" t="s">
        <v>2036</v>
      </c>
      <c r="AA177" s="10" t="s">
        <v>2037</v>
      </c>
      <c r="AB177" s="7" t="s">
        <v>2038</v>
      </c>
      <c r="AC177" s="7" t="s">
        <v>3816</v>
      </c>
      <c r="AD177" s="17" t="s">
        <v>2039</v>
      </c>
      <c r="AE177" s="6" t="s">
        <v>2034</v>
      </c>
      <c r="AF177" s="6" t="s">
        <v>2035</v>
      </c>
      <c r="AG177" s="6" t="s">
        <v>818</v>
      </c>
      <c r="AN177" s="4"/>
    </row>
    <row r="178" spans="1:40" x14ac:dyDescent="0.35">
      <c r="A178" s="5">
        <v>201943712</v>
      </c>
      <c r="B178" s="5" t="s">
        <v>2194</v>
      </c>
      <c r="C178" s="5" t="s">
        <v>268</v>
      </c>
      <c r="D178" s="5" t="s">
        <v>579</v>
      </c>
      <c r="E178" s="6" t="s">
        <v>809</v>
      </c>
      <c r="F178" s="7">
        <v>37886</v>
      </c>
      <c r="G178" s="10" t="s">
        <v>648</v>
      </c>
      <c r="H178" s="15" t="s">
        <v>666</v>
      </c>
      <c r="I178" s="4">
        <f>MIN(COUNTIFS('Data Family'!A:A,A178,'Data Family'!F:F,"Child")+COUNTIFS('Data Family'!A:A,A178,'Data Family'!F:F,"&lt;&gt;Child",'Data Family'!J:J,"Housewife")+COUNTIFS('Data Family'!A:A,A178,'Data Family'!F:F,"&lt;&gt;Child",'Data Family'!J:J,"Unemployment"),3)</f>
        <v>0</v>
      </c>
      <c r="J178" s="10" t="s">
        <v>791</v>
      </c>
      <c r="K178" s="7" t="s">
        <v>677</v>
      </c>
      <c r="L178" s="7">
        <v>45539</v>
      </c>
      <c r="M178" s="7">
        <v>47365</v>
      </c>
      <c r="N178" s="7"/>
      <c r="O178" s="4" t="str">
        <f t="shared" ca="1" si="8"/>
        <v/>
      </c>
      <c r="P178" s="4" t="str">
        <f t="shared" ca="1" si="9"/>
        <v>Active</v>
      </c>
      <c r="Q178" s="4" t="str">
        <f t="shared" si="11"/>
        <v>PKWT</v>
      </c>
      <c r="R178" s="7" t="s">
        <v>2980</v>
      </c>
      <c r="S178" s="4" t="s">
        <v>2986</v>
      </c>
      <c r="T178" s="4" t="s">
        <v>657</v>
      </c>
      <c r="U178" s="4" t="s">
        <v>2996</v>
      </c>
      <c r="V178" s="4" t="s">
        <v>670</v>
      </c>
      <c r="W178" s="4" t="s">
        <v>669</v>
      </c>
      <c r="X178" s="4" t="str">
        <f>_xlfn.XLOOKUP(V178,Reference!$O:$O,Reference!$N:$N,"Tidak Ketemu")</f>
        <v>G13</v>
      </c>
      <c r="Y178" s="4" t="str">
        <f t="shared" si="10"/>
        <v>TK/0</v>
      </c>
      <c r="Z178" s="10" t="s">
        <v>2260</v>
      </c>
      <c r="AA178" s="10" t="s">
        <v>2261</v>
      </c>
      <c r="AB178" s="7" t="s">
        <v>2262</v>
      </c>
      <c r="AC178" s="7" t="s">
        <v>3816</v>
      </c>
      <c r="AD178" s="17" t="s">
        <v>2263</v>
      </c>
      <c r="AE178" s="6" t="s">
        <v>2259</v>
      </c>
      <c r="AF178" s="6" t="s">
        <v>2196</v>
      </c>
      <c r="AG178" s="6" t="s">
        <v>731</v>
      </c>
      <c r="AN178" s="4"/>
    </row>
    <row r="179" spans="1:40" x14ac:dyDescent="0.35">
      <c r="A179" s="5">
        <v>201642451</v>
      </c>
      <c r="B179" s="5" t="s">
        <v>2466</v>
      </c>
      <c r="C179" s="5" t="s">
        <v>307</v>
      </c>
      <c r="D179" s="5" t="s">
        <v>618</v>
      </c>
      <c r="E179" s="6" t="s">
        <v>649</v>
      </c>
      <c r="F179" s="7">
        <v>38127</v>
      </c>
      <c r="G179" s="10" t="s">
        <v>648</v>
      </c>
      <c r="H179" s="15" t="s">
        <v>666</v>
      </c>
      <c r="I179" s="4">
        <f>MIN(COUNTIFS('Data Family'!A:A,A179,'Data Family'!F:F,"Child")+COUNTIFS('Data Family'!A:A,A179,'Data Family'!F:F,"&lt;&gt;Child",'Data Family'!J:J,"Housewife")+COUNTIFS('Data Family'!A:A,A179,'Data Family'!F:F,"&lt;&gt;Child",'Data Family'!J:J,"Unemployment"),3)</f>
        <v>0</v>
      </c>
      <c r="J179" s="10" t="s">
        <v>3001</v>
      </c>
      <c r="K179" s="7" t="s">
        <v>677</v>
      </c>
      <c r="L179" s="7">
        <v>45007</v>
      </c>
      <c r="M179" s="7">
        <v>46834</v>
      </c>
      <c r="N179" s="7"/>
      <c r="O179" s="4" t="str">
        <f t="shared" ca="1" si="8"/>
        <v/>
      </c>
      <c r="P179" s="4" t="str">
        <f t="shared" ca="1" si="9"/>
        <v>Active</v>
      </c>
      <c r="Q179" s="4" t="str">
        <f t="shared" si="11"/>
        <v>PKWT</v>
      </c>
      <c r="R179" s="7" t="s">
        <v>2980</v>
      </c>
      <c r="S179" s="4" t="s">
        <v>2986</v>
      </c>
      <c r="T179" s="4" t="s">
        <v>657</v>
      </c>
      <c r="U179" s="4" t="s">
        <v>2996</v>
      </c>
      <c r="V179" s="4" t="s">
        <v>670</v>
      </c>
      <c r="W179" s="4" t="s">
        <v>669</v>
      </c>
      <c r="X179" s="4" t="str">
        <f>_xlfn.XLOOKUP(V179,Reference!$O:$O,Reference!$N:$N,"Tidak Ketemu")</f>
        <v>G13</v>
      </c>
      <c r="Y179" s="4" t="str">
        <f t="shared" si="10"/>
        <v>TK/0</v>
      </c>
      <c r="Z179" s="10" t="s">
        <v>2469</v>
      </c>
      <c r="AA179" s="10" t="s">
        <v>2470</v>
      </c>
      <c r="AB179" s="7" t="s">
        <v>2471</v>
      </c>
      <c r="AC179" s="7" t="s">
        <v>3816</v>
      </c>
      <c r="AD179" s="17" t="s">
        <v>2472</v>
      </c>
      <c r="AE179" s="6" t="s">
        <v>2467</v>
      </c>
      <c r="AF179" s="6" t="s">
        <v>2468</v>
      </c>
      <c r="AG179" s="6" t="s">
        <v>731</v>
      </c>
      <c r="AN179" s="4"/>
    </row>
    <row r="180" spans="1:40" x14ac:dyDescent="0.35">
      <c r="A180" s="5">
        <v>202345218</v>
      </c>
      <c r="B180" s="5" t="s">
        <v>892</v>
      </c>
      <c r="C180" s="5" t="s">
        <v>327</v>
      </c>
      <c r="D180" s="5" t="s">
        <v>638</v>
      </c>
      <c r="E180" s="6" t="s">
        <v>742</v>
      </c>
      <c r="F180" s="7">
        <v>37828</v>
      </c>
      <c r="G180" s="10" t="s">
        <v>648</v>
      </c>
      <c r="H180" s="15" t="s">
        <v>666</v>
      </c>
      <c r="I180" s="4">
        <f>MIN(COUNTIFS('Data Family'!A:A,A180,'Data Family'!F:F,"Child")+COUNTIFS('Data Family'!A:A,A180,'Data Family'!F:F,"&lt;&gt;Child",'Data Family'!J:J,"Housewife")+COUNTIFS('Data Family'!A:A,A180,'Data Family'!F:F,"&lt;&gt;Child",'Data Family'!J:J,"Unemployment"),3)</f>
        <v>0</v>
      </c>
      <c r="J180" s="10" t="s">
        <v>791</v>
      </c>
      <c r="K180" s="7" t="s">
        <v>691</v>
      </c>
      <c r="L180" s="7">
        <v>45218</v>
      </c>
      <c r="M180" s="7">
        <v>46314</v>
      </c>
      <c r="N180" s="7"/>
      <c r="O180" s="4" t="str">
        <f t="shared" ca="1" si="8"/>
        <v/>
      </c>
      <c r="P180" s="4" t="str">
        <f t="shared" ca="1" si="9"/>
        <v>Active</v>
      </c>
      <c r="Q180" s="4" t="str">
        <f t="shared" si="11"/>
        <v>PKWT</v>
      </c>
      <c r="R180" s="7" t="s">
        <v>2980</v>
      </c>
      <c r="S180" s="4" t="s">
        <v>2986</v>
      </c>
      <c r="T180" s="4" t="s">
        <v>657</v>
      </c>
      <c r="U180" s="4" t="s">
        <v>2996</v>
      </c>
      <c r="V180" s="4" t="s">
        <v>670</v>
      </c>
      <c r="W180" s="4" t="s">
        <v>669</v>
      </c>
      <c r="X180" s="4" t="str">
        <f>_xlfn.XLOOKUP(V180,Reference!$O:$O,Reference!$N:$N,"Tidak Ketemu")</f>
        <v>G13</v>
      </c>
      <c r="Y180" s="4" t="str">
        <f t="shared" si="10"/>
        <v>TK/0</v>
      </c>
      <c r="Z180" s="10" t="s">
        <v>2573</v>
      </c>
      <c r="AA180" s="10" t="s">
        <v>2574</v>
      </c>
      <c r="AB180" s="7" t="s">
        <v>2575</v>
      </c>
      <c r="AC180" s="7" t="s">
        <v>3816</v>
      </c>
      <c r="AD180" s="17" t="s">
        <v>2576</v>
      </c>
      <c r="AE180" s="6" t="s">
        <v>2572</v>
      </c>
      <c r="AF180" s="6" t="s">
        <v>893</v>
      </c>
      <c r="AG180" s="6" t="s">
        <v>778</v>
      </c>
      <c r="AN180" s="4"/>
    </row>
    <row r="181" spans="1:40" x14ac:dyDescent="0.35">
      <c r="A181" s="5">
        <v>202344990</v>
      </c>
      <c r="B181" s="5" t="s">
        <v>1190</v>
      </c>
      <c r="C181" s="5" t="s">
        <v>261</v>
      </c>
      <c r="D181" s="5" t="s">
        <v>572</v>
      </c>
      <c r="E181" s="6" t="s">
        <v>809</v>
      </c>
      <c r="F181" s="7">
        <v>37870</v>
      </c>
      <c r="G181" s="10" t="s">
        <v>648</v>
      </c>
      <c r="H181" s="15" t="s">
        <v>666</v>
      </c>
      <c r="I181" s="4">
        <f>MIN(COUNTIFS('Data Family'!A:A,A181,'Data Family'!F:F,"Child")+COUNTIFS('Data Family'!A:A,A181,'Data Family'!F:F,"&lt;&gt;Child",'Data Family'!J:J,"Housewife")+COUNTIFS('Data Family'!A:A,A181,'Data Family'!F:F,"&lt;&gt;Child",'Data Family'!J:J,"Unemployment"),3)</f>
        <v>0</v>
      </c>
      <c r="J181" s="10" t="s">
        <v>791</v>
      </c>
      <c r="K181" s="7" t="s">
        <v>691</v>
      </c>
      <c r="L181" s="7">
        <v>44990</v>
      </c>
      <c r="M181" s="7">
        <v>46817</v>
      </c>
      <c r="N181" s="7"/>
      <c r="O181" s="4" t="str">
        <f t="shared" ca="1" si="8"/>
        <v/>
      </c>
      <c r="P181" s="4" t="str">
        <f t="shared" ca="1" si="9"/>
        <v>Active</v>
      </c>
      <c r="Q181" s="4" t="str">
        <f t="shared" si="11"/>
        <v>PKWT</v>
      </c>
      <c r="R181" s="7" t="s">
        <v>2980</v>
      </c>
      <c r="S181" s="4" t="s">
        <v>2986</v>
      </c>
      <c r="T181" s="4" t="s">
        <v>657</v>
      </c>
      <c r="U181" s="4" t="s">
        <v>2996</v>
      </c>
      <c r="V181" s="4" t="s">
        <v>670</v>
      </c>
      <c r="W181" s="4" t="s">
        <v>669</v>
      </c>
      <c r="X181" s="4" t="str">
        <f>_xlfn.XLOOKUP(V181,Reference!$O:$O,Reference!$N:$N,"Tidak Ketemu")</f>
        <v>G13</v>
      </c>
      <c r="Y181" s="4" t="str">
        <f t="shared" si="10"/>
        <v>TK/0</v>
      </c>
      <c r="Z181" s="10" t="s">
        <v>2219</v>
      </c>
      <c r="AA181" s="10" t="s">
        <v>2220</v>
      </c>
      <c r="AB181" s="7" t="s">
        <v>2221</v>
      </c>
      <c r="AC181" s="7" t="s">
        <v>3816</v>
      </c>
      <c r="AD181" s="17" t="s">
        <v>2222</v>
      </c>
      <c r="AE181" s="6" t="s">
        <v>2218</v>
      </c>
      <c r="AF181" s="6" t="s">
        <v>1191</v>
      </c>
      <c r="AG181" s="6" t="s">
        <v>704</v>
      </c>
      <c r="AN181" s="4"/>
    </row>
    <row r="182" spans="1:40" x14ac:dyDescent="0.35">
      <c r="A182" s="5">
        <v>202345147</v>
      </c>
      <c r="B182" s="5" t="s">
        <v>1268</v>
      </c>
      <c r="C182" s="5" t="s">
        <v>295</v>
      </c>
      <c r="D182" s="5" t="s">
        <v>606</v>
      </c>
      <c r="E182" s="6" t="s">
        <v>664</v>
      </c>
      <c r="F182" s="7">
        <v>37974</v>
      </c>
      <c r="G182" s="10" t="s">
        <v>648</v>
      </c>
      <c r="H182" s="15" t="s">
        <v>666</v>
      </c>
      <c r="I182" s="4">
        <f>MIN(COUNTIFS('Data Family'!A:A,A182,'Data Family'!F:F,"Child")+COUNTIFS('Data Family'!A:A,A182,'Data Family'!F:F,"&lt;&gt;Child",'Data Family'!J:J,"Housewife")+COUNTIFS('Data Family'!A:A,A182,'Data Family'!F:F,"&lt;&gt;Child",'Data Family'!J:J,"Unemployment"),3)</f>
        <v>0</v>
      </c>
      <c r="J182" s="10" t="s">
        <v>3001</v>
      </c>
      <c r="K182" s="7" t="s">
        <v>691</v>
      </c>
      <c r="L182" s="7">
        <v>45147</v>
      </c>
      <c r="M182" s="7">
        <v>46243</v>
      </c>
      <c r="N182" s="7"/>
      <c r="O182" s="4" t="str">
        <f t="shared" ca="1" si="8"/>
        <v/>
      </c>
      <c r="P182" s="4" t="str">
        <f t="shared" ca="1" si="9"/>
        <v>Active</v>
      </c>
      <c r="Q182" s="4" t="str">
        <f t="shared" si="11"/>
        <v>PKWT</v>
      </c>
      <c r="R182" s="7" t="s">
        <v>2980</v>
      </c>
      <c r="S182" s="4" t="s">
        <v>2986</v>
      </c>
      <c r="T182" s="4" t="s">
        <v>657</v>
      </c>
      <c r="U182" s="4" t="s">
        <v>2996</v>
      </c>
      <c r="V182" s="4" t="s">
        <v>670</v>
      </c>
      <c r="W182" s="4" t="s">
        <v>669</v>
      </c>
      <c r="X182" s="4" t="str">
        <f>_xlfn.XLOOKUP(V182,Reference!$O:$O,Reference!$N:$N,"Tidak Ketemu")</f>
        <v>G13</v>
      </c>
      <c r="Y182" s="4" t="str">
        <f t="shared" si="10"/>
        <v>TK/0</v>
      </c>
      <c r="Z182" s="10" t="s">
        <v>2405</v>
      </c>
      <c r="AA182" s="10" t="s">
        <v>2406</v>
      </c>
      <c r="AB182" s="7" t="s">
        <v>2407</v>
      </c>
      <c r="AC182" s="7" t="s">
        <v>3816</v>
      </c>
      <c r="AD182" s="17" t="s">
        <v>2408</v>
      </c>
      <c r="AE182" s="6" t="s">
        <v>2404</v>
      </c>
      <c r="AF182" s="6" t="s">
        <v>1270</v>
      </c>
      <c r="AG182" s="6" t="s">
        <v>704</v>
      </c>
      <c r="AN182" s="4"/>
    </row>
    <row r="183" spans="1:40" x14ac:dyDescent="0.35">
      <c r="A183" s="5">
        <v>202244574</v>
      </c>
      <c r="B183" s="5" t="s">
        <v>1776</v>
      </c>
      <c r="C183" s="5" t="s">
        <v>304</v>
      </c>
      <c r="D183" s="5" t="s">
        <v>615</v>
      </c>
      <c r="E183" s="6" t="s">
        <v>664</v>
      </c>
      <c r="F183" s="7">
        <v>37966</v>
      </c>
      <c r="G183" s="10" t="s">
        <v>648</v>
      </c>
      <c r="H183" s="15" t="s">
        <v>666</v>
      </c>
      <c r="I183" s="4">
        <f>MIN(COUNTIFS('Data Family'!A:A,A183,'Data Family'!F:F,"Child")+COUNTIFS('Data Family'!A:A,A183,'Data Family'!F:F,"&lt;&gt;Child",'Data Family'!J:J,"Housewife")+COUNTIFS('Data Family'!A:A,A183,'Data Family'!F:F,"&lt;&gt;Child",'Data Family'!J:J,"Unemployment"),3)</f>
        <v>0</v>
      </c>
      <c r="J183" s="10" t="s">
        <v>791</v>
      </c>
      <c r="K183" s="7" t="s">
        <v>691</v>
      </c>
      <c r="L183" s="7">
        <v>46035</v>
      </c>
      <c r="M183" s="7">
        <v>46765</v>
      </c>
      <c r="N183" s="7"/>
      <c r="O183" s="4" t="str">
        <f t="shared" ca="1" si="8"/>
        <v/>
      </c>
      <c r="P183" s="4" t="str">
        <f t="shared" ca="1" si="9"/>
        <v>Active</v>
      </c>
      <c r="Q183" s="4" t="str">
        <f t="shared" si="11"/>
        <v>PKWT</v>
      </c>
      <c r="R183" s="7" t="s">
        <v>2980</v>
      </c>
      <c r="S183" s="4" t="s">
        <v>2986</v>
      </c>
      <c r="T183" s="4" t="s">
        <v>657</v>
      </c>
      <c r="U183" s="4" t="s">
        <v>2996</v>
      </c>
      <c r="V183" s="4" t="s">
        <v>670</v>
      </c>
      <c r="W183" s="4" t="s">
        <v>669</v>
      </c>
      <c r="X183" s="4" t="str">
        <f>_xlfn.XLOOKUP(V183,Reference!$O:$O,Reference!$N:$N,"Tidak Ketemu")</f>
        <v>G13</v>
      </c>
      <c r="Y183" s="4" t="str">
        <f t="shared" si="10"/>
        <v>TK/0</v>
      </c>
      <c r="Z183" s="10" t="s">
        <v>2450</v>
      </c>
      <c r="AA183" s="10" t="s">
        <v>2451</v>
      </c>
      <c r="AB183" s="7" t="s">
        <v>2452</v>
      </c>
      <c r="AC183" s="7" t="s">
        <v>3816</v>
      </c>
      <c r="AD183" s="17" t="s">
        <v>2453</v>
      </c>
      <c r="AE183" s="6" t="s">
        <v>2449</v>
      </c>
      <c r="AF183" s="6" t="s">
        <v>1778</v>
      </c>
      <c r="AG183" s="6" t="s">
        <v>680</v>
      </c>
      <c r="AN183" s="4"/>
    </row>
    <row r="184" spans="1:40" x14ac:dyDescent="0.35">
      <c r="A184" s="5">
        <v>201843207</v>
      </c>
      <c r="B184" s="5" t="s">
        <v>2528</v>
      </c>
      <c r="C184" s="5" t="s">
        <v>319</v>
      </c>
      <c r="D184" s="5" t="s">
        <v>630</v>
      </c>
      <c r="E184" s="6" t="s">
        <v>649</v>
      </c>
      <c r="F184" s="7">
        <v>37820</v>
      </c>
      <c r="G184" s="10" t="s">
        <v>648</v>
      </c>
      <c r="H184" s="15" t="s">
        <v>666</v>
      </c>
      <c r="I184" s="4">
        <f>MIN(COUNTIFS('Data Family'!A:A,A184,'Data Family'!F:F,"Child")+COUNTIFS('Data Family'!A:A,A184,'Data Family'!F:F,"&lt;&gt;Child",'Data Family'!J:J,"Housewife")+COUNTIFS('Data Family'!A:A,A184,'Data Family'!F:F,"&lt;&gt;Child",'Data Family'!J:J,"Unemployment"),3)</f>
        <v>0</v>
      </c>
      <c r="J184" s="10" t="s">
        <v>791</v>
      </c>
      <c r="K184" s="7" t="s">
        <v>691</v>
      </c>
      <c r="L184" s="7">
        <v>45033</v>
      </c>
      <c r="M184" s="7">
        <v>46860</v>
      </c>
      <c r="N184" s="7"/>
      <c r="O184" s="4" t="str">
        <f t="shared" ca="1" si="8"/>
        <v/>
      </c>
      <c r="P184" s="4" t="str">
        <f t="shared" ca="1" si="9"/>
        <v>Active</v>
      </c>
      <c r="Q184" s="4" t="str">
        <f t="shared" si="11"/>
        <v>PKWT</v>
      </c>
      <c r="R184" s="7" t="s">
        <v>2980</v>
      </c>
      <c r="S184" s="4" t="s">
        <v>2986</v>
      </c>
      <c r="T184" s="4" t="s">
        <v>657</v>
      </c>
      <c r="U184" s="4" t="s">
        <v>2996</v>
      </c>
      <c r="V184" s="4" t="s">
        <v>670</v>
      </c>
      <c r="W184" s="4" t="s">
        <v>669</v>
      </c>
      <c r="X184" s="4" t="str">
        <f>_xlfn.XLOOKUP(V184,Reference!$O:$O,Reference!$N:$N,"Tidak Ketemu")</f>
        <v>G13</v>
      </c>
      <c r="Y184" s="4" t="str">
        <f t="shared" si="10"/>
        <v>TK/0</v>
      </c>
      <c r="Z184" s="10" t="s">
        <v>2531</v>
      </c>
      <c r="AA184" s="10" t="s">
        <v>2532</v>
      </c>
      <c r="AB184" s="7" t="s">
        <v>2533</v>
      </c>
      <c r="AC184" s="7" t="s">
        <v>3816</v>
      </c>
      <c r="AD184" s="17" t="s">
        <v>2534</v>
      </c>
      <c r="AE184" s="6" t="s">
        <v>2529</v>
      </c>
      <c r="AF184" s="6" t="s">
        <v>2530</v>
      </c>
      <c r="AG184" s="6" t="s">
        <v>680</v>
      </c>
      <c r="AN184" s="4"/>
    </row>
    <row r="185" spans="1:40" x14ac:dyDescent="0.35">
      <c r="A185" s="5">
        <v>201843299</v>
      </c>
      <c r="B185" s="5" t="s">
        <v>820</v>
      </c>
      <c r="C185" s="5" t="s">
        <v>42</v>
      </c>
      <c r="D185" s="5" t="s">
        <v>353</v>
      </c>
      <c r="E185" s="6" t="s">
        <v>3437</v>
      </c>
      <c r="F185" s="7">
        <v>38185</v>
      </c>
      <c r="G185" s="10" t="s">
        <v>648</v>
      </c>
      <c r="H185" s="15" t="s">
        <v>666</v>
      </c>
      <c r="I185" s="4">
        <f>MIN(COUNTIFS('Data Family'!A:A,A185,'Data Family'!F:F,"Child")+COUNTIFS('Data Family'!A:A,A185,'Data Family'!F:F,"&lt;&gt;Child",'Data Family'!J:J,"Housewife")+COUNTIFS('Data Family'!A:A,A185,'Data Family'!F:F,"&lt;&gt;Child",'Data Family'!J:J,"Unemployment"),3)</f>
        <v>0</v>
      </c>
      <c r="J185" s="10" t="s">
        <v>791</v>
      </c>
      <c r="K185" s="7" t="s">
        <v>691</v>
      </c>
      <c r="L185" s="7">
        <v>45125</v>
      </c>
      <c r="M185" s="7">
        <v>46952</v>
      </c>
      <c r="N185" s="7"/>
      <c r="O185" s="4" t="str">
        <f t="shared" ca="1" si="8"/>
        <v/>
      </c>
      <c r="P185" s="4" t="str">
        <f t="shared" ca="1" si="9"/>
        <v>Active</v>
      </c>
      <c r="Q185" s="4" t="str">
        <f t="shared" si="11"/>
        <v>PKWT</v>
      </c>
      <c r="R185" s="7" t="s">
        <v>2980</v>
      </c>
      <c r="S185" s="4" t="s">
        <v>2986</v>
      </c>
      <c r="T185" s="4" t="s">
        <v>657</v>
      </c>
      <c r="U185" s="4" t="s">
        <v>2996</v>
      </c>
      <c r="V185" s="4" t="s">
        <v>670</v>
      </c>
      <c r="W185" s="4" t="s">
        <v>669</v>
      </c>
      <c r="X185" s="4" t="str">
        <f>_xlfn.XLOOKUP(V185,Reference!$O:$O,Reference!$N:$N,"Tidak Ketemu")</f>
        <v>G13</v>
      </c>
      <c r="Y185" s="4" t="str">
        <f t="shared" si="10"/>
        <v>TK/0</v>
      </c>
      <c r="Z185" s="10" t="s">
        <v>823</v>
      </c>
      <c r="AA185" s="10" t="s">
        <v>824</v>
      </c>
      <c r="AB185" s="7" t="s">
        <v>825</v>
      </c>
      <c r="AC185" s="7" t="s">
        <v>3816</v>
      </c>
      <c r="AD185" s="17" t="s">
        <v>826</v>
      </c>
      <c r="AE185" s="6" t="s">
        <v>821</v>
      </c>
      <c r="AF185" s="6" t="s">
        <v>822</v>
      </c>
      <c r="AG185" s="6" t="s">
        <v>778</v>
      </c>
      <c r="AN185" s="4"/>
    </row>
    <row r="186" spans="1:40" x14ac:dyDescent="0.35">
      <c r="A186" s="5">
        <v>201843266</v>
      </c>
      <c r="B186" s="5" t="s">
        <v>997</v>
      </c>
      <c r="C186" s="5" t="s">
        <v>105</v>
      </c>
      <c r="D186" s="5" t="s">
        <v>416</v>
      </c>
      <c r="E186" s="6" t="s">
        <v>738</v>
      </c>
      <c r="F186" s="7">
        <v>38141</v>
      </c>
      <c r="G186" s="10" t="s">
        <v>648</v>
      </c>
      <c r="H186" s="15" t="s">
        <v>666</v>
      </c>
      <c r="I186" s="4">
        <f>MIN(COUNTIFS('Data Family'!A:A,A186,'Data Family'!F:F,"Child")+COUNTIFS('Data Family'!A:A,A186,'Data Family'!F:F,"&lt;&gt;Child",'Data Family'!J:J,"Housewife")+COUNTIFS('Data Family'!A:A,A186,'Data Family'!F:F,"&lt;&gt;Child",'Data Family'!J:J,"Unemployment"),3)</f>
        <v>0</v>
      </c>
      <c r="J186" s="10" t="s">
        <v>791</v>
      </c>
      <c r="K186" s="7" t="s">
        <v>701</v>
      </c>
      <c r="L186" s="7">
        <v>45092</v>
      </c>
      <c r="M186" s="7">
        <v>46919</v>
      </c>
      <c r="N186" s="7"/>
      <c r="O186" s="4" t="str">
        <f t="shared" ca="1" si="8"/>
        <v/>
      </c>
      <c r="P186" s="4" t="str">
        <f t="shared" ca="1" si="9"/>
        <v>Active</v>
      </c>
      <c r="Q186" s="4" t="str">
        <f t="shared" si="11"/>
        <v>PKWT</v>
      </c>
      <c r="R186" s="7" t="s">
        <v>2980</v>
      </c>
      <c r="S186" s="4" t="s">
        <v>2986</v>
      </c>
      <c r="T186" s="4" t="s">
        <v>657</v>
      </c>
      <c r="U186" s="4" t="s">
        <v>2996</v>
      </c>
      <c r="V186" s="4" t="s">
        <v>670</v>
      </c>
      <c r="W186" s="4" t="s">
        <v>669</v>
      </c>
      <c r="X186" s="4" t="str">
        <f>_xlfn.XLOOKUP(V186,Reference!$O:$O,Reference!$N:$N,"Tidak Ketemu")</f>
        <v>G13</v>
      </c>
      <c r="Y186" s="4" t="str">
        <f t="shared" si="10"/>
        <v>TK/0</v>
      </c>
      <c r="Z186" s="10" t="s">
        <v>1295</v>
      </c>
      <c r="AA186" s="10" t="s">
        <v>1296</v>
      </c>
      <c r="AB186" s="7" t="s">
        <v>1297</v>
      </c>
      <c r="AC186" s="7" t="s">
        <v>3816</v>
      </c>
      <c r="AD186" s="17" t="s">
        <v>1298</v>
      </c>
      <c r="AE186" s="6" t="s">
        <v>1294</v>
      </c>
      <c r="AF186" s="6" t="s">
        <v>998</v>
      </c>
      <c r="AG186" s="6" t="s">
        <v>778</v>
      </c>
      <c r="AN186" s="4"/>
    </row>
    <row r="187" spans="1:40" x14ac:dyDescent="0.35">
      <c r="A187" s="5">
        <v>201642487</v>
      </c>
      <c r="B187" s="5" t="s">
        <v>1434</v>
      </c>
      <c r="C187" s="5" t="s">
        <v>144</v>
      </c>
      <c r="D187" s="5" t="s">
        <v>455</v>
      </c>
      <c r="E187" s="6" t="s">
        <v>689</v>
      </c>
      <c r="F187" s="7">
        <v>38266</v>
      </c>
      <c r="G187" s="10" t="s">
        <v>648</v>
      </c>
      <c r="H187" s="15" t="s">
        <v>666</v>
      </c>
      <c r="I187" s="4">
        <f>MIN(COUNTIFS('Data Family'!A:A,A187,'Data Family'!F:F,"Child")+COUNTIFS('Data Family'!A:A,A187,'Data Family'!F:F,"&lt;&gt;Child",'Data Family'!J:J,"Housewife")+COUNTIFS('Data Family'!A:A,A187,'Data Family'!F:F,"&lt;&gt;Child",'Data Family'!J:J,"Unemployment"),3)</f>
        <v>0</v>
      </c>
      <c r="J187" s="10" t="s">
        <v>791</v>
      </c>
      <c r="K187" s="7" t="s">
        <v>701</v>
      </c>
      <c r="L187" s="7">
        <v>45043</v>
      </c>
      <c r="M187" s="7">
        <v>46870</v>
      </c>
      <c r="N187" s="7"/>
      <c r="O187" s="4" t="str">
        <f t="shared" ca="1" si="8"/>
        <v/>
      </c>
      <c r="P187" s="4" t="str">
        <f t="shared" ca="1" si="9"/>
        <v>Active</v>
      </c>
      <c r="Q187" s="4" t="str">
        <f t="shared" si="11"/>
        <v>PKWT</v>
      </c>
      <c r="R187" s="7" t="s">
        <v>2980</v>
      </c>
      <c r="S187" s="4" t="s">
        <v>2986</v>
      </c>
      <c r="T187" s="4" t="s">
        <v>657</v>
      </c>
      <c r="U187" s="4" t="s">
        <v>2996</v>
      </c>
      <c r="V187" s="4" t="s">
        <v>670</v>
      </c>
      <c r="W187" s="4" t="s">
        <v>669</v>
      </c>
      <c r="X187" s="4" t="str">
        <f>_xlfn.XLOOKUP(V187,Reference!$O:$O,Reference!$N:$N,"Tidak Ketemu")</f>
        <v>G13</v>
      </c>
      <c r="Y187" s="4" t="str">
        <f t="shared" si="10"/>
        <v>TK/0</v>
      </c>
      <c r="Z187" s="10" t="s">
        <v>1556</v>
      </c>
      <c r="AA187" s="10" t="s">
        <v>1557</v>
      </c>
      <c r="AB187" s="7" t="s">
        <v>1558</v>
      </c>
      <c r="AC187" s="7" t="s">
        <v>3816</v>
      </c>
      <c r="AD187" s="17" t="s">
        <v>1559</v>
      </c>
      <c r="AE187" s="6" t="s">
        <v>1555</v>
      </c>
      <c r="AF187" s="6" t="s">
        <v>1436</v>
      </c>
      <c r="AG187" s="6" t="s">
        <v>680</v>
      </c>
      <c r="AN187" s="4"/>
    </row>
    <row r="188" spans="1:40" x14ac:dyDescent="0.35">
      <c r="A188" s="5">
        <v>202244719</v>
      </c>
      <c r="B188" s="5" t="s">
        <v>1914</v>
      </c>
      <c r="C188" s="5" t="s">
        <v>206</v>
      </c>
      <c r="D188" s="5" t="s">
        <v>517</v>
      </c>
      <c r="E188" s="6" t="s">
        <v>689</v>
      </c>
      <c r="F188" s="7">
        <v>38193</v>
      </c>
      <c r="G188" s="10" t="s">
        <v>648</v>
      </c>
      <c r="H188" s="15" t="s">
        <v>666</v>
      </c>
      <c r="I188" s="4">
        <f>MIN(COUNTIFS('Data Family'!A:A,A188,'Data Family'!F:F,"Child")+COUNTIFS('Data Family'!A:A,A188,'Data Family'!F:F,"&lt;&gt;Child",'Data Family'!J:J,"Housewife")+COUNTIFS('Data Family'!A:A,A188,'Data Family'!F:F,"&lt;&gt;Child",'Data Family'!J:J,"Unemployment"),3)</f>
        <v>0</v>
      </c>
      <c r="J188" s="10" t="s">
        <v>791</v>
      </c>
      <c r="K188" s="7" t="s">
        <v>677</v>
      </c>
      <c r="L188" s="7">
        <v>46180</v>
      </c>
      <c r="M188" s="7">
        <v>46545</v>
      </c>
      <c r="N188" s="7"/>
      <c r="O188" s="4" t="str">
        <f t="shared" ca="1" si="8"/>
        <v/>
      </c>
      <c r="P188" s="4" t="str">
        <f t="shared" ca="1" si="9"/>
        <v>Active</v>
      </c>
      <c r="Q188" s="4" t="str">
        <f t="shared" si="11"/>
        <v>PKWT</v>
      </c>
      <c r="R188" s="7" t="s">
        <v>2980</v>
      </c>
      <c r="S188" s="4" t="s">
        <v>2986</v>
      </c>
      <c r="T188" s="4" t="s">
        <v>657</v>
      </c>
      <c r="U188" s="4" t="s">
        <v>2996</v>
      </c>
      <c r="V188" s="4" t="s">
        <v>670</v>
      </c>
      <c r="W188" s="4" t="s">
        <v>669</v>
      </c>
      <c r="X188" s="4" t="str">
        <f>_xlfn.XLOOKUP(V188,Reference!$O:$O,Reference!$N:$N,"Tidak Ketemu")</f>
        <v>G13</v>
      </c>
      <c r="Y188" s="4" t="str">
        <f t="shared" si="10"/>
        <v>TK/0</v>
      </c>
      <c r="Z188" s="10" t="s">
        <v>1917</v>
      </c>
      <c r="AA188" s="10" t="s">
        <v>1918</v>
      </c>
      <c r="AB188" s="7" t="s">
        <v>1919</v>
      </c>
      <c r="AC188" s="7" t="s">
        <v>3816</v>
      </c>
      <c r="AD188" s="17" t="s">
        <v>1920</v>
      </c>
      <c r="AE188" s="6" t="s">
        <v>1915</v>
      </c>
      <c r="AF188" s="6" t="s">
        <v>1916</v>
      </c>
      <c r="AG188" s="6" t="s">
        <v>704</v>
      </c>
      <c r="AN188" s="4"/>
    </row>
    <row r="189" spans="1:40" x14ac:dyDescent="0.35">
      <c r="A189" s="5">
        <v>201642693</v>
      </c>
      <c r="B189" s="5" t="s">
        <v>1921</v>
      </c>
      <c r="C189" s="5" t="s">
        <v>207</v>
      </c>
      <c r="D189" s="5" t="s">
        <v>518</v>
      </c>
      <c r="E189" s="6" t="s">
        <v>689</v>
      </c>
      <c r="F189" s="7">
        <v>38181</v>
      </c>
      <c r="G189" s="10" t="s">
        <v>648</v>
      </c>
      <c r="H189" s="15" t="s">
        <v>666</v>
      </c>
      <c r="I189" s="4">
        <f>MIN(COUNTIFS('Data Family'!A:A,A189,'Data Family'!F:F,"Child")+COUNTIFS('Data Family'!A:A,A189,'Data Family'!F:F,"&lt;&gt;Child",'Data Family'!J:J,"Housewife")+COUNTIFS('Data Family'!A:A,A189,'Data Family'!F:F,"&lt;&gt;Child",'Data Family'!J:J,"Unemployment"),3)</f>
        <v>0</v>
      </c>
      <c r="J189" s="10" t="s">
        <v>3001</v>
      </c>
      <c r="K189" s="7" t="s">
        <v>677</v>
      </c>
      <c r="L189" s="7">
        <v>45249</v>
      </c>
      <c r="M189" s="7">
        <v>47076</v>
      </c>
      <c r="N189" s="7"/>
      <c r="O189" s="4" t="str">
        <f t="shared" ca="1" si="8"/>
        <v/>
      </c>
      <c r="P189" s="4" t="str">
        <f t="shared" ca="1" si="9"/>
        <v>Active</v>
      </c>
      <c r="Q189" s="4" t="str">
        <f t="shared" si="11"/>
        <v>PKWT</v>
      </c>
      <c r="R189" s="7" t="s">
        <v>2980</v>
      </c>
      <c r="S189" s="4" t="s">
        <v>2986</v>
      </c>
      <c r="T189" s="4" t="s">
        <v>657</v>
      </c>
      <c r="U189" s="4" t="s">
        <v>2996</v>
      </c>
      <c r="V189" s="4" t="s">
        <v>670</v>
      </c>
      <c r="W189" s="4" t="s">
        <v>669</v>
      </c>
      <c r="X189" s="4" t="str">
        <f>_xlfn.XLOOKUP(V189,Reference!$O:$O,Reference!$N:$N,"Tidak Ketemu")</f>
        <v>G13</v>
      </c>
      <c r="Y189" s="4" t="str">
        <f t="shared" si="10"/>
        <v>TK/0</v>
      </c>
      <c r="Z189" s="10" t="s">
        <v>1924</v>
      </c>
      <c r="AA189" s="10" t="s">
        <v>1925</v>
      </c>
      <c r="AB189" s="7" t="s">
        <v>1926</v>
      </c>
      <c r="AC189" s="7" t="s">
        <v>3816</v>
      </c>
      <c r="AD189" s="17" t="s">
        <v>1927</v>
      </c>
      <c r="AE189" s="6" t="s">
        <v>1922</v>
      </c>
      <c r="AF189" s="6" t="s">
        <v>1923</v>
      </c>
      <c r="AG189" s="6" t="s">
        <v>778</v>
      </c>
      <c r="AN189" s="4"/>
    </row>
    <row r="190" spans="1:40" x14ac:dyDescent="0.35">
      <c r="A190" s="5">
        <v>201542187</v>
      </c>
      <c r="B190" s="5" t="s">
        <v>1434</v>
      </c>
      <c r="C190" s="5" t="s">
        <v>233</v>
      </c>
      <c r="D190" s="5" t="s">
        <v>544</v>
      </c>
      <c r="E190" s="6" t="s">
        <v>689</v>
      </c>
      <c r="F190" s="7">
        <v>38287</v>
      </c>
      <c r="G190" s="10" t="s">
        <v>648</v>
      </c>
      <c r="H190" s="15" t="s">
        <v>666</v>
      </c>
      <c r="I190" s="4">
        <f>MIN(COUNTIFS('Data Family'!A:A,A190,'Data Family'!F:F,"Child")+COUNTIFS('Data Family'!A:A,A190,'Data Family'!F:F,"&lt;&gt;Child",'Data Family'!J:J,"Housewife")+COUNTIFS('Data Family'!A:A,A190,'Data Family'!F:F,"&lt;&gt;Child",'Data Family'!J:J,"Unemployment"),3)</f>
        <v>0</v>
      </c>
      <c r="J190" s="10" t="s">
        <v>791</v>
      </c>
      <c r="K190" s="7" t="s">
        <v>677</v>
      </c>
      <c r="L190" s="7">
        <v>45109</v>
      </c>
      <c r="M190" s="7">
        <v>46936</v>
      </c>
      <c r="N190" s="7"/>
      <c r="O190" s="4" t="str">
        <f t="shared" ca="1" si="8"/>
        <v/>
      </c>
      <c r="P190" s="4" t="str">
        <f t="shared" ca="1" si="9"/>
        <v>Active</v>
      </c>
      <c r="Q190" s="4" t="str">
        <f t="shared" si="11"/>
        <v>PKWT</v>
      </c>
      <c r="R190" s="7" t="s">
        <v>2980</v>
      </c>
      <c r="S190" s="4" t="s">
        <v>2986</v>
      </c>
      <c r="T190" s="4" t="s">
        <v>657</v>
      </c>
      <c r="U190" s="4" t="s">
        <v>2996</v>
      </c>
      <c r="V190" s="4" t="s">
        <v>670</v>
      </c>
      <c r="W190" s="4" t="s">
        <v>669</v>
      </c>
      <c r="X190" s="4" t="str">
        <f>_xlfn.XLOOKUP(V190,Reference!$O:$O,Reference!$N:$N,"Tidak Ketemu")</f>
        <v>G13</v>
      </c>
      <c r="Y190" s="4" t="str">
        <f t="shared" si="10"/>
        <v>TK/0</v>
      </c>
      <c r="Z190" s="10" t="s">
        <v>2070</v>
      </c>
      <c r="AA190" s="10" t="s">
        <v>2071</v>
      </c>
      <c r="AB190" s="7" t="s">
        <v>2072</v>
      </c>
      <c r="AC190" s="7" t="s">
        <v>3816</v>
      </c>
      <c r="AD190" s="17" t="s">
        <v>2073</v>
      </c>
      <c r="AE190" s="6" t="s">
        <v>2069</v>
      </c>
      <c r="AF190" s="6" t="s">
        <v>1436</v>
      </c>
      <c r="AG190" s="6" t="s">
        <v>704</v>
      </c>
      <c r="AN190" s="4"/>
    </row>
    <row r="191" spans="1:40" x14ac:dyDescent="0.35">
      <c r="A191" s="5">
        <v>202144520</v>
      </c>
      <c r="B191" s="5" t="s">
        <v>892</v>
      </c>
      <c r="C191" s="5" t="s">
        <v>300</v>
      </c>
      <c r="D191" s="5" t="s">
        <v>611</v>
      </c>
      <c r="E191" s="6" t="s">
        <v>738</v>
      </c>
      <c r="F191" s="7">
        <v>38054</v>
      </c>
      <c r="G191" s="10" t="s">
        <v>648</v>
      </c>
      <c r="H191" s="15" t="s">
        <v>666</v>
      </c>
      <c r="I191" s="4">
        <f>MIN(COUNTIFS('Data Family'!A:A,A191,'Data Family'!F:F,"Child")+COUNTIFS('Data Family'!A:A,A191,'Data Family'!F:F,"&lt;&gt;Child",'Data Family'!J:J,"Housewife")+COUNTIFS('Data Family'!A:A,A191,'Data Family'!F:F,"&lt;&gt;Child",'Data Family'!J:J,"Unemployment"),3)</f>
        <v>0</v>
      </c>
      <c r="J191" s="10" t="s">
        <v>791</v>
      </c>
      <c r="K191" s="7" t="s">
        <v>677</v>
      </c>
      <c r="L191" s="7">
        <v>45981</v>
      </c>
      <c r="M191" s="7">
        <v>46711</v>
      </c>
      <c r="N191" s="7"/>
      <c r="O191" s="4" t="str">
        <f t="shared" ca="1" si="8"/>
        <v/>
      </c>
      <c r="P191" s="4" t="str">
        <f t="shared" ca="1" si="9"/>
        <v>Active</v>
      </c>
      <c r="Q191" s="4" t="str">
        <f t="shared" si="11"/>
        <v>PKWT</v>
      </c>
      <c r="R191" s="7" t="s">
        <v>2980</v>
      </c>
      <c r="S191" s="4" t="s">
        <v>2986</v>
      </c>
      <c r="T191" s="4" t="s">
        <v>657</v>
      </c>
      <c r="U191" s="4" t="s">
        <v>2996</v>
      </c>
      <c r="V191" s="4" t="s">
        <v>670</v>
      </c>
      <c r="W191" s="4" t="s">
        <v>669</v>
      </c>
      <c r="X191" s="4" t="str">
        <f>_xlfn.XLOOKUP(V191,Reference!$O:$O,Reference!$N:$N,"Tidak Ketemu")</f>
        <v>G13</v>
      </c>
      <c r="Y191" s="4" t="str">
        <f t="shared" si="10"/>
        <v>TK/0</v>
      </c>
      <c r="Z191" s="10" t="s">
        <v>2430</v>
      </c>
      <c r="AA191" s="10" t="s">
        <v>2431</v>
      </c>
      <c r="AB191" s="7" t="s">
        <v>2432</v>
      </c>
      <c r="AC191" s="7" t="s">
        <v>3816</v>
      </c>
      <c r="AD191" s="17" t="s">
        <v>2433</v>
      </c>
      <c r="AE191" s="6" t="s">
        <v>2429</v>
      </c>
      <c r="AF191" s="6" t="s">
        <v>893</v>
      </c>
      <c r="AG191" s="6" t="s">
        <v>704</v>
      </c>
      <c r="AN191" s="4"/>
    </row>
    <row r="192" spans="1:40" x14ac:dyDescent="0.35">
      <c r="A192" s="5">
        <v>201943535</v>
      </c>
      <c r="B192" s="5" t="s">
        <v>816</v>
      </c>
      <c r="C192" s="5" t="s">
        <v>301</v>
      </c>
      <c r="D192" s="5" t="s">
        <v>612</v>
      </c>
      <c r="E192" s="6" t="s">
        <v>689</v>
      </c>
      <c r="F192" s="7">
        <v>38100</v>
      </c>
      <c r="G192" s="10" t="s">
        <v>648</v>
      </c>
      <c r="H192" s="15" t="s">
        <v>666</v>
      </c>
      <c r="I192" s="4">
        <f>MIN(COUNTIFS('Data Family'!A:A,A192,'Data Family'!F:F,"Child")+COUNTIFS('Data Family'!A:A,A192,'Data Family'!F:F,"&lt;&gt;Child",'Data Family'!J:J,"Housewife")+COUNTIFS('Data Family'!A:A,A192,'Data Family'!F:F,"&lt;&gt;Child",'Data Family'!J:J,"Unemployment"),3)</f>
        <v>0</v>
      </c>
      <c r="J192" s="10" t="s">
        <v>791</v>
      </c>
      <c r="K192" s="7" t="s">
        <v>701</v>
      </c>
      <c r="L192" s="7">
        <v>45362</v>
      </c>
      <c r="M192" s="7">
        <v>46457</v>
      </c>
      <c r="N192" s="7"/>
      <c r="O192" s="4" t="str">
        <f t="shared" ca="1" si="8"/>
        <v/>
      </c>
      <c r="P192" s="4" t="str">
        <f t="shared" ca="1" si="9"/>
        <v>Active</v>
      </c>
      <c r="Q192" s="4" t="str">
        <f t="shared" si="11"/>
        <v>PKWT</v>
      </c>
      <c r="R192" s="7" t="s">
        <v>2980</v>
      </c>
      <c r="S192" s="4" t="s">
        <v>2986</v>
      </c>
      <c r="T192" s="4" t="s">
        <v>657</v>
      </c>
      <c r="U192" s="4" t="s">
        <v>2996</v>
      </c>
      <c r="V192" s="4" t="s">
        <v>670</v>
      </c>
      <c r="W192" s="4" t="s">
        <v>669</v>
      </c>
      <c r="X192" s="4" t="str">
        <f>_xlfn.XLOOKUP(V192,Reference!$O:$O,Reference!$N:$N,"Tidak Ketemu")</f>
        <v>G13</v>
      </c>
      <c r="Y192" s="4" t="str">
        <f t="shared" si="10"/>
        <v>TK/0</v>
      </c>
      <c r="Z192" s="10" t="s">
        <v>2435</v>
      </c>
      <c r="AA192" s="10" t="s">
        <v>2436</v>
      </c>
      <c r="AB192" s="7" t="s">
        <v>2437</v>
      </c>
      <c r="AC192" s="7" t="s">
        <v>3816</v>
      </c>
      <c r="AD192" s="17" t="s">
        <v>2438</v>
      </c>
      <c r="AE192" s="6" t="s">
        <v>2434</v>
      </c>
      <c r="AF192" s="6" t="s">
        <v>817</v>
      </c>
      <c r="AG192" s="6" t="s">
        <v>818</v>
      </c>
      <c r="AN192" s="4"/>
    </row>
    <row r="193" spans="1:40" x14ac:dyDescent="0.35">
      <c r="A193" s="5">
        <v>201843395</v>
      </c>
      <c r="B193" s="5" t="s">
        <v>1548</v>
      </c>
      <c r="C193" s="5" t="s">
        <v>314</v>
      </c>
      <c r="D193" s="5" t="s">
        <v>625</v>
      </c>
      <c r="E193" s="6" t="s">
        <v>689</v>
      </c>
      <c r="F193" s="7">
        <v>38316</v>
      </c>
      <c r="G193" s="10" t="s">
        <v>648</v>
      </c>
      <c r="H193" s="15" t="s">
        <v>666</v>
      </c>
      <c r="I193" s="4">
        <f>MIN(COUNTIFS('Data Family'!A:A,A193,'Data Family'!F:F,"Child")+COUNTIFS('Data Family'!A:A,A193,'Data Family'!F:F,"&lt;&gt;Child",'Data Family'!J:J,"Housewife")+COUNTIFS('Data Family'!A:A,A193,'Data Family'!F:F,"&lt;&gt;Child",'Data Family'!J:J,"Unemployment"),3)</f>
        <v>0</v>
      </c>
      <c r="J193" s="10" t="s">
        <v>791</v>
      </c>
      <c r="K193" s="7" t="s">
        <v>691</v>
      </c>
      <c r="L193" s="7">
        <v>45221</v>
      </c>
      <c r="M193" s="7">
        <v>46317</v>
      </c>
      <c r="N193" s="7"/>
      <c r="O193" s="4" t="str">
        <f t="shared" ca="1" si="8"/>
        <v/>
      </c>
      <c r="P193" s="4" t="str">
        <f t="shared" ca="1" si="9"/>
        <v>Active</v>
      </c>
      <c r="Q193" s="4" t="str">
        <f t="shared" si="11"/>
        <v>PKWT</v>
      </c>
      <c r="R193" s="7" t="s">
        <v>2980</v>
      </c>
      <c r="S193" s="4" t="s">
        <v>2986</v>
      </c>
      <c r="T193" s="4" t="s">
        <v>657</v>
      </c>
      <c r="U193" s="4" t="s">
        <v>2996</v>
      </c>
      <c r="V193" s="4" t="s">
        <v>670</v>
      </c>
      <c r="W193" s="4" t="s">
        <v>669</v>
      </c>
      <c r="X193" s="4" t="str">
        <f>_xlfn.XLOOKUP(V193,Reference!$O:$O,Reference!$N:$N,"Tidak Ketemu")</f>
        <v>G13</v>
      </c>
      <c r="Y193" s="4" t="str">
        <f t="shared" si="10"/>
        <v>TK/0</v>
      </c>
      <c r="Z193" s="10" t="s">
        <v>2504</v>
      </c>
      <c r="AA193" s="10" t="s">
        <v>2505</v>
      </c>
      <c r="AB193" s="7" t="s">
        <v>2506</v>
      </c>
      <c r="AC193" s="7" t="s">
        <v>3816</v>
      </c>
      <c r="AD193" s="17" t="s">
        <v>2507</v>
      </c>
      <c r="AE193" s="6" t="s">
        <v>2503</v>
      </c>
      <c r="AF193" s="6" t="s">
        <v>1550</v>
      </c>
      <c r="AG193" s="6" t="s">
        <v>694</v>
      </c>
      <c r="AN193" s="4"/>
    </row>
    <row r="194" spans="1:40" x14ac:dyDescent="0.35">
      <c r="A194" s="5">
        <v>202545977</v>
      </c>
      <c r="B194" s="5" t="s">
        <v>1401</v>
      </c>
      <c r="C194" s="5" t="s">
        <v>122</v>
      </c>
      <c r="D194" s="5" t="s">
        <v>433</v>
      </c>
      <c r="E194" s="6" t="s">
        <v>689</v>
      </c>
      <c r="F194" s="7">
        <v>38208</v>
      </c>
      <c r="G194" s="10" t="s">
        <v>648</v>
      </c>
      <c r="H194" s="15" t="s">
        <v>666</v>
      </c>
      <c r="I194" s="4">
        <f>MIN(COUNTIFS('Data Family'!A:A,A194,'Data Family'!F:F,"Child")+COUNTIFS('Data Family'!A:A,A194,'Data Family'!F:F,"&lt;&gt;Child",'Data Family'!J:J,"Housewife")+COUNTIFS('Data Family'!A:A,A194,'Data Family'!F:F,"&lt;&gt;Child",'Data Family'!J:J,"Unemployment"),3)</f>
        <v>0</v>
      </c>
      <c r="J194" s="10" t="s">
        <v>791</v>
      </c>
      <c r="K194" s="7" t="s">
        <v>701</v>
      </c>
      <c r="L194" s="7">
        <v>45977</v>
      </c>
      <c r="M194" s="7">
        <v>47803</v>
      </c>
      <c r="N194" s="7"/>
      <c r="O194" s="4" t="str">
        <f t="shared" ref="O194:O257" ca="1" si="12">IF(AND(M194&lt;&gt;"", M194&lt;=TODAY(), N194=""), "End of Contract", "")</f>
        <v/>
      </c>
      <c r="P194" s="4" t="str">
        <f t="shared" ref="P194:P257" ca="1" si="13">IF(OR(N194&lt;&gt;"", AND(M194&lt;&gt;"",M194&lt;=TODAY())),"Non-Active","Active")</f>
        <v>Active</v>
      </c>
      <c r="Q194" s="4" t="str">
        <f t="shared" si="11"/>
        <v>PKWT</v>
      </c>
      <c r="R194" s="7" t="s">
        <v>2980</v>
      </c>
      <c r="S194" s="4" t="s">
        <v>2986</v>
      </c>
      <c r="T194" s="4" t="s">
        <v>657</v>
      </c>
      <c r="U194" s="4" t="s">
        <v>2996</v>
      </c>
      <c r="V194" s="4" t="s">
        <v>670</v>
      </c>
      <c r="W194" s="4" t="s">
        <v>669</v>
      </c>
      <c r="X194" s="4" t="str">
        <f>_xlfn.XLOOKUP(V194,Reference!$O:$O,Reference!$N:$N,"Tidak Ketemu")</f>
        <v>G13</v>
      </c>
      <c r="Y194" s="4" t="str">
        <f t="shared" ref="Y194:Y257" si="14">IF(AND(G194="Female",H194="Married"),"TK/0",IF(H194="Married","K/"&amp;I194,"TK/"&amp;I194))</f>
        <v>TK/0</v>
      </c>
      <c r="Z194" s="10" t="s">
        <v>1404</v>
      </c>
      <c r="AA194" s="10" t="s">
        <v>1405</v>
      </c>
      <c r="AB194" s="7" t="s">
        <v>1406</v>
      </c>
      <c r="AC194" s="7" t="s">
        <v>3816</v>
      </c>
      <c r="AD194" s="17" t="s">
        <v>1407</v>
      </c>
      <c r="AE194" s="6" t="s">
        <v>1402</v>
      </c>
      <c r="AF194" s="6" t="s">
        <v>1403</v>
      </c>
      <c r="AG194" s="6" t="s">
        <v>818</v>
      </c>
      <c r="AN194" s="4"/>
    </row>
    <row r="195" spans="1:40" x14ac:dyDescent="0.35">
      <c r="A195" s="5">
        <v>201441987</v>
      </c>
      <c r="B195" s="5" t="s">
        <v>1443</v>
      </c>
      <c r="C195" s="5" t="s">
        <v>150</v>
      </c>
      <c r="D195" s="5" t="s">
        <v>461</v>
      </c>
      <c r="E195" s="6" t="s">
        <v>768</v>
      </c>
      <c r="F195" s="7">
        <v>37297</v>
      </c>
      <c r="G195" s="10" t="s">
        <v>648</v>
      </c>
      <c r="H195" s="15" t="s">
        <v>666</v>
      </c>
      <c r="I195" s="4">
        <f>MIN(COUNTIFS('Data Family'!A:A,A195,'Data Family'!F:F,"Child")+COUNTIFS('Data Family'!A:A,A195,'Data Family'!F:F,"&lt;&gt;Child",'Data Family'!J:J,"Housewife")+COUNTIFS('Data Family'!A:A,A195,'Data Family'!F:F,"&lt;&gt;Child",'Data Family'!J:J,"Unemployment"),3)</f>
        <v>0</v>
      </c>
      <c r="J195" s="10" t="s">
        <v>791</v>
      </c>
      <c r="K195" s="7" t="s">
        <v>701</v>
      </c>
      <c r="L195" s="7">
        <v>45274</v>
      </c>
      <c r="M195" s="7">
        <v>46370</v>
      </c>
      <c r="N195" s="7"/>
      <c r="O195" s="4" t="str">
        <f t="shared" ca="1" si="12"/>
        <v/>
      </c>
      <c r="P195" s="4" t="str">
        <f t="shared" ca="1" si="13"/>
        <v>Active</v>
      </c>
      <c r="Q195" s="4" t="str">
        <f t="shared" ref="Q195:Q258" si="15">IF(M195="","PKWTT",IF(DATEDIF(L195,M195,"M")&gt;63,"PKWTT",IF(DATEDIF(L195,M195,"M")&gt;60,"PKWT",IF(DATEDIF(L195,M195,"M")&gt;36,"PKWT",IF(DATEDIF(L195,M195,"M")&gt;12, "PKWT","PKWT")))))</f>
        <v>PKWT</v>
      </c>
      <c r="R195" s="7" t="s">
        <v>2980</v>
      </c>
      <c r="S195" s="4" t="s">
        <v>2986</v>
      </c>
      <c r="T195" s="4" t="s">
        <v>657</v>
      </c>
      <c r="U195" s="4" t="s">
        <v>2996</v>
      </c>
      <c r="V195" s="4" t="s">
        <v>670</v>
      </c>
      <c r="W195" s="4" t="s">
        <v>669</v>
      </c>
      <c r="X195" s="4" t="str">
        <f>_xlfn.XLOOKUP(V195,Reference!$O:$O,Reference!$N:$N,"Tidak Ketemu")</f>
        <v>G13</v>
      </c>
      <c r="Y195" s="4" t="str">
        <f t="shared" si="14"/>
        <v>TK/0</v>
      </c>
      <c r="Z195" s="10" t="s">
        <v>1590</v>
      </c>
      <c r="AA195" s="10" t="s">
        <v>1591</v>
      </c>
      <c r="AB195" s="7" t="s">
        <v>1592</v>
      </c>
      <c r="AC195" s="7" t="s">
        <v>3816</v>
      </c>
      <c r="AD195" s="17" t="s">
        <v>1593</v>
      </c>
      <c r="AE195" s="6" t="s">
        <v>1589</v>
      </c>
      <c r="AF195" s="6" t="s">
        <v>1444</v>
      </c>
      <c r="AG195" s="6" t="s">
        <v>731</v>
      </c>
      <c r="AN195" s="4"/>
    </row>
    <row r="196" spans="1:40" x14ac:dyDescent="0.35">
      <c r="A196" s="5">
        <v>201843418</v>
      </c>
      <c r="B196" s="5" t="s">
        <v>775</v>
      </c>
      <c r="C196" s="5" t="s">
        <v>103</v>
      </c>
      <c r="D196" s="5" t="s">
        <v>414</v>
      </c>
      <c r="E196" s="6" t="s">
        <v>768</v>
      </c>
      <c r="F196" s="7">
        <v>38339</v>
      </c>
      <c r="G196" s="10" t="s">
        <v>648</v>
      </c>
      <c r="H196" s="15" t="s">
        <v>666</v>
      </c>
      <c r="I196" s="4">
        <f>MIN(COUNTIFS('Data Family'!A:A,A196,'Data Family'!F:F,"Child")+COUNTIFS('Data Family'!A:A,A196,'Data Family'!F:F,"&lt;&gt;Child",'Data Family'!J:J,"Housewife")+COUNTIFS('Data Family'!A:A,A196,'Data Family'!F:F,"&lt;&gt;Child",'Data Family'!J:J,"Unemployment"),3)</f>
        <v>0</v>
      </c>
      <c r="J196" s="10" t="s">
        <v>791</v>
      </c>
      <c r="K196" s="7" t="s">
        <v>701</v>
      </c>
      <c r="L196" s="7">
        <v>45244</v>
      </c>
      <c r="M196" s="7">
        <v>46340</v>
      </c>
      <c r="N196" s="7"/>
      <c r="O196" s="4" t="str">
        <f t="shared" ca="1" si="12"/>
        <v/>
      </c>
      <c r="P196" s="4" t="str">
        <f t="shared" ca="1" si="13"/>
        <v>Active</v>
      </c>
      <c r="Q196" s="4" t="str">
        <f t="shared" si="15"/>
        <v>PKWT</v>
      </c>
      <c r="R196" s="7" t="s">
        <v>2980</v>
      </c>
      <c r="S196" s="4" t="s">
        <v>2986</v>
      </c>
      <c r="T196" s="4" t="s">
        <v>657</v>
      </c>
      <c r="U196" s="4" t="s">
        <v>2996</v>
      </c>
      <c r="V196" s="4" t="s">
        <v>670</v>
      </c>
      <c r="W196" s="4" t="s">
        <v>669</v>
      </c>
      <c r="X196" s="4" t="str">
        <f>_xlfn.XLOOKUP(V196,Reference!$O:$O,Reference!$N:$N,"Tidak Ketemu")</f>
        <v>G13</v>
      </c>
      <c r="Y196" s="4" t="str">
        <f t="shared" si="14"/>
        <v>TK/0</v>
      </c>
      <c r="Z196" s="10" t="s">
        <v>1283</v>
      </c>
      <c r="AA196" s="10" t="s">
        <v>1284</v>
      </c>
      <c r="AB196" s="7" t="s">
        <v>1285</v>
      </c>
      <c r="AC196" s="7" t="s">
        <v>3816</v>
      </c>
      <c r="AD196" s="17" t="s">
        <v>1286</v>
      </c>
      <c r="AE196" s="6" t="s">
        <v>1282</v>
      </c>
      <c r="AF196" s="6" t="s">
        <v>777</v>
      </c>
      <c r="AG196" s="6" t="s">
        <v>704</v>
      </c>
      <c r="AN196" s="4"/>
    </row>
    <row r="197" spans="1:40" x14ac:dyDescent="0.35">
      <c r="A197" s="5">
        <v>202344945</v>
      </c>
      <c r="B197" s="5" t="s">
        <v>1604</v>
      </c>
      <c r="C197" s="5" t="s">
        <v>153</v>
      </c>
      <c r="D197" s="5" t="s">
        <v>464</v>
      </c>
      <c r="E197" s="6" t="s">
        <v>738</v>
      </c>
      <c r="F197" s="7">
        <v>38329</v>
      </c>
      <c r="G197" s="10" t="s">
        <v>648</v>
      </c>
      <c r="H197" s="15" t="s">
        <v>666</v>
      </c>
      <c r="I197" s="4">
        <f>MIN(COUNTIFS('Data Family'!A:A,A197,'Data Family'!F:F,"Child")+COUNTIFS('Data Family'!A:A,A197,'Data Family'!F:F,"&lt;&gt;Child",'Data Family'!J:J,"Housewife")+COUNTIFS('Data Family'!A:A,A197,'Data Family'!F:F,"&lt;&gt;Child",'Data Family'!J:J,"Unemployment"),3)</f>
        <v>0</v>
      </c>
      <c r="J197" s="10" t="s">
        <v>791</v>
      </c>
      <c r="K197" s="7" t="s">
        <v>691</v>
      </c>
      <c r="L197" s="7">
        <v>44945</v>
      </c>
      <c r="M197" s="7">
        <v>46771</v>
      </c>
      <c r="N197" s="7"/>
      <c r="O197" s="4" t="str">
        <f t="shared" ca="1" si="12"/>
        <v/>
      </c>
      <c r="P197" s="4" t="str">
        <f t="shared" ca="1" si="13"/>
        <v>Active</v>
      </c>
      <c r="Q197" s="4" t="str">
        <f t="shared" si="15"/>
        <v>PKWT</v>
      </c>
      <c r="R197" s="7" t="s">
        <v>2980</v>
      </c>
      <c r="S197" s="4" t="s">
        <v>2986</v>
      </c>
      <c r="T197" s="4" t="s">
        <v>657</v>
      </c>
      <c r="U197" s="4" t="s">
        <v>2996</v>
      </c>
      <c r="V197" s="4" t="s">
        <v>670</v>
      </c>
      <c r="W197" s="4" t="s">
        <v>669</v>
      </c>
      <c r="X197" s="4" t="str">
        <f>_xlfn.XLOOKUP(V197,Reference!$O:$O,Reference!$N:$N,"Tidak Ketemu")</f>
        <v>G13</v>
      </c>
      <c r="Y197" s="4" t="str">
        <f t="shared" si="14"/>
        <v>TK/0</v>
      </c>
      <c r="Z197" s="10" t="s">
        <v>1607</v>
      </c>
      <c r="AA197" s="10" t="s">
        <v>1608</v>
      </c>
      <c r="AB197" s="7" t="s">
        <v>1609</v>
      </c>
      <c r="AC197" s="7" t="s">
        <v>3816</v>
      </c>
      <c r="AD197" s="17" t="s">
        <v>1610</v>
      </c>
      <c r="AE197" s="6" t="s">
        <v>1605</v>
      </c>
      <c r="AF197" s="6" t="s">
        <v>1606</v>
      </c>
      <c r="AG197" s="6" t="s">
        <v>778</v>
      </c>
      <c r="AN197" s="4"/>
    </row>
    <row r="198" spans="1:40" x14ac:dyDescent="0.35">
      <c r="A198" s="5">
        <v>201843419</v>
      </c>
      <c r="B198" s="5" t="s">
        <v>3095</v>
      </c>
      <c r="C198" s="5" t="s">
        <v>229</v>
      </c>
      <c r="D198" s="5" t="s">
        <v>540</v>
      </c>
      <c r="E198" s="6" t="s">
        <v>809</v>
      </c>
      <c r="F198" s="7">
        <v>40290</v>
      </c>
      <c r="G198" s="10" t="s">
        <v>648</v>
      </c>
      <c r="H198" s="15" t="s">
        <v>666</v>
      </c>
      <c r="I198" s="4">
        <f>MIN(COUNTIFS('Data Family'!A:A,A198,'Data Family'!F:F,"Child")+COUNTIFS('Data Family'!A:A,A198,'Data Family'!F:F,"&lt;&gt;Child",'Data Family'!J:J,"Housewife")+COUNTIFS('Data Family'!A:A,A198,'Data Family'!F:F,"&lt;&gt;Child",'Data Family'!J:J,"Unemployment"),3)</f>
        <v>0</v>
      </c>
      <c r="J198" s="10" t="s">
        <v>791</v>
      </c>
      <c r="K198" s="7" t="s">
        <v>691</v>
      </c>
      <c r="L198" s="7">
        <v>45976</v>
      </c>
      <c r="M198" s="7">
        <v>46341</v>
      </c>
      <c r="N198" s="7"/>
      <c r="O198" s="4" t="str">
        <f t="shared" ca="1" si="12"/>
        <v/>
      </c>
      <c r="P198" s="4" t="str">
        <f t="shared" ca="1" si="13"/>
        <v>Active</v>
      </c>
      <c r="Q198" s="4" t="str">
        <f t="shared" si="15"/>
        <v>PKWT</v>
      </c>
      <c r="R198" s="7" t="s">
        <v>2980</v>
      </c>
      <c r="S198" s="4" t="s">
        <v>2987</v>
      </c>
      <c r="T198" s="4" t="s">
        <v>657</v>
      </c>
      <c r="U198" s="4" t="s">
        <v>2996</v>
      </c>
      <c r="V198" s="4" t="s">
        <v>2681</v>
      </c>
      <c r="W198" s="4" t="s">
        <v>3417</v>
      </c>
      <c r="X198" s="4" t="str">
        <f>_xlfn.XLOOKUP(V198,Reference!$O:$O,Reference!$N:$N,"Tidak Ketemu")</f>
        <v>G14</v>
      </c>
      <c r="Y198" s="4" t="str">
        <f t="shared" si="14"/>
        <v>TK/0</v>
      </c>
      <c r="Z198" s="10" t="s">
        <v>2048</v>
      </c>
      <c r="AA198" s="10" t="s">
        <v>2049</v>
      </c>
      <c r="AB198" s="7" t="s">
        <v>2050</v>
      </c>
      <c r="AC198" s="7" t="s">
        <v>3817</v>
      </c>
      <c r="AD198" s="7" t="s">
        <v>2051</v>
      </c>
      <c r="AE198" s="6" t="s">
        <v>2047</v>
      </c>
      <c r="AF198" s="6" t="s">
        <v>1114</v>
      </c>
      <c r="AG198" s="6" t="s">
        <v>694</v>
      </c>
      <c r="AN198" s="4"/>
    </row>
    <row r="199" spans="1:40" x14ac:dyDescent="0.35">
      <c r="A199" s="5">
        <v>202144522</v>
      </c>
      <c r="B199" s="5" t="s">
        <v>2223</v>
      </c>
      <c r="C199" s="5" t="s">
        <v>262</v>
      </c>
      <c r="D199" s="5" t="s">
        <v>573</v>
      </c>
      <c r="E199" s="6" t="s">
        <v>689</v>
      </c>
      <c r="F199" s="7">
        <v>37318</v>
      </c>
      <c r="G199" s="10" t="s">
        <v>648</v>
      </c>
      <c r="H199" s="15" t="s">
        <v>666</v>
      </c>
      <c r="I199" s="4">
        <f>MIN(COUNTIFS('Data Family'!A:A,A199,'Data Family'!F:F,"Child")+COUNTIFS('Data Family'!A:A,A199,'Data Family'!F:F,"&lt;&gt;Child",'Data Family'!J:J,"Housewife")+COUNTIFS('Data Family'!A:A,A199,'Data Family'!F:F,"&lt;&gt;Child",'Data Family'!J:J,"Unemployment"),3)</f>
        <v>0</v>
      </c>
      <c r="J199" s="10" t="s">
        <v>791</v>
      </c>
      <c r="K199" s="7" t="s">
        <v>691</v>
      </c>
      <c r="L199" s="7">
        <v>45983</v>
      </c>
      <c r="M199" s="7">
        <v>47809</v>
      </c>
      <c r="N199" s="7"/>
      <c r="O199" s="4" t="str">
        <f t="shared" ca="1" si="12"/>
        <v/>
      </c>
      <c r="P199" s="4" t="str">
        <f t="shared" ca="1" si="13"/>
        <v>Active</v>
      </c>
      <c r="Q199" s="4" t="str">
        <f t="shared" si="15"/>
        <v>PKWT</v>
      </c>
      <c r="R199" s="7" t="s">
        <v>2980</v>
      </c>
      <c r="S199" s="4" t="s">
        <v>2986</v>
      </c>
      <c r="T199" s="4" t="s">
        <v>657</v>
      </c>
      <c r="U199" s="4" t="s">
        <v>2996</v>
      </c>
      <c r="V199" s="4" t="s">
        <v>670</v>
      </c>
      <c r="W199" s="4" t="s">
        <v>669</v>
      </c>
      <c r="X199" s="4" t="str">
        <f>_xlfn.XLOOKUP(V199,Reference!$O:$O,Reference!$N:$N,"Tidak Ketemu")</f>
        <v>G13</v>
      </c>
      <c r="Y199" s="4" t="str">
        <f t="shared" si="14"/>
        <v>TK/0</v>
      </c>
      <c r="Z199" s="10" t="s">
        <v>2226</v>
      </c>
      <c r="AA199" s="10" t="s">
        <v>2227</v>
      </c>
      <c r="AB199" s="7" t="s">
        <v>2228</v>
      </c>
      <c r="AC199" s="7" t="s">
        <v>3816</v>
      </c>
      <c r="AD199" s="17" t="s">
        <v>2229</v>
      </c>
      <c r="AE199" s="6" t="s">
        <v>2224</v>
      </c>
      <c r="AF199" s="6" t="s">
        <v>2225</v>
      </c>
      <c r="AG199" s="6" t="s">
        <v>778</v>
      </c>
      <c r="AN199" s="4"/>
    </row>
    <row r="200" spans="1:40" x14ac:dyDescent="0.35">
      <c r="A200" s="5">
        <v>201943796</v>
      </c>
      <c r="B200" s="5" t="s">
        <v>3096</v>
      </c>
      <c r="C200" s="5" t="s">
        <v>231</v>
      </c>
      <c r="D200" s="5" t="s">
        <v>542</v>
      </c>
      <c r="E200" s="6" t="s">
        <v>649</v>
      </c>
      <c r="F200" s="7">
        <v>40493</v>
      </c>
      <c r="G200" s="10" t="s">
        <v>648</v>
      </c>
      <c r="H200" s="15" t="s">
        <v>666</v>
      </c>
      <c r="I200" s="4">
        <f>MIN(COUNTIFS('Data Family'!A:A,A200,'Data Family'!F:F,"Child")+COUNTIFS('Data Family'!A:A,A200,'Data Family'!F:F,"&lt;&gt;Child",'Data Family'!J:J,"Housewife")+COUNTIFS('Data Family'!A:A,A200,'Data Family'!F:F,"&lt;&gt;Child",'Data Family'!J:J,"Unemployment"),3)</f>
        <v>0</v>
      </c>
      <c r="J200" s="10" t="s">
        <v>791</v>
      </c>
      <c r="K200" s="7" t="s">
        <v>691</v>
      </c>
      <c r="L200" s="7">
        <v>45988</v>
      </c>
      <c r="M200" s="7">
        <v>46353</v>
      </c>
      <c r="N200" s="7"/>
      <c r="O200" s="4" t="str">
        <f t="shared" ca="1" si="12"/>
        <v/>
      </c>
      <c r="P200" s="4" t="str">
        <f t="shared" ca="1" si="13"/>
        <v>Active</v>
      </c>
      <c r="Q200" s="4" t="str">
        <f t="shared" si="15"/>
        <v>PKWT</v>
      </c>
      <c r="R200" s="7" t="s">
        <v>2980</v>
      </c>
      <c r="S200" s="4" t="s">
        <v>2987</v>
      </c>
      <c r="T200" s="4" t="s">
        <v>657</v>
      </c>
      <c r="U200" s="4" t="s">
        <v>2996</v>
      </c>
      <c r="V200" s="4" t="s">
        <v>2681</v>
      </c>
      <c r="W200" s="4" t="s">
        <v>3417</v>
      </c>
      <c r="X200" s="4" t="str">
        <f>_xlfn.XLOOKUP(V200,Reference!$O:$O,Reference!$N:$N,"Tidak Ketemu")</f>
        <v>G14</v>
      </c>
      <c r="Y200" s="4" t="str">
        <f t="shared" si="14"/>
        <v>TK/0</v>
      </c>
      <c r="Z200" s="10" t="s">
        <v>2060</v>
      </c>
      <c r="AA200" s="10" t="s">
        <v>2061</v>
      </c>
      <c r="AB200" s="7" t="s">
        <v>2062</v>
      </c>
      <c r="AC200" s="7" t="s">
        <v>3817</v>
      </c>
      <c r="AD200" s="7" t="s">
        <v>2063</v>
      </c>
      <c r="AE200" s="6" t="s">
        <v>2059</v>
      </c>
      <c r="AF200" s="6" t="s">
        <v>744</v>
      </c>
      <c r="AG200" s="6" t="s">
        <v>656</v>
      </c>
      <c r="AN200" s="4"/>
    </row>
    <row r="201" spans="1:40" x14ac:dyDescent="0.35">
      <c r="A201" s="5">
        <v>201843252</v>
      </c>
      <c r="B201" s="5" t="s">
        <v>906</v>
      </c>
      <c r="C201" s="5" t="s">
        <v>53</v>
      </c>
      <c r="D201" s="5" t="s">
        <v>364</v>
      </c>
      <c r="E201" s="6" t="s">
        <v>738</v>
      </c>
      <c r="F201" s="7">
        <v>38194</v>
      </c>
      <c r="G201" s="10" t="s">
        <v>648</v>
      </c>
      <c r="H201" s="15" t="s">
        <v>666</v>
      </c>
      <c r="I201" s="4">
        <f>MIN(COUNTIFS('Data Family'!A:A,A201,'Data Family'!F:F,"Child")+COUNTIFS('Data Family'!A:A,A201,'Data Family'!F:F,"&lt;&gt;Child",'Data Family'!J:J,"Housewife")+COUNTIFS('Data Family'!A:A,A201,'Data Family'!F:F,"&lt;&gt;Child",'Data Family'!J:J,"Unemployment"),3)</f>
        <v>0</v>
      </c>
      <c r="J201" s="10" t="s">
        <v>791</v>
      </c>
      <c r="K201" s="7" t="s">
        <v>691</v>
      </c>
      <c r="L201" s="7">
        <v>45809</v>
      </c>
      <c r="M201" s="7">
        <v>46539</v>
      </c>
      <c r="N201" s="7"/>
      <c r="O201" s="4" t="str">
        <f t="shared" ca="1" si="12"/>
        <v/>
      </c>
      <c r="P201" s="4" t="str">
        <f t="shared" ca="1" si="13"/>
        <v>Active</v>
      </c>
      <c r="Q201" s="4" t="str">
        <f t="shared" si="15"/>
        <v>PKWT</v>
      </c>
      <c r="R201" s="7" t="s">
        <v>2980</v>
      </c>
      <c r="S201" s="4" t="s">
        <v>2986</v>
      </c>
      <c r="T201" s="4" t="s">
        <v>657</v>
      </c>
      <c r="U201" s="4" t="s">
        <v>2996</v>
      </c>
      <c r="V201" s="4" t="s">
        <v>670</v>
      </c>
      <c r="W201" s="4" t="s">
        <v>669</v>
      </c>
      <c r="X201" s="4" t="str">
        <f>_xlfn.XLOOKUP(V201,Reference!$O:$O,Reference!$N:$N,"Tidak Ketemu")</f>
        <v>G13</v>
      </c>
      <c r="Y201" s="4" t="str">
        <f t="shared" si="14"/>
        <v>TK/0</v>
      </c>
      <c r="Z201" s="10" t="s">
        <v>909</v>
      </c>
      <c r="AA201" s="10" t="s">
        <v>910</v>
      </c>
      <c r="AB201" s="7" t="s">
        <v>911</v>
      </c>
      <c r="AC201" s="7" t="s">
        <v>3816</v>
      </c>
      <c r="AD201" s="17" t="s">
        <v>912</v>
      </c>
      <c r="AE201" s="6" t="s">
        <v>907</v>
      </c>
      <c r="AF201" s="6" t="s">
        <v>908</v>
      </c>
      <c r="AG201" s="6" t="s">
        <v>694</v>
      </c>
      <c r="AN201" s="4"/>
    </row>
    <row r="202" spans="1:40" x14ac:dyDescent="0.35">
      <c r="A202" s="5">
        <v>201642471</v>
      </c>
      <c r="B202" s="5" t="s">
        <v>1656</v>
      </c>
      <c r="C202" s="5" t="s">
        <v>286</v>
      </c>
      <c r="D202" s="5" t="s">
        <v>597</v>
      </c>
      <c r="E202" s="6" t="s">
        <v>649</v>
      </c>
      <c r="F202" s="7">
        <v>38256</v>
      </c>
      <c r="G202" s="10" t="s">
        <v>648</v>
      </c>
      <c r="H202" s="15" t="s">
        <v>666</v>
      </c>
      <c r="I202" s="4">
        <f>MIN(COUNTIFS('Data Family'!A:A,A202,'Data Family'!F:F,"Child")+COUNTIFS('Data Family'!A:A,A202,'Data Family'!F:F,"&lt;&gt;Child",'Data Family'!J:J,"Housewife")+COUNTIFS('Data Family'!A:A,A202,'Data Family'!F:F,"&lt;&gt;Child",'Data Family'!J:J,"Unemployment"),3)</f>
        <v>0</v>
      </c>
      <c r="J202" s="10" t="s">
        <v>791</v>
      </c>
      <c r="K202" s="7" t="s">
        <v>691</v>
      </c>
      <c r="L202" s="7">
        <v>45027</v>
      </c>
      <c r="M202" s="7">
        <v>46854</v>
      </c>
      <c r="N202" s="7"/>
      <c r="O202" s="4" t="str">
        <f t="shared" ca="1" si="12"/>
        <v/>
      </c>
      <c r="P202" s="4" t="str">
        <f t="shared" ca="1" si="13"/>
        <v>Active</v>
      </c>
      <c r="Q202" s="4" t="str">
        <f t="shared" si="15"/>
        <v>PKWT</v>
      </c>
      <c r="R202" s="7" t="s">
        <v>2980</v>
      </c>
      <c r="S202" s="4" t="s">
        <v>2986</v>
      </c>
      <c r="T202" s="4" t="s">
        <v>657</v>
      </c>
      <c r="U202" s="4" t="s">
        <v>2996</v>
      </c>
      <c r="V202" s="4" t="s">
        <v>670</v>
      </c>
      <c r="W202" s="4" t="s">
        <v>669</v>
      </c>
      <c r="X202" s="4" t="str">
        <f>_xlfn.XLOOKUP(V202,Reference!$O:$O,Reference!$N:$N,"Tidak Ketemu")</f>
        <v>G13</v>
      </c>
      <c r="Y202" s="4" t="str">
        <f t="shared" si="14"/>
        <v>TK/0</v>
      </c>
      <c r="Z202" s="10" t="s">
        <v>2352</v>
      </c>
      <c r="AA202" s="10" t="s">
        <v>2353</v>
      </c>
      <c r="AB202" s="7" t="s">
        <v>2354</v>
      </c>
      <c r="AC202" s="7" t="s">
        <v>3816</v>
      </c>
      <c r="AD202" s="17" t="s">
        <v>2355</v>
      </c>
      <c r="AE202" s="6" t="s">
        <v>2351</v>
      </c>
      <c r="AF202" s="6" t="s">
        <v>1658</v>
      </c>
      <c r="AG202" s="6" t="s">
        <v>694</v>
      </c>
      <c r="AN202" s="4"/>
    </row>
    <row r="203" spans="1:40" x14ac:dyDescent="0.35">
      <c r="A203" s="5">
        <v>202545968</v>
      </c>
      <c r="B203" s="5" t="s">
        <v>3097</v>
      </c>
      <c r="C203" s="5" t="s">
        <v>321</v>
      </c>
      <c r="D203" s="5" t="s">
        <v>632</v>
      </c>
      <c r="E203" s="6" t="s">
        <v>768</v>
      </c>
      <c r="F203" s="7">
        <v>40042</v>
      </c>
      <c r="G203" s="10" t="s">
        <v>648</v>
      </c>
      <c r="H203" s="15" t="s">
        <v>666</v>
      </c>
      <c r="I203" s="4">
        <f>MIN(COUNTIFS('Data Family'!A:A,A203,'Data Family'!F:F,"Child")+COUNTIFS('Data Family'!A:A,A203,'Data Family'!F:F,"&lt;&gt;Child",'Data Family'!J:J,"Housewife")+COUNTIFS('Data Family'!A:A,A203,'Data Family'!F:F,"&lt;&gt;Child",'Data Family'!J:J,"Unemployment"),3)</f>
        <v>0</v>
      </c>
      <c r="J203" s="10" t="s">
        <v>791</v>
      </c>
      <c r="K203" s="7" t="s">
        <v>691</v>
      </c>
      <c r="L203" s="7">
        <v>45968</v>
      </c>
      <c r="M203" s="7">
        <v>46333</v>
      </c>
      <c r="N203" s="7"/>
      <c r="O203" s="4" t="str">
        <f t="shared" ca="1" si="12"/>
        <v/>
      </c>
      <c r="P203" s="4" t="str">
        <f t="shared" ca="1" si="13"/>
        <v>Active</v>
      </c>
      <c r="Q203" s="4" t="str">
        <f t="shared" si="15"/>
        <v>PKWT</v>
      </c>
      <c r="R203" s="7" t="s">
        <v>2980</v>
      </c>
      <c r="S203" s="4" t="s">
        <v>2987</v>
      </c>
      <c r="T203" s="4" t="s">
        <v>657</v>
      </c>
      <c r="U203" s="4" t="s">
        <v>2996</v>
      </c>
      <c r="V203" s="4" t="s">
        <v>2681</v>
      </c>
      <c r="W203" s="4" t="s">
        <v>3417</v>
      </c>
      <c r="X203" s="4" t="str">
        <f>_xlfn.XLOOKUP(V203,Reference!$O:$O,Reference!$N:$N,"Tidak Ketemu")</f>
        <v>G14</v>
      </c>
      <c r="Y203" s="4" t="str">
        <f t="shared" si="14"/>
        <v>TK/0</v>
      </c>
      <c r="Z203" s="10" t="s">
        <v>2543</v>
      </c>
      <c r="AA203" s="10" t="s">
        <v>2544</v>
      </c>
      <c r="AB203" s="7" t="s">
        <v>2545</v>
      </c>
      <c r="AC203" s="7" t="s">
        <v>3817</v>
      </c>
      <c r="AD203" s="7" t="s">
        <v>2546</v>
      </c>
      <c r="AE203" s="6" t="s">
        <v>2542</v>
      </c>
      <c r="AF203" s="6" t="s">
        <v>793</v>
      </c>
      <c r="AG203" s="6" t="s">
        <v>704</v>
      </c>
      <c r="AN203" s="4"/>
    </row>
    <row r="204" spans="1:40" x14ac:dyDescent="0.35">
      <c r="A204" s="5">
        <v>201742806</v>
      </c>
      <c r="B204" s="5" t="s">
        <v>1268</v>
      </c>
      <c r="C204" s="5" t="s">
        <v>101</v>
      </c>
      <c r="D204" s="5" t="s">
        <v>412</v>
      </c>
      <c r="E204" s="6" t="s">
        <v>742</v>
      </c>
      <c r="F204" s="7">
        <v>37268</v>
      </c>
      <c r="G204" s="10" t="s">
        <v>648</v>
      </c>
      <c r="H204" s="15" t="s">
        <v>666</v>
      </c>
      <c r="I204" s="4">
        <f>MIN(COUNTIFS('Data Family'!A:A,A204,'Data Family'!F:F,"Child")+COUNTIFS('Data Family'!A:A,A204,'Data Family'!F:F,"&lt;&gt;Child",'Data Family'!J:J,"Housewife")+COUNTIFS('Data Family'!A:A,A204,'Data Family'!F:F,"&lt;&gt;Child",'Data Family'!J:J,"Unemployment"),3)</f>
        <v>0</v>
      </c>
      <c r="J204" s="10" t="s">
        <v>791</v>
      </c>
      <c r="K204" s="7" t="s">
        <v>701</v>
      </c>
      <c r="L204" s="7">
        <v>44997</v>
      </c>
      <c r="M204" s="7">
        <v>46824</v>
      </c>
      <c r="N204" s="7"/>
      <c r="O204" s="4" t="str">
        <f t="shared" ca="1" si="12"/>
        <v/>
      </c>
      <c r="P204" s="4" t="str">
        <f t="shared" ca="1" si="13"/>
        <v>Active</v>
      </c>
      <c r="Q204" s="4" t="str">
        <f t="shared" si="15"/>
        <v>PKWT</v>
      </c>
      <c r="R204" s="7" t="s">
        <v>2980</v>
      </c>
      <c r="S204" s="4" t="s">
        <v>2986</v>
      </c>
      <c r="T204" s="4" t="s">
        <v>657</v>
      </c>
      <c r="U204" s="4" t="s">
        <v>2996</v>
      </c>
      <c r="V204" s="4" t="s">
        <v>670</v>
      </c>
      <c r="W204" s="4" t="s">
        <v>669</v>
      </c>
      <c r="X204" s="4" t="str">
        <f>_xlfn.XLOOKUP(V204,Reference!$O:$O,Reference!$N:$N,"Tidak Ketemu")</f>
        <v>G13</v>
      </c>
      <c r="Y204" s="4" t="str">
        <f t="shared" si="14"/>
        <v>TK/0</v>
      </c>
      <c r="Z204" s="10" t="s">
        <v>1271</v>
      </c>
      <c r="AA204" s="10" t="s">
        <v>1272</v>
      </c>
      <c r="AB204" s="7" t="s">
        <v>1273</v>
      </c>
      <c r="AC204" s="7" t="s">
        <v>3816</v>
      </c>
      <c r="AD204" s="17" t="s">
        <v>1274</v>
      </c>
      <c r="AE204" s="6" t="s">
        <v>1269</v>
      </c>
      <c r="AF204" s="6" t="s">
        <v>1270</v>
      </c>
      <c r="AG204" s="6" t="s">
        <v>818</v>
      </c>
      <c r="AN204" s="4"/>
    </row>
    <row r="205" spans="1:40" x14ac:dyDescent="0.35">
      <c r="A205" s="5">
        <v>201843451</v>
      </c>
      <c r="B205" s="5" t="s">
        <v>767</v>
      </c>
      <c r="C205" s="5" t="s">
        <v>36</v>
      </c>
      <c r="D205" s="5" t="s">
        <v>347</v>
      </c>
      <c r="E205" s="6" t="s">
        <v>768</v>
      </c>
      <c r="F205" s="7">
        <v>37510</v>
      </c>
      <c r="G205" s="10" t="s">
        <v>648</v>
      </c>
      <c r="H205" s="15" t="s">
        <v>666</v>
      </c>
      <c r="I205" s="4">
        <f>MIN(COUNTIFS('Data Family'!A:A,A205,'Data Family'!F:F,"Child")+COUNTIFS('Data Family'!A:A,A205,'Data Family'!F:F,"&lt;&gt;Child",'Data Family'!J:J,"Housewife")+COUNTIFS('Data Family'!A:A,A205,'Data Family'!F:F,"&lt;&gt;Child",'Data Family'!J:J,"Unemployment"),3)</f>
        <v>0</v>
      </c>
      <c r="J205" s="10" t="s">
        <v>3002</v>
      </c>
      <c r="K205" s="7" t="s">
        <v>701</v>
      </c>
      <c r="L205" s="7">
        <v>45277</v>
      </c>
      <c r="M205" s="7">
        <v>47104</v>
      </c>
      <c r="N205" s="7"/>
      <c r="O205" s="4" t="str">
        <f t="shared" ca="1" si="12"/>
        <v/>
      </c>
      <c r="P205" s="4" t="str">
        <f t="shared" ca="1" si="13"/>
        <v>Active</v>
      </c>
      <c r="Q205" s="4" t="str">
        <f t="shared" si="15"/>
        <v>PKWT</v>
      </c>
      <c r="R205" s="7" t="s">
        <v>2980</v>
      </c>
      <c r="S205" s="4" t="s">
        <v>2986</v>
      </c>
      <c r="T205" s="4" t="s">
        <v>657</v>
      </c>
      <c r="U205" s="4" t="s">
        <v>2996</v>
      </c>
      <c r="V205" s="4" t="s">
        <v>670</v>
      </c>
      <c r="W205" s="4" t="s">
        <v>669</v>
      </c>
      <c r="X205" s="4" t="str">
        <f>_xlfn.XLOOKUP(V205,Reference!$O:$O,Reference!$N:$N,"Tidak Ketemu")</f>
        <v>G13</v>
      </c>
      <c r="Y205" s="4" t="str">
        <f t="shared" si="14"/>
        <v>TK/0</v>
      </c>
      <c r="Z205" s="10" t="s">
        <v>771</v>
      </c>
      <c r="AA205" s="10" t="s">
        <v>772</v>
      </c>
      <c r="AB205" s="7" t="s">
        <v>773</v>
      </c>
      <c r="AC205" s="7" t="s">
        <v>3816</v>
      </c>
      <c r="AD205" s="17" t="s">
        <v>774</v>
      </c>
      <c r="AE205" s="6" t="s">
        <v>769</v>
      </c>
      <c r="AF205" s="6" t="s">
        <v>770</v>
      </c>
      <c r="AG205" s="6" t="s">
        <v>656</v>
      </c>
      <c r="AN205" s="4"/>
    </row>
    <row r="206" spans="1:40" x14ac:dyDescent="0.35">
      <c r="A206" s="5">
        <v>201943517</v>
      </c>
      <c r="B206" s="5" t="s">
        <v>765</v>
      </c>
      <c r="C206" s="5" t="s">
        <v>64</v>
      </c>
      <c r="D206" s="5" t="s">
        <v>375</v>
      </c>
      <c r="E206" s="6" t="s">
        <v>742</v>
      </c>
      <c r="F206" s="7">
        <v>37449</v>
      </c>
      <c r="G206" s="10" t="s">
        <v>648</v>
      </c>
      <c r="H206" s="15" t="s">
        <v>666</v>
      </c>
      <c r="I206" s="4">
        <f>MIN(COUNTIFS('Data Family'!A:A,A206,'Data Family'!F:F,"Child")+COUNTIFS('Data Family'!A:A,A206,'Data Family'!F:F,"&lt;&gt;Child",'Data Family'!J:J,"Housewife")+COUNTIFS('Data Family'!A:A,A206,'Data Family'!F:F,"&lt;&gt;Child",'Data Family'!J:J,"Unemployment"),3)</f>
        <v>0</v>
      </c>
      <c r="J206" s="10" t="s">
        <v>791</v>
      </c>
      <c r="K206" s="7" t="s">
        <v>701</v>
      </c>
      <c r="L206" s="7">
        <v>45343</v>
      </c>
      <c r="M206" s="7">
        <v>47170</v>
      </c>
      <c r="N206" s="7"/>
      <c r="O206" s="4" t="str">
        <f t="shared" ca="1" si="12"/>
        <v/>
      </c>
      <c r="P206" s="4" t="str">
        <f t="shared" ca="1" si="13"/>
        <v>Active</v>
      </c>
      <c r="Q206" s="4" t="str">
        <f t="shared" si="15"/>
        <v>PKWT</v>
      </c>
      <c r="R206" s="7" t="s">
        <v>2980</v>
      </c>
      <c r="S206" s="4" t="s">
        <v>2986</v>
      </c>
      <c r="T206" s="4" t="s">
        <v>657</v>
      </c>
      <c r="U206" s="4" t="s">
        <v>2996</v>
      </c>
      <c r="V206" s="4" t="s">
        <v>670</v>
      </c>
      <c r="W206" s="4" t="s">
        <v>669</v>
      </c>
      <c r="X206" s="4" t="str">
        <f>_xlfn.XLOOKUP(V206,Reference!$O:$O,Reference!$N:$N,"Tidak Ketemu")</f>
        <v>G13</v>
      </c>
      <c r="Y206" s="4" t="str">
        <f t="shared" si="14"/>
        <v>TK/0</v>
      </c>
      <c r="Z206" s="10" t="s">
        <v>989</v>
      </c>
      <c r="AA206" s="10" t="s">
        <v>990</v>
      </c>
      <c r="AB206" s="7" t="s">
        <v>991</v>
      </c>
      <c r="AC206" s="7" t="s">
        <v>3816</v>
      </c>
      <c r="AD206" s="17" t="s">
        <v>992</v>
      </c>
      <c r="AE206" s="6" t="s">
        <v>988</v>
      </c>
      <c r="AF206" s="6" t="s">
        <v>766</v>
      </c>
      <c r="AG206" s="6" t="s">
        <v>694</v>
      </c>
      <c r="AN206" s="4"/>
    </row>
    <row r="207" spans="1:40" x14ac:dyDescent="0.35">
      <c r="A207" s="5">
        <v>201943725</v>
      </c>
      <c r="B207" s="5" t="s">
        <v>1268</v>
      </c>
      <c r="C207" s="5" t="s">
        <v>116</v>
      </c>
      <c r="D207" s="5" t="s">
        <v>427</v>
      </c>
      <c r="E207" s="6" t="s">
        <v>738</v>
      </c>
      <c r="F207" s="7">
        <v>39972</v>
      </c>
      <c r="G207" s="10" t="s">
        <v>648</v>
      </c>
      <c r="H207" s="15" t="s">
        <v>666</v>
      </c>
      <c r="I207" s="4">
        <f>MIN(COUNTIFS('Data Family'!A:A,A207,'Data Family'!F:F,"Child")+COUNTIFS('Data Family'!A:A,A207,'Data Family'!F:F,"&lt;&gt;Child",'Data Family'!J:J,"Housewife")+COUNTIFS('Data Family'!A:A,A207,'Data Family'!F:F,"&lt;&gt;Child",'Data Family'!J:J,"Unemployment"),3)</f>
        <v>0</v>
      </c>
      <c r="J207" s="10" t="s">
        <v>791</v>
      </c>
      <c r="K207" s="7" t="s">
        <v>691</v>
      </c>
      <c r="L207" s="7">
        <v>45917</v>
      </c>
      <c r="M207" s="7">
        <v>46282</v>
      </c>
      <c r="N207" s="7"/>
      <c r="O207" s="4" t="str">
        <f t="shared" ca="1" si="12"/>
        <v/>
      </c>
      <c r="P207" s="4" t="str">
        <f t="shared" ca="1" si="13"/>
        <v>Active</v>
      </c>
      <c r="Q207" s="4" t="str">
        <f t="shared" si="15"/>
        <v>PKWT</v>
      </c>
      <c r="R207" s="7" t="s">
        <v>2980</v>
      </c>
      <c r="S207" s="4" t="s">
        <v>2987</v>
      </c>
      <c r="T207" s="4" t="s">
        <v>657</v>
      </c>
      <c r="U207" s="4" t="s">
        <v>2996</v>
      </c>
      <c r="V207" s="4" t="s">
        <v>2681</v>
      </c>
      <c r="W207" s="4" t="s">
        <v>3417</v>
      </c>
      <c r="X207" s="4" t="str">
        <f>_xlfn.XLOOKUP(V207,Reference!$O:$O,Reference!$N:$N,"Tidak Ketemu")</f>
        <v>G14</v>
      </c>
      <c r="Y207" s="4" t="str">
        <f t="shared" si="14"/>
        <v>TK/0</v>
      </c>
      <c r="Z207" s="10" t="s">
        <v>1364</v>
      </c>
      <c r="AA207" s="10" t="s">
        <v>1365</v>
      </c>
      <c r="AB207" s="7" t="s">
        <v>1366</v>
      </c>
      <c r="AC207" s="7" t="s">
        <v>3817</v>
      </c>
      <c r="AD207" s="7" t="s">
        <v>1367</v>
      </c>
      <c r="AE207" s="6" t="s">
        <v>1362</v>
      </c>
      <c r="AF207" s="6" t="s">
        <v>1363</v>
      </c>
      <c r="AG207" s="6" t="s">
        <v>656</v>
      </c>
      <c r="AN207" s="4"/>
    </row>
    <row r="208" spans="1:40" x14ac:dyDescent="0.35">
      <c r="A208" s="5">
        <v>202646042</v>
      </c>
      <c r="B208" s="5" t="s">
        <v>863</v>
      </c>
      <c r="C208" s="5" t="s">
        <v>259</v>
      </c>
      <c r="D208" s="5" t="s">
        <v>570</v>
      </c>
      <c r="E208" s="6" t="s">
        <v>664</v>
      </c>
      <c r="F208" s="7">
        <v>37380</v>
      </c>
      <c r="G208" s="10" t="s">
        <v>648</v>
      </c>
      <c r="H208" s="15" t="s">
        <v>666</v>
      </c>
      <c r="I208" s="4">
        <f>MIN(COUNTIFS('Data Family'!A:A,A208,'Data Family'!F:F,"Child")+COUNTIFS('Data Family'!A:A,A208,'Data Family'!F:F,"&lt;&gt;Child",'Data Family'!J:J,"Housewife")+COUNTIFS('Data Family'!A:A,A208,'Data Family'!F:F,"&lt;&gt;Child",'Data Family'!J:J,"Unemployment"),3)</f>
        <v>0</v>
      </c>
      <c r="J208" s="10" t="s">
        <v>791</v>
      </c>
      <c r="K208" s="7" t="s">
        <v>701</v>
      </c>
      <c r="L208" s="7">
        <v>46042</v>
      </c>
      <c r="M208" s="7">
        <v>47868</v>
      </c>
      <c r="N208" s="7"/>
      <c r="O208" s="4" t="str">
        <f t="shared" ca="1" si="12"/>
        <v/>
      </c>
      <c r="P208" s="4" t="str">
        <f t="shared" ca="1" si="13"/>
        <v>Active</v>
      </c>
      <c r="Q208" s="4" t="str">
        <f t="shared" si="15"/>
        <v>PKWT</v>
      </c>
      <c r="R208" s="7" t="s">
        <v>2980</v>
      </c>
      <c r="S208" s="4" t="s">
        <v>2986</v>
      </c>
      <c r="T208" s="4" t="s">
        <v>657</v>
      </c>
      <c r="U208" s="4" t="s">
        <v>2996</v>
      </c>
      <c r="V208" s="4" t="s">
        <v>670</v>
      </c>
      <c r="W208" s="4" t="s">
        <v>669</v>
      </c>
      <c r="X208" s="4" t="str">
        <f>_xlfn.XLOOKUP(V208,Reference!$O:$O,Reference!$N:$N,"Tidak Ketemu")</f>
        <v>G13</v>
      </c>
      <c r="Y208" s="4" t="str">
        <f t="shared" si="14"/>
        <v>TK/0</v>
      </c>
      <c r="Z208" s="10" t="s">
        <v>2209</v>
      </c>
      <c r="AA208" s="10" t="s">
        <v>2210</v>
      </c>
      <c r="AB208" s="7" t="s">
        <v>2211</v>
      </c>
      <c r="AC208" s="7" t="s">
        <v>3816</v>
      </c>
      <c r="AD208" s="17" t="s">
        <v>2212</v>
      </c>
      <c r="AE208" s="6" t="s">
        <v>2208</v>
      </c>
      <c r="AF208" s="6" t="s">
        <v>864</v>
      </c>
      <c r="AG208" s="6" t="s">
        <v>778</v>
      </c>
      <c r="AN208" s="4"/>
    </row>
    <row r="209" spans="1:40" x14ac:dyDescent="0.35">
      <c r="A209" s="5">
        <v>202044155</v>
      </c>
      <c r="B209" s="5" t="s">
        <v>1132</v>
      </c>
      <c r="C209" s="5" t="s">
        <v>288</v>
      </c>
      <c r="D209" s="5" t="s">
        <v>599</v>
      </c>
      <c r="E209" s="6" t="s">
        <v>809</v>
      </c>
      <c r="F209" s="7">
        <v>37551</v>
      </c>
      <c r="G209" s="10" t="s">
        <v>648</v>
      </c>
      <c r="H209" s="15" t="s">
        <v>666</v>
      </c>
      <c r="I209" s="4">
        <f>MIN(COUNTIFS('Data Family'!A:A,A209,'Data Family'!F:F,"Child")+COUNTIFS('Data Family'!A:A,A209,'Data Family'!F:F,"&lt;&gt;Child",'Data Family'!J:J,"Housewife")+COUNTIFS('Data Family'!A:A,A209,'Data Family'!F:F,"&lt;&gt;Child",'Data Family'!J:J,"Unemployment"),3)</f>
        <v>0</v>
      </c>
      <c r="J209" s="10" t="s">
        <v>791</v>
      </c>
      <c r="K209" s="7" t="s">
        <v>691</v>
      </c>
      <c r="L209" s="7">
        <v>45981</v>
      </c>
      <c r="M209" s="7">
        <v>46346</v>
      </c>
      <c r="N209" s="7"/>
      <c r="O209" s="4" t="str">
        <f t="shared" ca="1" si="12"/>
        <v/>
      </c>
      <c r="P209" s="4" t="str">
        <f t="shared" ca="1" si="13"/>
        <v>Active</v>
      </c>
      <c r="Q209" s="4" t="str">
        <f t="shared" si="15"/>
        <v>PKWT</v>
      </c>
      <c r="R209" s="7" t="s">
        <v>2980</v>
      </c>
      <c r="S209" s="4" t="s">
        <v>2986</v>
      </c>
      <c r="T209" s="4" t="s">
        <v>657</v>
      </c>
      <c r="U209" s="4" t="s">
        <v>2996</v>
      </c>
      <c r="V209" s="4" t="s">
        <v>670</v>
      </c>
      <c r="W209" s="4" t="s">
        <v>669</v>
      </c>
      <c r="X209" s="4" t="str">
        <f>_xlfn.XLOOKUP(V209,Reference!$O:$O,Reference!$N:$N,"Tidak Ketemu")</f>
        <v>G13</v>
      </c>
      <c r="Y209" s="4" t="str">
        <f t="shared" si="14"/>
        <v>TK/0</v>
      </c>
      <c r="Z209" s="10" t="s">
        <v>2362</v>
      </c>
      <c r="AA209" s="10" t="s">
        <v>2363</v>
      </c>
      <c r="AB209" s="7" t="s">
        <v>2364</v>
      </c>
      <c r="AC209" s="7" t="s">
        <v>3816</v>
      </c>
      <c r="AD209" s="17" t="s">
        <v>2365</v>
      </c>
      <c r="AE209" s="6" t="s">
        <v>2361</v>
      </c>
      <c r="AF209" s="6" t="s">
        <v>1134</v>
      </c>
      <c r="AG209" s="6" t="s">
        <v>778</v>
      </c>
      <c r="AN209" s="4"/>
    </row>
    <row r="210" spans="1:40" x14ac:dyDescent="0.35">
      <c r="A210" s="5">
        <v>201843296</v>
      </c>
      <c r="B210" s="5" t="s">
        <v>2387</v>
      </c>
      <c r="C210" s="5" t="s">
        <v>292</v>
      </c>
      <c r="D210" s="5" t="s">
        <v>603</v>
      </c>
      <c r="E210" s="6" t="s">
        <v>689</v>
      </c>
      <c r="F210" s="7">
        <v>37547</v>
      </c>
      <c r="G210" s="10" t="s">
        <v>648</v>
      </c>
      <c r="H210" s="15" t="s">
        <v>666</v>
      </c>
      <c r="I210" s="4">
        <f>MIN(COUNTIFS('Data Family'!A:A,A210,'Data Family'!F:F,"Child")+COUNTIFS('Data Family'!A:A,A210,'Data Family'!F:F,"&lt;&gt;Child",'Data Family'!J:J,"Housewife")+COUNTIFS('Data Family'!A:A,A210,'Data Family'!F:F,"&lt;&gt;Child",'Data Family'!J:J,"Unemployment"),3)</f>
        <v>0</v>
      </c>
      <c r="J210" s="10" t="s">
        <v>791</v>
      </c>
      <c r="K210" s="7" t="s">
        <v>677</v>
      </c>
      <c r="L210" s="7">
        <v>45122</v>
      </c>
      <c r="M210" s="7">
        <v>46949</v>
      </c>
      <c r="N210" s="7"/>
      <c r="O210" s="4" t="str">
        <f t="shared" ca="1" si="12"/>
        <v/>
      </c>
      <c r="P210" s="4" t="str">
        <f t="shared" ca="1" si="13"/>
        <v>Active</v>
      </c>
      <c r="Q210" s="4" t="str">
        <f t="shared" si="15"/>
        <v>PKWT</v>
      </c>
      <c r="R210" s="7" t="s">
        <v>2980</v>
      </c>
      <c r="S210" s="4" t="s">
        <v>2986</v>
      </c>
      <c r="T210" s="4" t="s">
        <v>657</v>
      </c>
      <c r="U210" s="4" t="s">
        <v>2996</v>
      </c>
      <c r="V210" s="4" t="s">
        <v>670</v>
      </c>
      <c r="W210" s="4" t="s">
        <v>669</v>
      </c>
      <c r="X210" s="4" t="str">
        <f>_xlfn.XLOOKUP(V210,Reference!$O:$O,Reference!$N:$N,"Tidak Ketemu")</f>
        <v>G13</v>
      </c>
      <c r="Y210" s="4" t="str">
        <f t="shared" si="14"/>
        <v>TK/0</v>
      </c>
      <c r="Z210" s="10" t="s">
        <v>2390</v>
      </c>
      <c r="AA210" s="10" t="s">
        <v>2391</v>
      </c>
      <c r="AB210" s="7" t="s">
        <v>2392</v>
      </c>
      <c r="AC210" s="7" t="s">
        <v>3816</v>
      </c>
      <c r="AD210" s="17" t="s">
        <v>2393</v>
      </c>
      <c r="AE210" s="6" t="s">
        <v>2388</v>
      </c>
      <c r="AF210" s="6" t="s">
        <v>2389</v>
      </c>
      <c r="AG210" s="6" t="s">
        <v>680</v>
      </c>
      <c r="AN210" s="4"/>
    </row>
    <row r="211" spans="1:40" x14ac:dyDescent="0.35">
      <c r="A211" s="5">
        <v>201742836</v>
      </c>
      <c r="B211" s="5" t="s">
        <v>3100</v>
      </c>
      <c r="C211" s="5" t="s">
        <v>302</v>
      </c>
      <c r="D211" s="5" t="s">
        <v>613</v>
      </c>
      <c r="E211" s="6" t="s">
        <v>768</v>
      </c>
      <c r="F211" s="7">
        <v>40058</v>
      </c>
      <c r="G211" s="10" t="s">
        <v>648</v>
      </c>
      <c r="H211" s="15" t="s">
        <v>666</v>
      </c>
      <c r="I211" s="4">
        <f>MIN(COUNTIFS('Data Family'!A:A,A211,'Data Family'!F:F,"Child")+COUNTIFS('Data Family'!A:A,A211,'Data Family'!F:F,"&lt;&gt;Child",'Data Family'!J:J,"Housewife")+COUNTIFS('Data Family'!A:A,A211,'Data Family'!F:F,"&lt;&gt;Child",'Data Family'!J:J,"Unemployment"),3)</f>
        <v>0</v>
      </c>
      <c r="J211" s="10" t="s">
        <v>791</v>
      </c>
      <c r="K211" s="7" t="s">
        <v>691</v>
      </c>
      <c r="L211" s="7">
        <v>46123</v>
      </c>
      <c r="M211" s="7">
        <v>46488</v>
      </c>
      <c r="N211" s="7"/>
      <c r="O211" s="4" t="str">
        <f t="shared" ca="1" si="12"/>
        <v/>
      </c>
      <c r="P211" s="4" t="str">
        <f t="shared" ca="1" si="13"/>
        <v>Active</v>
      </c>
      <c r="Q211" s="4" t="str">
        <f t="shared" si="15"/>
        <v>PKWT</v>
      </c>
      <c r="R211" s="7" t="s">
        <v>2980</v>
      </c>
      <c r="S211" s="4" t="s">
        <v>2986</v>
      </c>
      <c r="T211" s="4" t="s">
        <v>657</v>
      </c>
      <c r="U211" s="4" t="s">
        <v>2996</v>
      </c>
      <c r="V211" s="4" t="s">
        <v>2681</v>
      </c>
      <c r="W211" s="4" t="s">
        <v>3417</v>
      </c>
      <c r="X211" s="4" t="str">
        <f>_xlfn.XLOOKUP(V211,Reference!$O:$O,Reference!$N:$N,"Tidak Ketemu")</f>
        <v>G14</v>
      </c>
      <c r="Y211" s="4" t="str">
        <f t="shared" si="14"/>
        <v>TK/0</v>
      </c>
      <c r="Z211" s="10" t="s">
        <v>2440</v>
      </c>
      <c r="AA211" s="10" t="s">
        <v>2441</v>
      </c>
      <c r="AB211" s="7" t="s">
        <v>2442</v>
      </c>
      <c r="AC211" s="7" t="s">
        <v>3817</v>
      </c>
      <c r="AD211" s="7" t="s">
        <v>2443</v>
      </c>
      <c r="AE211" s="6" t="s">
        <v>2439</v>
      </c>
      <c r="AF211" s="6" t="s">
        <v>994</v>
      </c>
      <c r="AG211" s="6" t="s">
        <v>731</v>
      </c>
      <c r="AN211" s="4"/>
    </row>
    <row r="212" spans="1:40" x14ac:dyDescent="0.35">
      <c r="A212" s="5">
        <v>201943818</v>
      </c>
      <c r="B212" s="5" t="s">
        <v>935</v>
      </c>
      <c r="C212" s="5" t="s">
        <v>309</v>
      </c>
      <c r="D212" s="5" t="s">
        <v>620</v>
      </c>
      <c r="E212" s="6" t="s">
        <v>649</v>
      </c>
      <c r="F212" s="7">
        <v>37326</v>
      </c>
      <c r="G212" s="10" t="s">
        <v>648</v>
      </c>
      <c r="H212" s="15" t="s">
        <v>666</v>
      </c>
      <c r="I212" s="4">
        <f>MIN(COUNTIFS('Data Family'!A:A,A212,'Data Family'!F:F,"Child")+COUNTIFS('Data Family'!A:A,A212,'Data Family'!F:F,"&lt;&gt;Child",'Data Family'!J:J,"Housewife")+COUNTIFS('Data Family'!A:A,A212,'Data Family'!F:F,"&lt;&gt;Child",'Data Family'!J:J,"Unemployment"),3)</f>
        <v>0</v>
      </c>
      <c r="J212" s="10" t="s">
        <v>791</v>
      </c>
      <c r="K212" s="7" t="s">
        <v>701</v>
      </c>
      <c r="L212" s="7">
        <v>45645</v>
      </c>
      <c r="M212" s="7">
        <v>46375</v>
      </c>
      <c r="N212" s="7"/>
      <c r="O212" s="4" t="str">
        <f t="shared" ca="1" si="12"/>
        <v/>
      </c>
      <c r="P212" s="4" t="str">
        <f t="shared" ca="1" si="13"/>
        <v>Active</v>
      </c>
      <c r="Q212" s="4" t="str">
        <f t="shared" si="15"/>
        <v>PKWT</v>
      </c>
      <c r="R212" s="7" t="s">
        <v>2980</v>
      </c>
      <c r="S212" s="4" t="s">
        <v>2986</v>
      </c>
      <c r="T212" s="4" t="s">
        <v>657</v>
      </c>
      <c r="U212" s="4" t="s">
        <v>2996</v>
      </c>
      <c r="V212" s="4" t="s">
        <v>670</v>
      </c>
      <c r="W212" s="4" t="s">
        <v>669</v>
      </c>
      <c r="X212" s="4" t="str">
        <f>_xlfn.XLOOKUP(V212,Reference!$O:$O,Reference!$N:$N,"Tidak Ketemu")</f>
        <v>G13</v>
      </c>
      <c r="Y212" s="4" t="str">
        <f t="shared" si="14"/>
        <v>TK/0</v>
      </c>
      <c r="Z212" s="10" t="s">
        <v>2479</v>
      </c>
      <c r="AA212" s="10" t="s">
        <v>2480</v>
      </c>
      <c r="AB212" s="7" t="s">
        <v>2481</v>
      </c>
      <c r="AC212" s="7" t="s">
        <v>3816</v>
      </c>
      <c r="AD212" s="17" t="s">
        <v>2482</v>
      </c>
      <c r="AE212" s="6" t="s">
        <v>2478</v>
      </c>
      <c r="AF212" s="6" t="s">
        <v>936</v>
      </c>
      <c r="AG212" s="6" t="s">
        <v>680</v>
      </c>
      <c r="AN212" s="4"/>
    </row>
    <row r="213" spans="1:40" x14ac:dyDescent="0.35">
      <c r="A213" s="5">
        <v>201743033</v>
      </c>
      <c r="B213" s="5" t="s">
        <v>1299</v>
      </c>
      <c r="C213" s="5" t="s">
        <v>333</v>
      </c>
      <c r="D213" s="5" t="s">
        <v>644</v>
      </c>
      <c r="E213" s="6" t="s">
        <v>809</v>
      </c>
      <c r="F213" s="7">
        <v>37279</v>
      </c>
      <c r="G213" s="10" t="s">
        <v>648</v>
      </c>
      <c r="H213" s="15" t="s">
        <v>666</v>
      </c>
      <c r="I213" s="4">
        <f>MIN(COUNTIFS('Data Family'!A:A,A213,'Data Family'!F:F,"Child")+COUNTIFS('Data Family'!A:A,A213,'Data Family'!F:F,"&lt;&gt;Child",'Data Family'!J:J,"Housewife")+COUNTIFS('Data Family'!A:A,A213,'Data Family'!F:F,"&lt;&gt;Child",'Data Family'!J:J,"Unemployment"),3)</f>
        <v>0</v>
      </c>
      <c r="J213" s="10" t="s">
        <v>791</v>
      </c>
      <c r="K213" s="7" t="s">
        <v>691</v>
      </c>
      <c r="L213" s="7">
        <v>45224</v>
      </c>
      <c r="M213" s="7">
        <v>46320</v>
      </c>
      <c r="N213" s="7"/>
      <c r="O213" s="4" t="str">
        <f t="shared" ca="1" si="12"/>
        <v/>
      </c>
      <c r="P213" s="4" t="str">
        <f t="shared" ca="1" si="13"/>
        <v>Active</v>
      </c>
      <c r="Q213" s="4" t="str">
        <f t="shared" si="15"/>
        <v>PKWT</v>
      </c>
      <c r="R213" s="7" t="s">
        <v>2980</v>
      </c>
      <c r="S213" s="4" t="s">
        <v>2986</v>
      </c>
      <c r="T213" s="4" t="s">
        <v>657</v>
      </c>
      <c r="U213" s="4" t="s">
        <v>2996</v>
      </c>
      <c r="V213" s="4" t="s">
        <v>670</v>
      </c>
      <c r="W213" s="4" t="s">
        <v>669</v>
      </c>
      <c r="X213" s="4" t="str">
        <f>_xlfn.XLOOKUP(V213,Reference!$O:$O,Reference!$N:$N,"Tidak Ketemu")</f>
        <v>G13</v>
      </c>
      <c r="Y213" s="4" t="str">
        <f t="shared" si="14"/>
        <v>TK/0</v>
      </c>
      <c r="Z213" s="10" t="s">
        <v>2607</v>
      </c>
      <c r="AA213" s="10" t="s">
        <v>2608</v>
      </c>
      <c r="AB213" s="7" t="s">
        <v>2609</v>
      </c>
      <c r="AC213" s="7" t="s">
        <v>3816</v>
      </c>
      <c r="AD213" s="17" t="s">
        <v>2610</v>
      </c>
      <c r="AE213" s="6" t="s">
        <v>2606</v>
      </c>
      <c r="AF213" s="6" t="s">
        <v>1301</v>
      </c>
      <c r="AG213" s="6" t="s">
        <v>694</v>
      </c>
      <c r="AN213" s="4"/>
    </row>
    <row r="214" spans="1:40" x14ac:dyDescent="0.35">
      <c r="A214" s="5">
        <v>202445407</v>
      </c>
      <c r="B214" s="5" t="s">
        <v>1238</v>
      </c>
      <c r="C214" s="5" t="s">
        <v>146</v>
      </c>
      <c r="D214" s="5" t="s">
        <v>457</v>
      </c>
      <c r="E214" s="6" t="s">
        <v>649</v>
      </c>
      <c r="F214" s="7">
        <v>37420</v>
      </c>
      <c r="G214" s="10" t="s">
        <v>648</v>
      </c>
      <c r="H214" s="15" t="s">
        <v>666</v>
      </c>
      <c r="I214" s="4">
        <f>MIN(COUNTIFS('Data Family'!A:A,A214,'Data Family'!F:F,"Child")+COUNTIFS('Data Family'!A:A,A214,'Data Family'!F:F,"&lt;&gt;Child",'Data Family'!J:J,"Housewife")+COUNTIFS('Data Family'!A:A,A214,'Data Family'!F:F,"&lt;&gt;Child",'Data Family'!J:J,"Unemployment"),3)</f>
        <v>0</v>
      </c>
      <c r="J214" s="10" t="s">
        <v>791</v>
      </c>
      <c r="K214" s="7" t="s">
        <v>691</v>
      </c>
      <c r="L214" s="7">
        <v>45407</v>
      </c>
      <c r="M214" s="7">
        <v>47233</v>
      </c>
      <c r="N214" s="7"/>
      <c r="O214" s="4" t="str">
        <f t="shared" ca="1" si="12"/>
        <v/>
      </c>
      <c r="P214" s="4" t="str">
        <f t="shared" ca="1" si="13"/>
        <v>Active</v>
      </c>
      <c r="Q214" s="4" t="str">
        <f t="shared" si="15"/>
        <v>PKWT</v>
      </c>
      <c r="R214" s="7" t="s">
        <v>2980</v>
      </c>
      <c r="S214" s="4" t="s">
        <v>2986</v>
      </c>
      <c r="T214" s="4" t="s">
        <v>657</v>
      </c>
      <c r="U214" s="4" t="s">
        <v>2996</v>
      </c>
      <c r="V214" s="4" t="s">
        <v>670</v>
      </c>
      <c r="W214" s="4" t="s">
        <v>669</v>
      </c>
      <c r="X214" s="4" t="str">
        <f>_xlfn.XLOOKUP(V214,Reference!$O:$O,Reference!$N:$N,"Tidak Ketemu")</f>
        <v>G13</v>
      </c>
      <c r="Y214" s="4" t="str">
        <f t="shared" si="14"/>
        <v>TK/0</v>
      </c>
      <c r="Z214" s="10" t="s">
        <v>1566</v>
      </c>
      <c r="AA214" s="10" t="s">
        <v>1567</v>
      </c>
      <c r="AB214" s="7" t="s">
        <v>1568</v>
      </c>
      <c r="AC214" s="7" t="s">
        <v>3816</v>
      </c>
      <c r="AD214" s="17" t="s">
        <v>1569</v>
      </c>
      <c r="AE214" s="6" t="s">
        <v>1565</v>
      </c>
      <c r="AF214" s="6" t="s">
        <v>1240</v>
      </c>
      <c r="AG214" s="6" t="s">
        <v>656</v>
      </c>
      <c r="AN214" s="4"/>
    </row>
    <row r="215" spans="1:40" x14ac:dyDescent="0.35">
      <c r="A215" s="5">
        <v>202044056</v>
      </c>
      <c r="B215" s="5" t="s">
        <v>3102</v>
      </c>
      <c r="C215" s="5" t="s">
        <v>41</v>
      </c>
      <c r="D215" s="5" t="s">
        <v>352</v>
      </c>
      <c r="E215" s="6" t="s">
        <v>809</v>
      </c>
      <c r="F215" s="7">
        <v>40029</v>
      </c>
      <c r="G215" s="10" t="s">
        <v>648</v>
      </c>
      <c r="H215" s="15" t="s">
        <v>666</v>
      </c>
      <c r="I215" s="4">
        <f>MIN(COUNTIFS('Data Family'!A:A,A215,'Data Family'!F:F,"Child")+COUNTIFS('Data Family'!A:A,A215,'Data Family'!F:F,"&lt;&gt;Child",'Data Family'!J:J,"Housewife")+COUNTIFS('Data Family'!A:A,A215,'Data Family'!F:F,"&lt;&gt;Child",'Data Family'!J:J,"Unemployment"),3)</f>
        <v>0</v>
      </c>
      <c r="J215" s="10" t="s">
        <v>791</v>
      </c>
      <c r="K215" s="7" t="s">
        <v>691</v>
      </c>
      <c r="L215" s="7">
        <v>45882</v>
      </c>
      <c r="M215" s="7">
        <v>46247</v>
      </c>
      <c r="N215" s="7"/>
      <c r="O215" s="4" t="str">
        <f t="shared" ca="1" si="12"/>
        <v/>
      </c>
      <c r="P215" s="4" t="str">
        <f t="shared" ca="1" si="13"/>
        <v>Active</v>
      </c>
      <c r="Q215" s="4" t="str">
        <f t="shared" si="15"/>
        <v>PKWT</v>
      </c>
      <c r="R215" s="7" t="s">
        <v>2980</v>
      </c>
      <c r="S215" s="4" t="s">
        <v>2986</v>
      </c>
      <c r="T215" s="4" t="s">
        <v>657</v>
      </c>
      <c r="U215" s="4" t="s">
        <v>2996</v>
      </c>
      <c r="V215" s="4" t="s">
        <v>2681</v>
      </c>
      <c r="W215" s="4" t="s">
        <v>3417</v>
      </c>
      <c r="X215" s="4" t="str">
        <f>_xlfn.XLOOKUP(V215,Reference!$O:$O,Reference!$N:$N,"Tidak Ketemu")</f>
        <v>G14</v>
      </c>
      <c r="Y215" s="4" t="str">
        <f t="shared" si="14"/>
        <v>TK/0</v>
      </c>
      <c r="Z215" s="10" t="s">
        <v>812</v>
      </c>
      <c r="AA215" s="10" t="s">
        <v>813</v>
      </c>
      <c r="AB215" s="7" t="s">
        <v>814</v>
      </c>
      <c r="AC215" s="7" t="s">
        <v>3817</v>
      </c>
      <c r="AD215" s="7" t="s">
        <v>815</v>
      </c>
      <c r="AE215" s="6" t="s">
        <v>810</v>
      </c>
      <c r="AF215" s="6" t="s">
        <v>811</v>
      </c>
      <c r="AG215" s="6" t="s">
        <v>778</v>
      </c>
      <c r="AN215" s="4"/>
    </row>
    <row r="216" spans="1:40" x14ac:dyDescent="0.35">
      <c r="A216" s="5">
        <v>202345272</v>
      </c>
      <c r="B216" s="5" t="s">
        <v>1183</v>
      </c>
      <c r="C216" s="5" t="s">
        <v>90</v>
      </c>
      <c r="D216" s="5" t="s">
        <v>401</v>
      </c>
      <c r="E216" s="6" t="s">
        <v>738</v>
      </c>
      <c r="F216" s="7">
        <v>37275</v>
      </c>
      <c r="G216" s="10" t="s">
        <v>648</v>
      </c>
      <c r="H216" s="15" t="s">
        <v>666</v>
      </c>
      <c r="I216" s="4">
        <f>MIN(COUNTIFS('Data Family'!A:A,A216,'Data Family'!F:F,"Child")+COUNTIFS('Data Family'!A:A,A216,'Data Family'!F:F,"&lt;&gt;Child",'Data Family'!J:J,"Housewife")+COUNTIFS('Data Family'!A:A,A216,'Data Family'!F:F,"&lt;&gt;Child",'Data Family'!J:J,"Unemployment"),3)</f>
        <v>0</v>
      </c>
      <c r="J216" s="10" t="s">
        <v>791</v>
      </c>
      <c r="K216" s="7" t="s">
        <v>701</v>
      </c>
      <c r="L216" s="7">
        <v>45272</v>
      </c>
      <c r="M216" s="7">
        <v>46368</v>
      </c>
      <c r="N216" s="7"/>
      <c r="O216" s="4" t="str">
        <f t="shared" ca="1" si="12"/>
        <v/>
      </c>
      <c r="P216" s="4" t="str">
        <f t="shared" ca="1" si="13"/>
        <v>Active</v>
      </c>
      <c r="Q216" s="4" t="str">
        <f t="shared" si="15"/>
        <v>PKWT</v>
      </c>
      <c r="R216" s="7" t="s">
        <v>2980</v>
      </c>
      <c r="S216" s="4" t="s">
        <v>2986</v>
      </c>
      <c r="T216" s="4" t="s">
        <v>657</v>
      </c>
      <c r="U216" s="4" t="s">
        <v>2996</v>
      </c>
      <c r="V216" s="4" t="s">
        <v>670</v>
      </c>
      <c r="W216" s="4" t="s">
        <v>669</v>
      </c>
      <c r="X216" s="4" t="str">
        <f>_xlfn.XLOOKUP(V216,Reference!$O:$O,Reference!$N:$N,"Tidak Ketemu")</f>
        <v>G13</v>
      </c>
      <c r="Y216" s="4" t="str">
        <f t="shared" si="14"/>
        <v>TK/0</v>
      </c>
      <c r="Z216" s="10" t="s">
        <v>1186</v>
      </c>
      <c r="AA216" s="10" t="s">
        <v>1187</v>
      </c>
      <c r="AB216" s="7" t="s">
        <v>1188</v>
      </c>
      <c r="AC216" s="7" t="s">
        <v>3816</v>
      </c>
      <c r="AD216" s="17" t="s">
        <v>1189</v>
      </c>
      <c r="AE216" s="6" t="s">
        <v>1184</v>
      </c>
      <c r="AF216" s="6" t="s">
        <v>1185</v>
      </c>
      <c r="AG216" s="6" t="s">
        <v>694</v>
      </c>
      <c r="AN216" s="4"/>
    </row>
    <row r="217" spans="1:40" x14ac:dyDescent="0.35">
      <c r="A217" s="5">
        <v>202445398</v>
      </c>
      <c r="B217" s="5" t="s">
        <v>1266</v>
      </c>
      <c r="C217" s="5" t="s">
        <v>293</v>
      </c>
      <c r="D217" s="5" t="s">
        <v>604</v>
      </c>
      <c r="E217" s="6" t="s">
        <v>809</v>
      </c>
      <c r="F217" s="7">
        <v>37274</v>
      </c>
      <c r="G217" s="10" t="s">
        <v>648</v>
      </c>
      <c r="H217" s="15" t="s">
        <v>666</v>
      </c>
      <c r="I217" s="4">
        <f>MIN(COUNTIFS('Data Family'!A:A,A217,'Data Family'!F:F,"Child")+COUNTIFS('Data Family'!A:A,A217,'Data Family'!F:F,"&lt;&gt;Child",'Data Family'!J:J,"Housewife")+COUNTIFS('Data Family'!A:A,A217,'Data Family'!F:F,"&lt;&gt;Child",'Data Family'!J:J,"Unemployment"),3)</f>
        <v>0</v>
      </c>
      <c r="J217" s="10" t="s">
        <v>791</v>
      </c>
      <c r="K217" s="7" t="s">
        <v>701</v>
      </c>
      <c r="L217" s="7">
        <v>45398</v>
      </c>
      <c r="M217" s="7">
        <v>46493</v>
      </c>
      <c r="N217" s="7"/>
      <c r="O217" s="4" t="str">
        <f t="shared" ca="1" si="12"/>
        <v/>
      </c>
      <c r="P217" s="4" t="str">
        <f t="shared" ca="1" si="13"/>
        <v>Active</v>
      </c>
      <c r="Q217" s="4" t="str">
        <f t="shared" si="15"/>
        <v>PKWT</v>
      </c>
      <c r="R217" s="7" t="s">
        <v>2980</v>
      </c>
      <c r="S217" s="4" t="s">
        <v>2986</v>
      </c>
      <c r="T217" s="4" t="s">
        <v>657</v>
      </c>
      <c r="U217" s="4" t="s">
        <v>2996</v>
      </c>
      <c r="V217" s="4" t="s">
        <v>670</v>
      </c>
      <c r="W217" s="4" t="s">
        <v>669</v>
      </c>
      <c r="X217" s="4" t="str">
        <f>_xlfn.XLOOKUP(V217,Reference!$O:$O,Reference!$N:$N,"Tidak Ketemu")</f>
        <v>G13</v>
      </c>
      <c r="Y217" s="4" t="str">
        <f t="shared" si="14"/>
        <v>TK/0</v>
      </c>
      <c r="Z217" s="10" t="s">
        <v>2395</v>
      </c>
      <c r="AA217" s="10" t="s">
        <v>2396</v>
      </c>
      <c r="AB217" s="7" t="s">
        <v>2397</v>
      </c>
      <c r="AC217" s="7" t="s">
        <v>3816</v>
      </c>
      <c r="AD217" s="17" t="s">
        <v>2398</v>
      </c>
      <c r="AE217" s="6" t="s">
        <v>2394</v>
      </c>
      <c r="AF217" s="6" t="s">
        <v>1267</v>
      </c>
      <c r="AG217" s="6" t="s">
        <v>818</v>
      </c>
      <c r="AN217" s="4"/>
    </row>
    <row r="218" spans="1:40" x14ac:dyDescent="0.35">
      <c r="A218" s="5">
        <v>202545706</v>
      </c>
      <c r="B218" s="5" t="s">
        <v>1051</v>
      </c>
      <c r="C218" s="5" t="s">
        <v>173</v>
      </c>
      <c r="D218" s="5" t="s">
        <v>484</v>
      </c>
      <c r="E218" s="6" t="s">
        <v>738</v>
      </c>
      <c r="F218" s="7">
        <v>37597</v>
      </c>
      <c r="G218" s="10" t="s">
        <v>648</v>
      </c>
      <c r="H218" s="15" t="s">
        <v>666</v>
      </c>
      <c r="I218" s="4">
        <f>MIN(COUNTIFS('Data Family'!A:A,A218,'Data Family'!F:F,"Child")+COUNTIFS('Data Family'!A:A,A218,'Data Family'!F:F,"&lt;&gt;Child",'Data Family'!J:J,"Housewife")+COUNTIFS('Data Family'!A:A,A218,'Data Family'!F:F,"&lt;&gt;Child",'Data Family'!J:J,"Unemployment"),3)</f>
        <v>0</v>
      </c>
      <c r="J218" s="10" t="s">
        <v>791</v>
      </c>
      <c r="K218" s="7" t="s">
        <v>701</v>
      </c>
      <c r="L218" s="7">
        <v>45706</v>
      </c>
      <c r="M218" s="7">
        <v>47532</v>
      </c>
      <c r="N218" s="7"/>
      <c r="O218" s="4" t="str">
        <f t="shared" ca="1" si="12"/>
        <v/>
      </c>
      <c r="P218" s="4" t="str">
        <f t="shared" ca="1" si="13"/>
        <v>Active</v>
      </c>
      <c r="Q218" s="4" t="str">
        <f t="shared" si="15"/>
        <v>PKWT</v>
      </c>
      <c r="R218" s="7" t="s">
        <v>2980</v>
      </c>
      <c r="S218" s="4" t="s">
        <v>2986</v>
      </c>
      <c r="T218" s="4" t="s">
        <v>657</v>
      </c>
      <c r="U218" s="4" t="s">
        <v>2996</v>
      </c>
      <c r="V218" s="4" t="s">
        <v>670</v>
      </c>
      <c r="W218" s="4" t="s">
        <v>669</v>
      </c>
      <c r="X218" s="4" t="str">
        <f>_xlfn.XLOOKUP(V218,Reference!$O:$O,Reference!$N:$N,"Tidak Ketemu")</f>
        <v>G13</v>
      </c>
      <c r="Y218" s="4" t="str">
        <f t="shared" si="14"/>
        <v>TK/0</v>
      </c>
      <c r="Z218" s="10" t="s">
        <v>1724</v>
      </c>
      <c r="AA218" s="10" t="s">
        <v>1725</v>
      </c>
      <c r="AB218" s="7" t="s">
        <v>1726</v>
      </c>
      <c r="AC218" s="7" t="s">
        <v>3816</v>
      </c>
      <c r="AD218" s="17" t="s">
        <v>1727</v>
      </c>
      <c r="AE218" s="6" t="s">
        <v>1723</v>
      </c>
      <c r="AF218" s="6" t="s">
        <v>1053</v>
      </c>
      <c r="AG218" s="6" t="s">
        <v>680</v>
      </c>
      <c r="AN218" s="4"/>
    </row>
    <row r="219" spans="1:40" x14ac:dyDescent="0.35">
      <c r="A219" s="5">
        <v>202646151</v>
      </c>
      <c r="B219" s="5" t="s">
        <v>3104</v>
      </c>
      <c r="C219" s="5" t="s">
        <v>244</v>
      </c>
      <c r="D219" s="5" t="s">
        <v>555</v>
      </c>
      <c r="E219" s="6" t="s">
        <v>689</v>
      </c>
      <c r="F219" s="7">
        <v>40156</v>
      </c>
      <c r="G219" s="10" t="s">
        <v>648</v>
      </c>
      <c r="H219" s="15" t="s">
        <v>666</v>
      </c>
      <c r="I219" s="4">
        <f>MIN(COUNTIFS('Data Family'!A:A,A219,'Data Family'!F:F,"Child")+COUNTIFS('Data Family'!A:A,A219,'Data Family'!F:F,"&lt;&gt;Child",'Data Family'!J:J,"Housewife")+COUNTIFS('Data Family'!A:A,A219,'Data Family'!F:F,"&lt;&gt;Child",'Data Family'!J:J,"Unemployment"),3)</f>
        <v>0</v>
      </c>
      <c r="J219" s="10" t="s">
        <v>791</v>
      </c>
      <c r="K219" s="7" t="s">
        <v>691</v>
      </c>
      <c r="L219" s="7">
        <v>46151</v>
      </c>
      <c r="M219" s="7">
        <v>46516</v>
      </c>
      <c r="N219" s="7"/>
      <c r="O219" s="4" t="str">
        <f t="shared" ca="1" si="12"/>
        <v/>
      </c>
      <c r="P219" s="4" t="str">
        <f t="shared" ca="1" si="13"/>
        <v>Active</v>
      </c>
      <c r="Q219" s="4" t="str">
        <f t="shared" si="15"/>
        <v>PKWT</v>
      </c>
      <c r="R219" s="7" t="s">
        <v>2980</v>
      </c>
      <c r="S219" s="4" t="s">
        <v>2986</v>
      </c>
      <c r="T219" s="4" t="s">
        <v>657</v>
      </c>
      <c r="U219" s="4" t="s">
        <v>2996</v>
      </c>
      <c r="V219" s="4" t="s">
        <v>2681</v>
      </c>
      <c r="W219" s="4" t="s">
        <v>3417</v>
      </c>
      <c r="X219" s="4" t="str">
        <f>_xlfn.XLOOKUP(V219,Reference!$O:$O,Reference!$N:$N,"Tidak Ketemu")</f>
        <v>G14</v>
      </c>
      <c r="Y219" s="4" t="str">
        <f t="shared" si="14"/>
        <v>TK/0</v>
      </c>
      <c r="Z219" s="10" t="s">
        <v>2127</v>
      </c>
      <c r="AA219" s="10" t="s">
        <v>2128</v>
      </c>
      <c r="AB219" s="7" t="s">
        <v>2129</v>
      </c>
      <c r="AC219" s="7" t="s">
        <v>3817</v>
      </c>
      <c r="AD219" s="7" t="s">
        <v>2130</v>
      </c>
      <c r="AE219" s="6" t="s">
        <v>2126</v>
      </c>
      <c r="AF219" s="6" t="s">
        <v>713</v>
      </c>
      <c r="AG219" s="6" t="s">
        <v>694</v>
      </c>
      <c r="AN219" s="4"/>
    </row>
    <row r="220" spans="1:40" x14ac:dyDescent="0.35">
      <c r="A220" s="5">
        <v>202445560</v>
      </c>
      <c r="B220" s="5" t="s">
        <v>647</v>
      </c>
      <c r="C220" s="5" t="s">
        <v>270</v>
      </c>
      <c r="D220" s="5" t="s">
        <v>581</v>
      </c>
      <c r="E220" s="6" t="s">
        <v>738</v>
      </c>
      <c r="F220" s="7">
        <v>37434</v>
      </c>
      <c r="G220" s="10" t="s">
        <v>648</v>
      </c>
      <c r="H220" s="15" t="s">
        <v>666</v>
      </c>
      <c r="I220" s="4">
        <f>MIN(COUNTIFS('Data Family'!A:A,A220,'Data Family'!F:F,"Child")+COUNTIFS('Data Family'!A:A,A220,'Data Family'!F:F,"&lt;&gt;Child",'Data Family'!J:J,"Housewife")+COUNTIFS('Data Family'!A:A,A220,'Data Family'!F:F,"&lt;&gt;Child",'Data Family'!J:J,"Unemployment"),3)</f>
        <v>0</v>
      </c>
      <c r="J220" s="10" t="s">
        <v>791</v>
      </c>
      <c r="K220" s="7" t="s">
        <v>701</v>
      </c>
      <c r="L220" s="7">
        <v>45560</v>
      </c>
      <c r="M220" s="7">
        <v>46290</v>
      </c>
      <c r="N220" s="7"/>
      <c r="O220" s="4" t="str">
        <f t="shared" ca="1" si="12"/>
        <v/>
      </c>
      <c r="P220" s="4" t="str">
        <f t="shared" ca="1" si="13"/>
        <v>Active</v>
      </c>
      <c r="Q220" s="4" t="str">
        <f t="shared" si="15"/>
        <v>PKWT</v>
      </c>
      <c r="R220" s="7" t="s">
        <v>2980</v>
      </c>
      <c r="S220" s="4" t="s">
        <v>2986</v>
      </c>
      <c r="T220" s="4" t="s">
        <v>657</v>
      </c>
      <c r="U220" s="4" t="s">
        <v>2996</v>
      </c>
      <c r="V220" s="4" t="s">
        <v>670</v>
      </c>
      <c r="W220" s="4" t="s">
        <v>669</v>
      </c>
      <c r="X220" s="4" t="str">
        <f>_xlfn.XLOOKUP(V220,Reference!$O:$O,Reference!$N:$N,"Tidak Ketemu")</f>
        <v>G13</v>
      </c>
      <c r="Y220" s="4" t="str">
        <f t="shared" si="14"/>
        <v>TK/0</v>
      </c>
      <c r="Z220" s="10" t="s">
        <v>2270</v>
      </c>
      <c r="AA220" s="10" t="s">
        <v>2271</v>
      </c>
      <c r="AB220" s="7" t="s">
        <v>2272</v>
      </c>
      <c r="AC220" s="7" t="s">
        <v>3816</v>
      </c>
      <c r="AD220" s="17" t="s">
        <v>2273</v>
      </c>
      <c r="AE220" s="6" t="s">
        <v>2269</v>
      </c>
      <c r="AF220" s="6" t="s">
        <v>655</v>
      </c>
      <c r="AG220" s="6" t="s">
        <v>680</v>
      </c>
      <c r="AN220" s="4"/>
    </row>
    <row r="221" spans="1:40" x14ac:dyDescent="0.35">
      <c r="A221" s="5">
        <v>202044023</v>
      </c>
      <c r="B221" s="5" t="s">
        <v>741</v>
      </c>
      <c r="C221" s="5" t="s">
        <v>33</v>
      </c>
      <c r="D221" s="5" t="s">
        <v>344</v>
      </c>
      <c r="E221" s="6" t="s">
        <v>742</v>
      </c>
      <c r="F221" s="7">
        <v>40277</v>
      </c>
      <c r="G221" s="10" t="s">
        <v>676</v>
      </c>
      <c r="H221" s="15" t="s">
        <v>666</v>
      </c>
      <c r="I221" s="4">
        <f>MIN(COUNTIFS('Data Family'!A:A,A221,'Data Family'!F:F,"Child")+COUNTIFS('Data Family'!A:A,A221,'Data Family'!F:F,"&lt;&gt;Child",'Data Family'!J:J,"Housewife")+COUNTIFS('Data Family'!A:A,A221,'Data Family'!F:F,"&lt;&gt;Child",'Data Family'!J:J,"Unemployment"),3)</f>
        <v>0</v>
      </c>
      <c r="J221" s="10" t="s">
        <v>791</v>
      </c>
      <c r="K221" s="7" t="s">
        <v>691</v>
      </c>
      <c r="L221" s="7">
        <v>46214</v>
      </c>
      <c r="M221" s="7">
        <v>46579</v>
      </c>
      <c r="N221" s="7"/>
      <c r="O221" s="4" t="str">
        <f t="shared" ca="1" si="12"/>
        <v/>
      </c>
      <c r="P221" s="4" t="str">
        <f t="shared" ca="1" si="13"/>
        <v>Active</v>
      </c>
      <c r="Q221" s="4" t="str">
        <f t="shared" si="15"/>
        <v>PKWT</v>
      </c>
      <c r="R221" s="7" t="s">
        <v>2980</v>
      </c>
      <c r="S221" s="4" t="s">
        <v>2986</v>
      </c>
      <c r="T221" s="4" t="s">
        <v>657</v>
      </c>
      <c r="U221" s="4" t="s">
        <v>2996</v>
      </c>
      <c r="V221" s="4" t="s">
        <v>2681</v>
      </c>
      <c r="W221" s="4" t="s">
        <v>3417</v>
      </c>
      <c r="X221" s="4" t="str">
        <f>_xlfn.XLOOKUP(V221,Reference!$O:$O,Reference!$N:$N,"Tidak Ketemu")</f>
        <v>G14</v>
      </c>
      <c r="Y221" s="4" t="str">
        <f t="shared" si="14"/>
        <v>TK/0</v>
      </c>
      <c r="Z221" s="10" t="s">
        <v>745</v>
      </c>
      <c r="AA221" s="10" t="s">
        <v>746</v>
      </c>
      <c r="AB221" s="7" t="s">
        <v>747</v>
      </c>
      <c r="AC221" s="7" t="s">
        <v>3817</v>
      </c>
      <c r="AD221" s="7" t="s">
        <v>748</v>
      </c>
      <c r="AE221" s="6" t="s">
        <v>743</v>
      </c>
      <c r="AF221" s="6" t="s">
        <v>744</v>
      </c>
      <c r="AG221" s="6" t="s">
        <v>704</v>
      </c>
      <c r="AN221" s="4"/>
    </row>
    <row r="222" spans="1:40" x14ac:dyDescent="0.35">
      <c r="A222" s="5">
        <v>202646255</v>
      </c>
      <c r="B222" s="5" t="s">
        <v>775</v>
      </c>
      <c r="C222" s="5" t="s">
        <v>37</v>
      </c>
      <c r="D222" s="5" t="s">
        <v>348</v>
      </c>
      <c r="E222" s="6" t="s">
        <v>664</v>
      </c>
      <c r="F222" s="7">
        <v>37521</v>
      </c>
      <c r="G222" s="10" t="s">
        <v>648</v>
      </c>
      <c r="H222" s="15" t="s">
        <v>666</v>
      </c>
      <c r="I222" s="4">
        <f>MIN(COUNTIFS('Data Family'!A:A,A222,'Data Family'!F:F,"Child")+COUNTIFS('Data Family'!A:A,A222,'Data Family'!F:F,"&lt;&gt;Child",'Data Family'!J:J,"Housewife")+COUNTIFS('Data Family'!A:A,A222,'Data Family'!F:F,"&lt;&gt;Child",'Data Family'!J:J,"Unemployment"),3)</f>
        <v>0</v>
      </c>
      <c r="J222" s="10" t="s">
        <v>791</v>
      </c>
      <c r="K222" s="7" t="s">
        <v>701</v>
      </c>
      <c r="L222" s="7">
        <v>45890</v>
      </c>
      <c r="M222" s="7">
        <v>46620</v>
      </c>
      <c r="N222" s="7"/>
      <c r="O222" s="4" t="str">
        <f t="shared" ca="1" si="12"/>
        <v/>
      </c>
      <c r="P222" s="4" t="str">
        <f t="shared" ca="1" si="13"/>
        <v>Active</v>
      </c>
      <c r="Q222" s="4" t="str">
        <f t="shared" si="15"/>
        <v>PKWT</v>
      </c>
      <c r="R222" s="7" t="s">
        <v>2980</v>
      </c>
      <c r="S222" s="4" t="s">
        <v>2986</v>
      </c>
      <c r="T222" s="4" t="s">
        <v>657</v>
      </c>
      <c r="U222" s="4" t="s">
        <v>2996</v>
      </c>
      <c r="V222" s="4" t="s">
        <v>670</v>
      </c>
      <c r="W222" s="4" t="s">
        <v>669</v>
      </c>
      <c r="X222" s="4" t="str">
        <f>_xlfn.XLOOKUP(V222,Reference!$O:$O,Reference!$N:$N,"Tidak Ketemu")</f>
        <v>G13</v>
      </c>
      <c r="Y222" s="4" t="str">
        <f t="shared" si="14"/>
        <v>TK/0</v>
      </c>
      <c r="Z222" s="10" t="s">
        <v>779</v>
      </c>
      <c r="AA222" s="10" t="s">
        <v>780</v>
      </c>
      <c r="AB222" s="7" t="s">
        <v>781</v>
      </c>
      <c r="AC222" s="7" t="s">
        <v>3816</v>
      </c>
      <c r="AD222" s="17" t="s">
        <v>782</v>
      </c>
      <c r="AE222" s="6" t="s">
        <v>776</v>
      </c>
      <c r="AF222" s="6" t="s">
        <v>777</v>
      </c>
      <c r="AG222" s="6" t="s">
        <v>778</v>
      </c>
      <c r="AN222" s="4"/>
    </row>
    <row r="223" spans="1:40" x14ac:dyDescent="0.35">
      <c r="A223" s="5">
        <v>202545888</v>
      </c>
      <c r="B223" s="5" t="s">
        <v>923</v>
      </c>
      <c r="C223" s="5" t="s">
        <v>55</v>
      </c>
      <c r="D223" s="5" t="s">
        <v>366</v>
      </c>
      <c r="E223" s="6" t="s">
        <v>689</v>
      </c>
      <c r="F223" s="7">
        <v>37776</v>
      </c>
      <c r="G223" s="10" t="s">
        <v>648</v>
      </c>
      <c r="H223" s="15" t="s">
        <v>666</v>
      </c>
      <c r="I223" s="4">
        <f>MIN(COUNTIFS('Data Family'!A:A,A223,'Data Family'!F:F,"Child")+COUNTIFS('Data Family'!A:A,A223,'Data Family'!F:F,"&lt;&gt;Child",'Data Family'!J:J,"Housewife")+COUNTIFS('Data Family'!A:A,A223,'Data Family'!F:F,"&lt;&gt;Child",'Data Family'!J:J,"Unemployment"),3)</f>
        <v>0</v>
      </c>
      <c r="J223" s="10" t="s">
        <v>791</v>
      </c>
      <c r="K223" s="7" t="s">
        <v>701</v>
      </c>
      <c r="L223" s="7">
        <v>45888</v>
      </c>
      <c r="M223" s="7">
        <v>46253</v>
      </c>
      <c r="N223" s="7"/>
      <c r="O223" s="4" t="str">
        <f t="shared" ca="1" si="12"/>
        <v/>
      </c>
      <c r="P223" s="4" t="str">
        <f t="shared" ca="1" si="13"/>
        <v>Active</v>
      </c>
      <c r="Q223" s="4" t="str">
        <f t="shared" si="15"/>
        <v>PKWT</v>
      </c>
      <c r="R223" s="7" t="s">
        <v>2980</v>
      </c>
      <c r="S223" s="4" t="s">
        <v>2986</v>
      </c>
      <c r="T223" s="4" t="s">
        <v>657</v>
      </c>
      <c r="U223" s="4" t="s">
        <v>2996</v>
      </c>
      <c r="V223" s="4" t="s">
        <v>670</v>
      </c>
      <c r="W223" s="4" t="s">
        <v>669</v>
      </c>
      <c r="X223" s="4" t="str">
        <f>_xlfn.XLOOKUP(V223,Reference!$O:$O,Reference!$N:$N,"Tidak Ketemu")</f>
        <v>G13</v>
      </c>
      <c r="Y223" s="4" t="str">
        <f t="shared" si="14"/>
        <v>TK/0</v>
      </c>
      <c r="Z223" s="10" t="s">
        <v>926</v>
      </c>
      <c r="AA223" s="10" t="s">
        <v>927</v>
      </c>
      <c r="AB223" s="7" t="s">
        <v>928</v>
      </c>
      <c r="AC223" s="7" t="s">
        <v>3816</v>
      </c>
      <c r="AD223" s="17" t="s">
        <v>929</v>
      </c>
      <c r="AE223" s="6" t="s">
        <v>924</v>
      </c>
      <c r="AF223" s="6" t="s">
        <v>925</v>
      </c>
      <c r="AG223" s="6" t="s">
        <v>694</v>
      </c>
      <c r="AN223" s="4"/>
    </row>
    <row r="224" spans="1:40" x14ac:dyDescent="0.35">
      <c r="A224" s="5">
        <v>202144404</v>
      </c>
      <c r="B224" s="5" t="s">
        <v>1051</v>
      </c>
      <c r="C224" s="5" t="s">
        <v>72</v>
      </c>
      <c r="D224" s="5" t="s">
        <v>383</v>
      </c>
      <c r="E224" s="6" t="s">
        <v>664</v>
      </c>
      <c r="F224" s="7">
        <v>37575</v>
      </c>
      <c r="G224" s="10" t="s">
        <v>648</v>
      </c>
      <c r="H224" s="15" t="s">
        <v>666</v>
      </c>
      <c r="I224" s="4">
        <f>MIN(COUNTIFS('Data Family'!A:A,A224,'Data Family'!F:F,"Child")+COUNTIFS('Data Family'!A:A,A224,'Data Family'!F:F,"&lt;&gt;Child",'Data Family'!J:J,"Housewife")+COUNTIFS('Data Family'!A:A,A224,'Data Family'!F:F,"&lt;&gt;Child",'Data Family'!J:J,"Unemployment"),3)</f>
        <v>0</v>
      </c>
      <c r="J224" s="10" t="s">
        <v>3002</v>
      </c>
      <c r="K224" s="7" t="s">
        <v>701</v>
      </c>
      <c r="L224" s="7">
        <v>45865</v>
      </c>
      <c r="M224" s="7">
        <v>46230</v>
      </c>
      <c r="N224" s="7"/>
      <c r="O224" s="4" t="str">
        <f t="shared" ca="1" si="12"/>
        <v>End of Contract</v>
      </c>
      <c r="P224" s="4" t="str">
        <f t="shared" ca="1" si="13"/>
        <v>Non-Active</v>
      </c>
      <c r="Q224" s="4" t="str">
        <f t="shared" si="15"/>
        <v>PKWT</v>
      </c>
      <c r="R224" s="7" t="s">
        <v>2980</v>
      </c>
      <c r="S224" s="4" t="s">
        <v>2986</v>
      </c>
      <c r="T224" s="4" t="s">
        <v>657</v>
      </c>
      <c r="U224" s="4" t="s">
        <v>2996</v>
      </c>
      <c r="V224" s="4" t="s">
        <v>670</v>
      </c>
      <c r="W224" s="4" t="s">
        <v>669</v>
      </c>
      <c r="X224" s="4" t="str">
        <f>_xlfn.XLOOKUP(V224,Reference!$O:$O,Reference!$N:$N,"Tidak Ketemu")</f>
        <v>G13</v>
      </c>
      <c r="Y224" s="4" t="str">
        <f t="shared" si="14"/>
        <v>TK/0</v>
      </c>
      <c r="Z224" s="10" t="s">
        <v>1054</v>
      </c>
      <c r="AA224" s="10" t="s">
        <v>1055</v>
      </c>
      <c r="AB224" s="7" t="s">
        <v>1056</v>
      </c>
      <c r="AC224" s="7" t="s">
        <v>3816</v>
      </c>
      <c r="AD224" s="17" t="s">
        <v>1057</v>
      </c>
      <c r="AE224" s="6" t="s">
        <v>1052</v>
      </c>
      <c r="AF224" s="6" t="s">
        <v>1053</v>
      </c>
      <c r="AG224" s="6" t="s">
        <v>818</v>
      </c>
      <c r="AN224" s="4"/>
    </row>
    <row r="225" spans="1:40" x14ac:dyDescent="0.35">
      <c r="A225" s="5">
        <v>202244566</v>
      </c>
      <c r="B225" s="5" t="s">
        <v>1695</v>
      </c>
      <c r="C225" s="5" t="s">
        <v>169</v>
      </c>
      <c r="D225" s="5" t="s">
        <v>480</v>
      </c>
      <c r="E225" s="6" t="s">
        <v>738</v>
      </c>
      <c r="F225" s="7">
        <v>37657</v>
      </c>
      <c r="G225" s="10" t="s">
        <v>648</v>
      </c>
      <c r="H225" s="15" t="s">
        <v>666</v>
      </c>
      <c r="I225" s="4">
        <f>MIN(COUNTIFS('Data Family'!A:A,A225,'Data Family'!F:F,"Child")+COUNTIFS('Data Family'!A:A,A225,'Data Family'!F:F,"&lt;&gt;Child",'Data Family'!J:J,"Housewife")+COUNTIFS('Data Family'!A:A,A225,'Data Family'!F:F,"&lt;&gt;Child",'Data Family'!J:J,"Unemployment"),3)</f>
        <v>0</v>
      </c>
      <c r="J225" s="10" t="s">
        <v>791</v>
      </c>
      <c r="K225" s="7" t="s">
        <v>701</v>
      </c>
      <c r="L225" s="7">
        <v>46027</v>
      </c>
      <c r="M225" s="7">
        <v>46757</v>
      </c>
      <c r="N225" s="7"/>
      <c r="O225" s="4" t="str">
        <f t="shared" ca="1" si="12"/>
        <v/>
      </c>
      <c r="P225" s="4" t="str">
        <f t="shared" ca="1" si="13"/>
        <v>Active</v>
      </c>
      <c r="Q225" s="4" t="str">
        <f t="shared" si="15"/>
        <v>PKWT</v>
      </c>
      <c r="R225" s="7" t="s">
        <v>2980</v>
      </c>
      <c r="S225" s="4" t="s">
        <v>2986</v>
      </c>
      <c r="T225" s="4" t="s">
        <v>657</v>
      </c>
      <c r="U225" s="4" t="s">
        <v>2996</v>
      </c>
      <c r="V225" s="4" t="s">
        <v>670</v>
      </c>
      <c r="W225" s="4" t="s">
        <v>669</v>
      </c>
      <c r="X225" s="4" t="str">
        <f>_xlfn.XLOOKUP(V225,Reference!$O:$O,Reference!$N:$N,"Tidak Ketemu")</f>
        <v>G13</v>
      </c>
      <c r="Y225" s="4" t="str">
        <f t="shared" si="14"/>
        <v>TK/0</v>
      </c>
      <c r="Z225" s="10" t="s">
        <v>1698</v>
      </c>
      <c r="AA225" s="10" t="s">
        <v>1699</v>
      </c>
      <c r="AB225" s="7" t="s">
        <v>1700</v>
      </c>
      <c r="AC225" s="7" t="s">
        <v>3816</v>
      </c>
      <c r="AD225" s="17" t="s">
        <v>1701</v>
      </c>
      <c r="AE225" s="6" t="s">
        <v>1696</v>
      </c>
      <c r="AF225" s="6" t="s">
        <v>1697</v>
      </c>
      <c r="AG225" s="6" t="s">
        <v>778</v>
      </c>
      <c r="AN225" s="4"/>
    </row>
    <row r="226" spans="1:40" x14ac:dyDescent="0.35">
      <c r="A226" s="5">
        <v>202545951</v>
      </c>
      <c r="B226" s="5" t="s">
        <v>3105</v>
      </c>
      <c r="C226" s="5" t="s">
        <v>195</v>
      </c>
      <c r="D226" s="5" t="s">
        <v>506</v>
      </c>
      <c r="E226" s="6" t="s">
        <v>689</v>
      </c>
      <c r="F226" s="7">
        <v>40387</v>
      </c>
      <c r="G226" s="10" t="s">
        <v>648</v>
      </c>
      <c r="H226" s="15" t="s">
        <v>666</v>
      </c>
      <c r="I226" s="4">
        <f>MIN(COUNTIFS('Data Family'!A:A,A226,'Data Family'!F:F,"Child")+COUNTIFS('Data Family'!A:A,A226,'Data Family'!F:F,"&lt;&gt;Child",'Data Family'!J:J,"Housewife")+COUNTIFS('Data Family'!A:A,A226,'Data Family'!F:F,"&lt;&gt;Child",'Data Family'!J:J,"Unemployment"),3)</f>
        <v>0</v>
      </c>
      <c r="J226" s="10" t="s">
        <v>791</v>
      </c>
      <c r="K226" s="7" t="s">
        <v>691</v>
      </c>
      <c r="L226" s="7">
        <v>45951</v>
      </c>
      <c r="M226" s="7">
        <v>46316</v>
      </c>
      <c r="N226" s="7"/>
      <c r="O226" s="4" t="str">
        <f t="shared" ca="1" si="12"/>
        <v/>
      </c>
      <c r="P226" s="4" t="str">
        <f t="shared" ca="1" si="13"/>
        <v>Active</v>
      </c>
      <c r="Q226" s="4" t="str">
        <f t="shared" si="15"/>
        <v>PKWT</v>
      </c>
      <c r="R226" s="7" t="s">
        <v>2980</v>
      </c>
      <c r="S226" s="4" t="s">
        <v>2986</v>
      </c>
      <c r="T226" s="4" t="s">
        <v>657</v>
      </c>
      <c r="U226" s="4" t="s">
        <v>2996</v>
      </c>
      <c r="V226" s="4" t="s">
        <v>2681</v>
      </c>
      <c r="W226" s="4" t="s">
        <v>3417</v>
      </c>
      <c r="X226" s="4" t="str">
        <f>_xlfn.XLOOKUP(V226,Reference!$O:$O,Reference!$N:$N,"Tidak Ketemu")</f>
        <v>G14</v>
      </c>
      <c r="Y226" s="4" t="str">
        <f t="shared" si="14"/>
        <v>TK/0</v>
      </c>
      <c r="Z226" s="10" t="s">
        <v>1850</v>
      </c>
      <c r="AA226" s="10" t="s">
        <v>1851</v>
      </c>
      <c r="AB226" s="7" t="s">
        <v>1852</v>
      </c>
      <c r="AC226" s="7" t="s">
        <v>3817</v>
      </c>
      <c r="AD226" s="7" t="s">
        <v>1853</v>
      </c>
      <c r="AE226" s="6" t="s">
        <v>1849</v>
      </c>
      <c r="AF226" s="6" t="s">
        <v>1203</v>
      </c>
      <c r="AG226" s="6" t="s">
        <v>731</v>
      </c>
      <c r="AN226" s="4"/>
    </row>
    <row r="227" spans="1:40" x14ac:dyDescent="0.35">
      <c r="A227" s="5">
        <v>202044048</v>
      </c>
      <c r="B227" s="5" t="s">
        <v>1960</v>
      </c>
      <c r="C227" s="5" t="s">
        <v>214</v>
      </c>
      <c r="D227" s="5" t="s">
        <v>525</v>
      </c>
      <c r="E227" s="6" t="s">
        <v>809</v>
      </c>
      <c r="F227" s="7">
        <v>37632</v>
      </c>
      <c r="G227" s="10" t="s">
        <v>648</v>
      </c>
      <c r="H227" s="15" t="s">
        <v>666</v>
      </c>
      <c r="I227" s="4">
        <f>MIN(COUNTIFS('Data Family'!A:A,A227,'Data Family'!F:F,"Child")+COUNTIFS('Data Family'!A:A,A227,'Data Family'!F:F,"&lt;&gt;Child",'Data Family'!J:J,"Housewife")+COUNTIFS('Data Family'!A:A,A227,'Data Family'!F:F,"&lt;&gt;Child",'Data Family'!J:J,"Unemployment"),3)</f>
        <v>0</v>
      </c>
      <c r="J227" s="10" t="s">
        <v>791</v>
      </c>
      <c r="K227" s="7" t="s">
        <v>701</v>
      </c>
      <c r="L227" s="7">
        <v>45874</v>
      </c>
      <c r="M227" s="7">
        <v>46239</v>
      </c>
      <c r="N227" s="7"/>
      <c r="O227" s="4" t="str">
        <f t="shared" ca="1" si="12"/>
        <v/>
      </c>
      <c r="P227" s="4" t="str">
        <f t="shared" ca="1" si="13"/>
        <v>Active</v>
      </c>
      <c r="Q227" s="4" t="str">
        <f t="shared" si="15"/>
        <v>PKWT</v>
      </c>
      <c r="R227" s="7" t="s">
        <v>2980</v>
      </c>
      <c r="S227" s="4" t="s">
        <v>2986</v>
      </c>
      <c r="T227" s="4" t="s">
        <v>657</v>
      </c>
      <c r="U227" s="4" t="s">
        <v>2996</v>
      </c>
      <c r="V227" s="4" t="s">
        <v>670</v>
      </c>
      <c r="W227" s="4" t="s">
        <v>669</v>
      </c>
      <c r="X227" s="4" t="str">
        <f>_xlfn.XLOOKUP(V227,Reference!$O:$O,Reference!$N:$N,"Tidak Ketemu")</f>
        <v>G13</v>
      </c>
      <c r="Y227" s="4" t="str">
        <f t="shared" si="14"/>
        <v>TK/0</v>
      </c>
      <c r="Z227" s="10" t="s">
        <v>1963</v>
      </c>
      <c r="AA227" s="10" t="s">
        <v>1964</v>
      </c>
      <c r="AB227" s="7" t="s">
        <v>1965</v>
      </c>
      <c r="AC227" s="7" t="s">
        <v>3816</v>
      </c>
      <c r="AD227" s="17" t="s">
        <v>1966</v>
      </c>
      <c r="AE227" s="6" t="s">
        <v>1961</v>
      </c>
      <c r="AF227" s="6" t="s">
        <v>1962</v>
      </c>
      <c r="AG227" s="6" t="s">
        <v>656</v>
      </c>
      <c r="AN227" s="4"/>
    </row>
    <row r="228" spans="1:40" x14ac:dyDescent="0.35">
      <c r="A228" s="5">
        <v>202345147</v>
      </c>
      <c r="B228" s="5" t="s">
        <v>1515</v>
      </c>
      <c r="C228" s="5" t="s">
        <v>235</v>
      </c>
      <c r="D228" s="5" t="s">
        <v>546</v>
      </c>
      <c r="E228" s="6" t="s">
        <v>664</v>
      </c>
      <c r="F228" s="7">
        <v>37601</v>
      </c>
      <c r="G228" s="10" t="s">
        <v>648</v>
      </c>
      <c r="H228" s="15" t="s">
        <v>666</v>
      </c>
      <c r="I228" s="4">
        <f>MIN(COUNTIFS('Data Family'!A:A,A228,'Data Family'!F:F,"Child")+COUNTIFS('Data Family'!A:A,A228,'Data Family'!F:F,"&lt;&gt;Child",'Data Family'!J:J,"Housewife")+COUNTIFS('Data Family'!A:A,A228,'Data Family'!F:F,"&lt;&gt;Child",'Data Family'!J:J,"Unemployment"),3)</f>
        <v>0</v>
      </c>
      <c r="J228" s="10" t="s">
        <v>791</v>
      </c>
      <c r="K228" s="7" t="s">
        <v>701</v>
      </c>
      <c r="L228" s="7">
        <v>45147</v>
      </c>
      <c r="M228" s="7">
        <v>46243</v>
      </c>
      <c r="N228" s="7"/>
      <c r="O228" s="4" t="str">
        <f t="shared" ca="1" si="12"/>
        <v/>
      </c>
      <c r="P228" s="4" t="str">
        <f t="shared" ca="1" si="13"/>
        <v>Active</v>
      </c>
      <c r="Q228" s="4" t="str">
        <f t="shared" si="15"/>
        <v>PKWT</v>
      </c>
      <c r="R228" s="7" t="s">
        <v>2980</v>
      </c>
      <c r="S228" s="4" t="s">
        <v>2986</v>
      </c>
      <c r="T228" s="4" t="s">
        <v>657</v>
      </c>
      <c r="U228" s="4" t="s">
        <v>2996</v>
      </c>
      <c r="V228" s="4" t="s">
        <v>670</v>
      </c>
      <c r="W228" s="4" t="s">
        <v>669</v>
      </c>
      <c r="X228" s="4" t="str">
        <f>_xlfn.XLOOKUP(V228,Reference!$O:$O,Reference!$N:$N,"Tidak Ketemu")</f>
        <v>G13</v>
      </c>
      <c r="Y228" s="4" t="str">
        <f t="shared" si="14"/>
        <v>TK/0</v>
      </c>
      <c r="Z228" s="10" t="s">
        <v>2080</v>
      </c>
      <c r="AA228" s="10" t="s">
        <v>2081</v>
      </c>
      <c r="AB228" s="7" t="s">
        <v>2082</v>
      </c>
      <c r="AC228" s="7" t="s">
        <v>3816</v>
      </c>
      <c r="AD228" s="17" t="s">
        <v>2083</v>
      </c>
      <c r="AE228" s="6" t="s">
        <v>2079</v>
      </c>
      <c r="AF228" s="6" t="s">
        <v>1516</v>
      </c>
      <c r="AG228" s="6" t="s">
        <v>731</v>
      </c>
      <c r="AN228" s="4"/>
    </row>
    <row r="229" spans="1:40" x14ac:dyDescent="0.35">
      <c r="A229" s="5">
        <v>202043917</v>
      </c>
      <c r="B229" s="5" t="s">
        <v>1513</v>
      </c>
      <c r="C229" s="5" t="s">
        <v>239</v>
      </c>
      <c r="D229" s="5" t="s">
        <v>550</v>
      </c>
      <c r="E229" s="6" t="s">
        <v>649</v>
      </c>
      <c r="F229" s="7">
        <v>37727</v>
      </c>
      <c r="G229" s="10" t="s">
        <v>648</v>
      </c>
      <c r="H229" s="15" t="s">
        <v>666</v>
      </c>
      <c r="I229" s="4">
        <f>MIN(COUNTIFS('Data Family'!A:A,A229,'Data Family'!F:F,"Child")+COUNTIFS('Data Family'!A:A,A229,'Data Family'!F:F,"&lt;&gt;Child",'Data Family'!J:J,"Housewife")+COUNTIFS('Data Family'!A:A,A229,'Data Family'!F:F,"&lt;&gt;Child",'Data Family'!J:J,"Unemployment"),3)</f>
        <v>0</v>
      </c>
      <c r="J229" s="10" t="s">
        <v>791</v>
      </c>
      <c r="K229" s="7" t="s">
        <v>701</v>
      </c>
      <c r="L229" s="7">
        <v>45743</v>
      </c>
      <c r="M229" s="7">
        <v>46839</v>
      </c>
      <c r="N229" s="7"/>
      <c r="O229" s="4" t="str">
        <f t="shared" ca="1" si="12"/>
        <v/>
      </c>
      <c r="P229" s="4" t="str">
        <f t="shared" ca="1" si="13"/>
        <v>Active</v>
      </c>
      <c r="Q229" s="4" t="str">
        <f t="shared" si="15"/>
        <v>PKWT</v>
      </c>
      <c r="R229" s="7" t="s">
        <v>2980</v>
      </c>
      <c r="S229" s="4" t="s">
        <v>2986</v>
      </c>
      <c r="T229" s="4" t="s">
        <v>657</v>
      </c>
      <c r="U229" s="4" t="s">
        <v>2996</v>
      </c>
      <c r="V229" s="4" t="s">
        <v>670</v>
      </c>
      <c r="W229" s="4" t="s">
        <v>669</v>
      </c>
      <c r="X229" s="4" t="str">
        <f>_xlfn.XLOOKUP(V229,Reference!$O:$O,Reference!$N:$N,"Tidak Ketemu")</f>
        <v>G13</v>
      </c>
      <c r="Y229" s="4" t="str">
        <f t="shared" si="14"/>
        <v>TK/0</v>
      </c>
      <c r="Z229" s="10" t="s">
        <v>2102</v>
      </c>
      <c r="AA229" s="10" t="s">
        <v>2103</v>
      </c>
      <c r="AB229" s="7" t="s">
        <v>2104</v>
      </c>
      <c r="AC229" s="7" t="s">
        <v>3816</v>
      </c>
      <c r="AD229" s="17" t="s">
        <v>2105</v>
      </c>
      <c r="AE229" s="6" t="s">
        <v>2101</v>
      </c>
      <c r="AF229" s="6" t="s">
        <v>1514</v>
      </c>
      <c r="AG229" s="6" t="s">
        <v>694</v>
      </c>
      <c r="AN229" s="4"/>
    </row>
    <row r="230" spans="1:40" x14ac:dyDescent="0.35">
      <c r="A230" s="5">
        <v>202244568</v>
      </c>
      <c r="B230" s="5" t="s">
        <v>995</v>
      </c>
      <c r="C230" s="5" t="s">
        <v>297</v>
      </c>
      <c r="D230" s="5" t="s">
        <v>608</v>
      </c>
      <c r="E230" s="6" t="s">
        <v>742</v>
      </c>
      <c r="F230" s="7">
        <v>37456</v>
      </c>
      <c r="G230" s="10" t="s">
        <v>648</v>
      </c>
      <c r="H230" s="15" t="s">
        <v>666</v>
      </c>
      <c r="I230" s="4">
        <f>MIN(COUNTIFS('Data Family'!A:A,A230,'Data Family'!F:F,"Child")+COUNTIFS('Data Family'!A:A,A230,'Data Family'!F:F,"&lt;&gt;Child",'Data Family'!J:J,"Housewife")+COUNTIFS('Data Family'!A:A,A230,'Data Family'!F:F,"&lt;&gt;Child",'Data Family'!J:J,"Unemployment"),3)</f>
        <v>0</v>
      </c>
      <c r="J230" s="10" t="s">
        <v>791</v>
      </c>
      <c r="K230" s="7" t="s">
        <v>701</v>
      </c>
      <c r="L230" s="7">
        <v>46029</v>
      </c>
      <c r="M230" s="7">
        <v>46394</v>
      </c>
      <c r="N230" s="7"/>
      <c r="O230" s="4" t="str">
        <f t="shared" ca="1" si="12"/>
        <v/>
      </c>
      <c r="P230" s="4" t="str">
        <f t="shared" ca="1" si="13"/>
        <v>Active</v>
      </c>
      <c r="Q230" s="4" t="str">
        <f t="shared" si="15"/>
        <v>PKWT</v>
      </c>
      <c r="R230" s="7" t="s">
        <v>2980</v>
      </c>
      <c r="S230" s="4" t="s">
        <v>2986</v>
      </c>
      <c r="T230" s="4" t="s">
        <v>657</v>
      </c>
      <c r="U230" s="4" t="s">
        <v>2996</v>
      </c>
      <c r="V230" s="4" t="s">
        <v>670</v>
      </c>
      <c r="W230" s="4" t="s">
        <v>669</v>
      </c>
      <c r="X230" s="4" t="str">
        <f>_xlfn.XLOOKUP(V230,Reference!$O:$O,Reference!$N:$N,"Tidak Ketemu")</f>
        <v>G13</v>
      </c>
      <c r="Y230" s="4" t="str">
        <f t="shared" si="14"/>
        <v>TK/0</v>
      </c>
      <c r="Z230" s="10" t="s">
        <v>2415</v>
      </c>
      <c r="AA230" s="10" t="s">
        <v>2416</v>
      </c>
      <c r="AB230" s="7" t="s">
        <v>2417</v>
      </c>
      <c r="AC230" s="7" t="s">
        <v>3816</v>
      </c>
      <c r="AD230" s="17" t="s">
        <v>2418</v>
      </c>
      <c r="AE230" s="6" t="s">
        <v>2414</v>
      </c>
      <c r="AF230" s="6" t="s">
        <v>996</v>
      </c>
      <c r="AG230" s="6" t="s">
        <v>694</v>
      </c>
      <c r="AN230" s="4"/>
    </row>
    <row r="231" spans="1:40" x14ac:dyDescent="0.35">
      <c r="A231" s="5">
        <v>202044149</v>
      </c>
      <c r="B231" s="5" t="s">
        <v>1757</v>
      </c>
      <c r="C231" s="5" t="s">
        <v>179</v>
      </c>
      <c r="D231" s="5" t="s">
        <v>490</v>
      </c>
      <c r="E231" s="6" t="s">
        <v>649</v>
      </c>
      <c r="F231" s="7">
        <v>37719</v>
      </c>
      <c r="G231" s="10" t="s">
        <v>648</v>
      </c>
      <c r="H231" s="15" t="s">
        <v>666</v>
      </c>
      <c r="I231" s="4">
        <f>MIN(COUNTIFS('Data Family'!A:A,A231,'Data Family'!F:F,"Child")+COUNTIFS('Data Family'!A:A,A231,'Data Family'!F:F,"&lt;&gt;Child",'Data Family'!J:J,"Housewife")+COUNTIFS('Data Family'!A:A,A231,'Data Family'!F:F,"&lt;&gt;Child",'Data Family'!J:J,"Unemployment"),3)</f>
        <v>0</v>
      </c>
      <c r="J231" s="10" t="s">
        <v>791</v>
      </c>
      <c r="K231" s="7" t="s">
        <v>701</v>
      </c>
      <c r="L231" s="7">
        <v>45975</v>
      </c>
      <c r="M231" s="7">
        <v>46705</v>
      </c>
      <c r="N231" s="7"/>
      <c r="O231" s="4" t="str">
        <f t="shared" ca="1" si="12"/>
        <v/>
      </c>
      <c r="P231" s="4" t="str">
        <f t="shared" ca="1" si="13"/>
        <v>Active</v>
      </c>
      <c r="Q231" s="4" t="str">
        <f t="shared" si="15"/>
        <v>PKWT</v>
      </c>
      <c r="R231" s="7" t="s">
        <v>2980</v>
      </c>
      <c r="S231" s="4" t="s">
        <v>2986</v>
      </c>
      <c r="T231" s="4" t="s">
        <v>657</v>
      </c>
      <c r="U231" s="4" t="s">
        <v>2996</v>
      </c>
      <c r="V231" s="4" t="s">
        <v>670</v>
      </c>
      <c r="W231" s="4" t="s">
        <v>669</v>
      </c>
      <c r="X231" s="4" t="str">
        <f>_xlfn.XLOOKUP(V231,Reference!$O:$O,Reference!$N:$N,"Tidak Ketemu")</f>
        <v>G13</v>
      </c>
      <c r="Y231" s="4" t="str">
        <f t="shared" si="14"/>
        <v>TK/0</v>
      </c>
      <c r="Z231" s="10" t="s">
        <v>1760</v>
      </c>
      <c r="AA231" s="10" t="s">
        <v>1761</v>
      </c>
      <c r="AB231" s="7" t="s">
        <v>1762</v>
      </c>
      <c r="AC231" s="7" t="s">
        <v>3816</v>
      </c>
      <c r="AD231" s="17" t="s">
        <v>1763</v>
      </c>
      <c r="AE231" s="6" t="s">
        <v>1758</v>
      </c>
      <c r="AF231" s="6" t="s">
        <v>1759</v>
      </c>
      <c r="AG231" s="6" t="s">
        <v>656</v>
      </c>
      <c r="AN231" s="4"/>
    </row>
    <row r="232" spans="1:40" x14ac:dyDescent="0.35">
      <c r="A232" s="5">
        <v>202445405</v>
      </c>
      <c r="B232" s="5" t="s">
        <v>663</v>
      </c>
      <c r="C232" s="5" t="s">
        <v>26</v>
      </c>
      <c r="D232" s="5" t="s">
        <v>337</v>
      </c>
      <c r="E232" s="6" t="s">
        <v>664</v>
      </c>
      <c r="F232" s="7">
        <v>38019</v>
      </c>
      <c r="G232" s="10" t="s">
        <v>648</v>
      </c>
      <c r="H232" s="15" t="s">
        <v>666</v>
      </c>
      <c r="I232" s="4">
        <f>MIN(COUNTIFS('Data Family'!A:A,A232,'Data Family'!F:F,"Child")+COUNTIFS('Data Family'!A:A,A232,'Data Family'!F:F,"&lt;&gt;Child",'Data Family'!J:J,"Housewife")+COUNTIFS('Data Family'!A:A,A232,'Data Family'!F:F,"&lt;&gt;Child",'Data Family'!J:J,"Unemployment"),3)</f>
        <v>0</v>
      </c>
      <c r="J232" s="10" t="s">
        <v>791</v>
      </c>
      <c r="K232" s="7" t="s">
        <v>701</v>
      </c>
      <c r="L232" s="7">
        <v>45405</v>
      </c>
      <c r="M232" s="7">
        <v>47231</v>
      </c>
      <c r="N232" s="7"/>
      <c r="O232" s="4" t="str">
        <f t="shared" ca="1" si="12"/>
        <v/>
      </c>
      <c r="P232" s="4" t="str">
        <f t="shared" ca="1" si="13"/>
        <v>Active</v>
      </c>
      <c r="Q232" s="4" t="str">
        <f t="shared" si="15"/>
        <v>PKWT</v>
      </c>
      <c r="R232" s="7" t="s">
        <v>2980</v>
      </c>
      <c r="S232" s="4" t="s">
        <v>2986</v>
      </c>
      <c r="T232" s="4" t="s">
        <v>657</v>
      </c>
      <c r="U232" s="4" t="s">
        <v>2996</v>
      </c>
      <c r="V232" s="4" t="s">
        <v>670</v>
      </c>
      <c r="W232" s="4" t="s">
        <v>669</v>
      </c>
      <c r="X232" s="4" t="str">
        <f>_xlfn.XLOOKUP(V232,Reference!$O:$O,Reference!$N:$N,"Tidak Ketemu")</f>
        <v>G13</v>
      </c>
      <c r="Y232" s="4" t="str">
        <f t="shared" si="14"/>
        <v>TK/0</v>
      </c>
      <c r="Z232" s="10" t="s">
        <v>671</v>
      </c>
      <c r="AA232" s="10" t="s">
        <v>672</v>
      </c>
      <c r="AB232" s="7" t="s">
        <v>673</v>
      </c>
      <c r="AC232" s="7" t="s">
        <v>3816</v>
      </c>
      <c r="AD232" s="17" t="s">
        <v>674</v>
      </c>
      <c r="AE232" s="6" t="s">
        <v>667</v>
      </c>
      <c r="AF232" s="6" t="s">
        <v>668</v>
      </c>
      <c r="AG232" s="6" t="s">
        <v>656</v>
      </c>
      <c r="AN232" s="4"/>
    </row>
    <row r="233" spans="1:40" x14ac:dyDescent="0.35">
      <c r="A233" s="5">
        <v>202646023</v>
      </c>
      <c r="B233" s="5" t="s">
        <v>3107</v>
      </c>
      <c r="C233" s="5" t="s">
        <v>263</v>
      </c>
      <c r="D233" s="5" t="s">
        <v>574</v>
      </c>
      <c r="E233" s="6" t="s">
        <v>689</v>
      </c>
      <c r="F233" s="7">
        <v>40442</v>
      </c>
      <c r="G233" s="10" t="s">
        <v>648</v>
      </c>
      <c r="H233" s="15" t="s">
        <v>666</v>
      </c>
      <c r="I233" s="4">
        <f>MIN(COUNTIFS('Data Family'!A:A,A233,'Data Family'!F:F,"Child")+COUNTIFS('Data Family'!A:A,A233,'Data Family'!F:F,"&lt;&gt;Child",'Data Family'!J:J,"Housewife")+COUNTIFS('Data Family'!A:A,A233,'Data Family'!F:F,"&lt;&gt;Child",'Data Family'!J:J,"Unemployment"),3)</f>
        <v>0</v>
      </c>
      <c r="J233" s="10" t="s">
        <v>791</v>
      </c>
      <c r="K233" s="7" t="s">
        <v>701</v>
      </c>
      <c r="L233" s="7">
        <v>46023</v>
      </c>
      <c r="M233" s="7">
        <v>46388</v>
      </c>
      <c r="N233" s="7"/>
      <c r="O233" s="4" t="str">
        <f t="shared" ca="1" si="12"/>
        <v/>
      </c>
      <c r="P233" s="4" t="str">
        <f t="shared" ca="1" si="13"/>
        <v>Active</v>
      </c>
      <c r="Q233" s="4" t="str">
        <f t="shared" si="15"/>
        <v>PKWT</v>
      </c>
      <c r="R233" s="7" t="s">
        <v>2980</v>
      </c>
      <c r="S233" s="4" t="s">
        <v>2986</v>
      </c>
      <c r="T233" s="4" t="s">
        <v>657</v>
      </c>
      <c r="U233" s="4" t="s">
        <v>2996</v>
      </c>
      <c r="V233" s="4" t="s">
        <v>2681</v>
      </c>
      <c r="W233" s="4" t="s">
        <v>3417</v>
      </c>
      <c r="X233" s="4" t="str">
        <f>_xlfn.XLOOKUP(V233,Reference!$O:$O,Reference!$N:$N,"Tidak Ketemu")</f>
        <v>G14</v>
      </c>
      <c r="Y233" s="4" t="str">
        <f t="shared" si="14"/>
        <v>TK/0</v>
      </c>
      <c r="Z233" s="10" t="s">
        <v>2235</v>
      </c>
      <c r="AA233" s="10" t="s">
        <v>2236</v>
      </c>
      <c r="AB233" s="7" t="s">
        <v>2237</v>
      </c>
      <c r="AC233" s="7" t="s">
        <v>3817</v>
      </c>
      <c r="AD233" s="7" t="s">
        <v>2238</v>
      </c>
      <c r="AE233" s="6" t="s">
        <v>2233</v>
      </c>
      <c r="AF233" s="6" t="s">
        <v>2234</v>
      </c>
      <c r="AG233" s="6" t="s">
        <v>778</v>
      </c>
      <c r="AN233" s="4"/>
    </row>
    <row r="234" spans="1:40" x14ac:dyDescent="0.35">
      <c r="A234" s="5">
        <v>202545771</v>
      </c>
      <c r="B234" s="5" t="s">
        <v>700</v>
      </c>
      <c r="C234" s="5" t="s">
        <v>156</v>
      </c>
      <c r="D234" s="5" t="s">
        <v>467</v>
      </c>
      <c r="E234" s="6" t="s">
        <v>689</v>
      </c>
      <c r="F234" s="7">
        <v>38263</v>
      </c>
      <c r="G234" s="10" t="s">
        <v>648</v>
      </c>
      <c r="H234" s="15" t="s">
        <v>666</v>
      </c>
      <c r="I234" s="4">
        <f>MIN(COUNTIFS('Data Family'!A:A,A234,'Data Family'!F:F,"Child")+COUNTIFS('Data Family'!A:A,A234,'Data Family'!F:F,"&lt;&gt;Child",'Data Family'!J:J,"Housewife")+COUNTIFS('Data Family'!A:A,A234,'Data Family'!F:F,"&lt;&gt;Child",'Data Family'!J:J,"Unemployment"),3)</f>
        <v>0</v>
      </c>
      <c r="J234" s="10" t="s">
        <v>791</v>
      </c>
      <c r="K234" s="7" t="s">
        <v>701</v>
      </c>
      <c r="L234" s="7">
        <v>45771</v>
      </c>
      <c r="M234" s="7">
        <v>47597</v>
      </c>
      <c r="N234" s="7"/>
      <c r="O234" s="4" t="str">
        <f t="shared" ca="1" si="12"/>
        <v/>
      </c>
      <c r="P234" s="4" t="str">
        <f t="shared" ca="1" si="13"/>
        <v>Active</v>
      </c>
      <c r="Q234" s="4" t="str">
        <f t="shared" si="15"/>
        <v>PKWT</v>
      </c>
      <c r="R234" s="7" t="s">
        <v>2980</v>
      </c>
      <c r="S234" s="4" t="s">
        <v>2986</v>
      </c>
      <c r="T234" s="4" t="s">
        <v>657</v>
      </c>
      <c r="U234" s="4" t="s">
        <v>2996</v>
      </c>
      <c r="V234" s="4" t="s">
        <v>670</v>
      </c>
      <c r="W234" s="4" t="s">
        <v>669</v>
      </c>
      <c r="X234" s="4" t="str">
        <f>_xlfn.XLOOKUP(V234,Reference!$O:$O,Reference!$N:$N,"Tidak Ketemu")</f>
        <v>G13</v>
      </c>
      <c r="Y234" s="4" t="str">
        <f t="shared" si="14"/>
        <v>TK/0</v>
      </c>
      <c r="Z234" s="10" t="s">
        <v>1622</v>
      </c>
      <c r="AA234" s="10" t="s">
        <v>1623</v>
      </c>
      <c r="AB234" s="7" t="s">
        <v>1624</v>
      </c>
      <c r="AC234" s="7" t="s">
        <v>3816</v>
      </c>
      <c r="AD234" s="17" t="s">
        <v>1625</v>
      </c>
      <c r="AE234" s="6" t="s">
        <v>1621</v>
      </c>
      <c r="AF234" s="6" t="s">
        <v>703</v>
      </c>
      <c r="AG234" s="6" t="s">
        <v>818</v>
      </c>
      <c r="AN234" s="4"/>
    </row>
    <row r="235" spans="1:40" x14ac:dyDescent="0.35">
      <c r="A235" s="5">
        <v>201642388</v>
      </c>
      <c r="B235" s="5" t="s">
        <v>1764</v>
      </c>
      <c r="C235" s="5" t="s">
        <v>180</v>
      </c>
      <c r="D235" s="5" t="s">
        <v>491</v>
      </c>
      <c r="E235" s="6" t="s">
        <v>664</v>
      </c>
      <c r="F235" s="7">
        <v>38074</v>
      </c>
      <c r="G235" s="10" t="s">
        <v>648</v>
      </c>
      <c r="H235" s="15" t="s">
        <v>666</v>
      </c>
      <c r="I235" s="4">
        <f>MIN(COUNTIFS('Data Family'!A:A,A235,'Data Family'!F:F,"Child")+COUNTIFS('Data Family'!A:A,A235,'Data Family'!F:F,"&lt;&gt;Child",'Data Family'!J:J,"Housewife")+COUNTIFS('Data Family'!A:A,A235,'Data Family'!F:F,"&lt;&gt;Child",'Data Family'!J:J,"Unemployment"),3)</f>
        <v>0</v>
      </c>
      <c r="J235" s="10" t="s">
        <v>791</v>
      </c>
      <c r="K235" s="7" t="s">
        <v>701</v>
      </c>
      <c r="L235" s="7">
        <v>44945</v>
      </c>
      <c r="M235" s="7">
        <v>46771</v>
      </c>
      <c r="N235" s="7"/>
      <c r="O235" s="4" t="str">
        <f t="shared" ca="1" si="12"/>
        <v/>
      </c>
      <c r="P235" s="4" t="str">
        <f t="shared" ca="1" si="13"/>
        <v>Active</v>
      </c>
      <c r="Q235" s="4" t="str">
        <f t="shared" si="15"/>
        <v>PKWT</v>
      </c>
      <c r="R235" s="7" t="s">
        <v>2980</v>
      </c>
      <c r="S235" s="4" t="s">
        <v>2986</v>
      </c>
      <c r="T235" s="4" t="s">
        <v>657</v>
      </c>
      <c r="U235" s="4" t="s">
        <v>2996</v>
      </c>
      <c r="V235" s="4" t="s">
        <v>670</v>
      </c>
      <c r="W235" s="4" t="s">
        <v>669</v>
      </c>
      <c r="X235" s="4" t="str">
        <f>_xlfn.XLOOKUP(V235,Reference!$O:$O,Reference!$N:$N,"Tidak Ketemu")</f>
        <v>G13</v>
      </c>
      <c r="Y235" s="4" t="str">
        <f t="shared" si="14"/>
        <v>TK/0</v>
      </c>
      <c r="Z235" s="10" t="s">
        <v>1767</v>
      </c>
      <c r="AA235" s="10" t="s">
        <v>1768</v>
      </c>
      <c r="AB235" s="7" t="s">
        <v>1769</v>
      </c>
      <c r="AC235" s="7" t="s">
        <v>3816</v>
      </c>
      <c r="AD235" s="17" t="s">
        <v>1770</v>
      </c>
      <c r="AE235" s="6" t="s">
        <v>1765</v>
      </c>
      <c r="AF235" s="6" t="s">
        <v>1766</v>
      </c>
      <c r="AG235" s="6" t="s">
        <v>818</v>
      </c>
      <c r="AN235" s="4"/>
    </row>
    <row r="236" spans="1:40" x14ac:dyDescent="0.35">
      <c r="A236" s="5">
        <v>202345134</v>
      </c>
      <c r="B236" s="5" t="s">
        <v>1776</v>
      </c>
      <c r="C236" s="5" t="s">
        <v>329</v>
      </c>
      <c r="D236" s="5" t="s">
        <v>640</v>
      </c>
      <c r="E236" s="6" t="s">
        <v>664</v>
      </c>
      <c r="F236" s="7">
        <v>39022</v>
      </c>
      <c r="G236" s="10" t="s">
        <v>648</v>
      </c>
      <c r="H236" s="15" t="s">
        <v>666</v>
      </c>
      <c r="I236" s="4">
        <f>MIN(COUNTIFS('Data Family'!A:A,A236,'Data Family'!F:F,"Child")+COUNTIFS('Data Family'!A:A,A236,'Data Family'!F:F,"&lt;&gt;Child",'Data Family'!J:J,"Housewife")+COUNTIFS('Data Family'!A:A,A236,'Data Family'!F:F,"&lt;&gt;Child",'Data Family'!J:J,"Unemployment"),3)</f>
        <v>0</v>
      </c>
      <c r="J236" s="10" t="s">
        <v>791</v>
      </c>
      <c r="K236" s="7" t="s">
        <v>677</v>
      </c>
      <c r="L236" s="7">
        <v>45865</v>
      </c>
      <c r="M236" s="7">
        <v>46595</v>
      </c>
      <c r="N236" s="7"/>
      <c r="O236" s="4" t="str">
        <f t="shared" ca="1" si="12"/>
        <v/>
      </c>
      <c r="P236" s="4" t="str">
        <f t="shared" ca="1" si="13"/>
        <v>Active</v>
      </c>
      <c r="Q236" s="4" t="str">
        <f t="shared" si="15"/>
        <v>PKWT</v>
      </c>
      <c r="R236" s="7" t="s">
        <v>2980</v>
      </c>
      <c r="S236" s="4" t="s">
        <v>2986</v>
      </c>
      <c r="T236" s="4" t="s">
        <v>657</v>
      </c>
      <c r="U236" s="4" t="s">
        <v>2996</v>
      </c>
      <c r="V236" s="4" t="s">
        <v>670</v>
      </c>
      <c r="W236" s="4" t="s">
        <v>669</v>
      </c>
      <c r="X236" s="4" t="str">
        <f>_xlfn.XLOOKUP(V236,Reference!$O:$O,Reference!$N:$N,"Tidak Ketemu")</f>
        <v>G13</v>
      </c>
      <c r="Y236" s="4" t="str">
        <f t="shared" si="14"/>
        <v>TK/0</v>
      </c>
      <c r="Z236" s="10" t="s">
        <v>2583</v>
      </c>
      <c r="AA236" s="10" t="s">
        <v>2584</v>
      </c>
      <c r="AB236" s="7" t="s">
        <v>2585</v>
      </c>
      <c r="AC236" s="7" t="s">
        <v>3816</v>
      </c>
      <c r="AD236" s="17" t="s">
        <v>2586</v>
      </c>
      <c r="AE236" s="6" t="s">
        <v>2582</v>
      </c>
      <c r="AF236" s="6" t="s">
        <v>1778</v>
      </c>
      <c r="AG236" s="6" t="s">
        <v>694</v>
      </c>
      <c r="AN236" s="4"/>
    </row>
    <row r="237" spans="1:40" x14ac:dyDescent="0.35">
      <c r="A237" s="5">
        <v>202545998</v>
      </c>
      <c r="B237" s="5" t="s">
        <v>1375</v>
      </c>
      <c r="C237" s="5" t="s">
        <v>276</v>
      </c>
      <c r="D237" s="5" t="s">
        <v>587</v>
      </c>
      <c r="E237" s="6" t="s">
        <v>742</v>
      </c>
      <c r="F237" s="7">
        <v>39788</v>
      </c>
      <c r="G237" s="10" t="s">
        <v>648</v>
      </c>
      <c r="H237" s="15" t="s">
        <v>666</v>
      </c>
      <c r="I237" s="4">
        <f>MIN(COUNTIFS('Data Family'!A:A,A237,'Data Family'!F:F,"Child")+COUNTIFS('Data Family'!A:A,A237,'Data Family'!F:F,"&lt;&gt;Child",'Data Family'!J:J,"Housewife")+COUNTIFS('Data Family'!A:A,A237,'Data Family'!F:F,"&lt;&gt;Child",'Data Family'!J:J,"Unemployment"),3)</f>
        <v>0</v>
      </c>
      <c r="J237" s="10" t="s">
        <v>3002</v>
      </c>
      <c r="K237" s="7" t="s">
        <v>677</v>
      </c>
      <c r="L237" s="7">
        <v>45998</v>
      </c>
      <c r="M237" s="7">
        <v>46728</v>
      </c>
      <c r="N237" s="7"/>
      <c r="O237" s="4" t="str">
        <f t="shared" ca="1" si="12"/>
        <v/>
      </c>
      <c r="P237" s="4" t="str">
        <f t="shared" ca="1" si="13"/>
        <v>Active</v>
      </c>
      <c r="Q237" s="4" t="str">
        <f t="shared" si="15"/>
        <v>PKWT</v>
      </c>
      <c r="R237" s="7" t="s">
        <v>2980</v>
      </c>
      <c r="S237" s="4" t="s">
        <v>2986</v>
      </c>
      <c r="T237" s="4" t="s">
        <v>657</v>
      </c>
      <c r="U237" s="4" t="s">
        <v>2996</v>
      </c>
      <c r="V237" s="4" t="s">
        <v>670</v>
      </c>
      <c r="W237" s="4" t="s">
        <v>669</v>
      </c>
      <c r="X237" s="4" t="str">
        <f>_xlfn.XLOOKUP(V237,Reference!$O:$O,Reference!$N:$N,"Tidak Ketemu")</f>
        <v>G13</v>
      </c>
      <c r="Y237" s="4" t="str">
        <f t="shared" si="14"/>
        <v>TK/0</v>
      </c>
      <c r="Z237" s="10" t="s">
        <v>2302</v>
      </c>
      <c r="AA237" s="10" t="s">
        <v>2303</v>
      </c>
      <c r="AB237" s="7" t="s">
        <v>2304</v>
      </c>
      <c r="AC237" s="7" t="s">
        <v>3816</v>
      </c>
      <c r="AD237" s="17" t="s">
        <v>2305</v>
      </c>
      <c r="AE237" s="6" t="s">
        <v>2301</v>
      </c>
      <c r="AF237" s="6" t="s">
        <v>1377</v>
      </c>
      <c r="AG237" s="6" t="s">
        <v>694</v>
      </c>
      <c r="AN237" s="4"/>
    </row>
    <row r="238" spans="1:40" x14ac:dyDescent="0.35">
      <c r="A238" s="5">
        <v>202545921</v>
      </c>
      <c r="B238" s="5" t="s">
        <v>1264</v>
      </c>
      <c r="C238" s="5" t="s">
        <v>334</v>
      </c>
      <c r="D238" s="5" t="s">
        <v>645</v>
      </c>
      <c r="E238" s="6" t="s">
        <v>689</v>
      </c>
      <c r="F238" s="7">
        <v>40154</v>
      </c>
      <c r="G238" s="10" t="s">
        <v>648</v>
      </c>
      <c r="H238" s="15" t="s">
        <v>666</v>
      </c>
      <c r="I238" s="4">
        <f>MIN(COUNTIFS('Data Family'!A:A,A238,'Data Family'!F:F,"Child")+COUNTIFS('Data Family'!A:A,A238,'Data Family'!F:F,"&lt;&gt;Child",'Data Family'!J:J,"Housewife")+COUNTIFS('Data Family'!A:A,A238,'Data Family'!F:F,"&lt;&gt;Child",'Data Family'!J:J,"Unemployment"),3)</f>
        <v>0</v>
      </c>
      <c r="J238" s="10" t="s">
        <v>791</v>
      </c>
      <c r="K238" s="7" t="s">
        <v>701</v>
      </c>
      <c r="L238" s="7">
        <v>45921</v>
      </c>
      <c r="M238" s="7">
        <v>47747</v>
      </c>
      <c r="N238" s="7"/>
      <c r="O238" s="4" t="str">
        <f t="shared" ca="1" si="12"/>
        <v/>
      </c>
      <c r="P238" s="4" t="str">
        <f t="shared" ca="1" si="13"/>
        <v>Active</v>
      </c>
      <c r="Q238" s="4" t="str">
        <f t="shared" si="15"/>
        <v>PKWT</v>
      </c>
      <c r="R238" s="7" t="s">
        <v>2980</v>
      </c>
      <c r="S238" s="4" t="s">
        <v>2986</v>
      </c>
      <c r="T238" s="4" t="s">
        <v>657</v>
      </c>
      <c r="U238" s="4" t="s">
        <v>2996</v>
      </c>
      <c r="V238" s="4" t="s">
        <v>670</v>
      </c>
      <c r="W238" s="4" t="s">
        <v>669</v>
      </c>
      <c r="X238" s="4" t="str">
        <f>_xlfn.XLOOKUP(V238,Reference!$O:$O,Reference!$N:$N,"Tidak Ketemu")</f>
        <v>G13</v>
      </c>
      <c r="Y238" s="4" t="str">
        <f t="shared" si="14"/>
        <v>TK/0</v>
      </c>
      <c r="Z238" s="10" t="s">
        <v>2612</v>
      </c>
      <c r="AA238" s="10" t="s">
        <v>2613</v>
      </c>
      <c r="AB238" s="7" t="s">
        <v>2614</v>
      </c>
      <c r="AC238" s="7" t="s">
        <v>3816</v>
      </c>
      <c r="AD238" s="17" t="s">
        <v>2615</v>
      </c>
      <c r="AE238" s="6" t="s">
        <v>2611</v>
      </c>
      <c r="AF238" s="6" t="s">
        <v>1265</v>
      </c>
      <c r="AG238" s="6" t="s">
        <v>694</v>
      </c>
      <c r="AN238" s="4"/>
    </row>
    <row r="239" spans="1:40" x14ac:dyDescent="0.35">
      <c r="A239" s="5">
        <v>201943809</v>
      </c>
      <c r="B239" s="5" t="s">
        <v>1171</v>
      </c>
      <c r="C239" s="5" t="s">
        <v>88</v>
      </c>
      <c r="D239" s="5" t="s">
        <v>399</v>
      </c>
      <c r="E239" s="6" t="s">
        <v>3428</v>
      </c>
      <c r="F239" s="7">
        <v>33852</v>
      </c>
      <c r="G239" s="10" t="s">
        <v>648</v>
      </c>
      <c r="H239" s="15" t="s">
        <v>666</v>
      </c>
      <c r="I239" s="4">
        <f>MIN(COUNTIFS('Data Family'!A:A,A239,'Data Family'!F:F,"Child")+COUNTIFS('Data Family'!A:A,A239,'Data Family'!F:F,"&lt;&gt;Child",'Data Family'!J:J,"Housewife")+COUNTIFS('Data Family'!A:A,A239,'Data Family'!F:F,"&lt;&gt;Child",'Data Family'!J:J,"Unemployment"),3)</f>
        <v>0</v>
      </c>
      <c r="J239" s="10" t="s">
        <v>791</v>
      </c>
      <c r="K239" s="7" t="s">
        <v>691</v>
      </c>
      <c r="L239" s="7">
        <v>43809</v>
      </c>
      <c r="M239" s="7"/>
      <c r="N239" s="7"/>
      <c r="O239" s="4" t="str">
        <f t="shared" ca="1" si="12"/>
        <v/>
      </c>
      <c r="P239" s="4" t="str">
        <f t="shared" ca="1" si="13"/>
        <v>Active</v>
      </c>
      <c r="Q239" s="4" t="str">
        <f t="shared" si="15"/>
        <v>PKWTT</v>
      </c>
      <c r="R239" s="7" t="s">
        <v>2983</v>
      </c>
      <c r="S239" s="4" t="s">
        <v>2676</v>
      </c>
      <c r="T239" s="4" t="s">
        <v>794</v>
      </c>
      <c r="U239" s="4" t="s">
        <v>2688</v>
      </c>
      <c r="V239" s="4" t="s">
        <v>2621</v>
      </c>
      <c r="W239" s="4" t="s">
        <v>3068</v>
      </c>
      <c r="X239" s="4" t="str">
        <f>_xlfn.XLOOKUP(V239,Reference!$O:$O,Reference!$N:$N,"Tidak Ketemu")</f>
        <v>G06</v>
      </c>
      <c r="Y239" s="4" t="str">
        <f t="shared" si="14"/>
        <v>TK/0</v>
      </c>
      <c r="Z239" s="10" t="s">
        <v>1174</v>
      </c>
      <c r="AA239" s="10" t="s">
        <v>1175</v>
      </c>
      <c r="AB239" s="7" t="s">
        <v>1176</v>
      </c>
      <c r="AC239" s="7" t="s">
        <v>3816</v>
      </c>
      <c r="AD239" s="17" t="s">
        <v>1177</v>
      </c>
      <c r="AE239" s="6" t="s">
        <v>1172</v>
      </c>
      <c r="AF239" s="6" t="s">
        <v>1173</v>
      </c>
      <c r="AG239" s="6" t="s">
        <v>731</v>
      </c>
      <c r="AN239" s="4"/>
    </row>
    <row r="240" spans="1:40" x14ac:dyDescent="0.35">
      <c r="A240" s="5">
        <v>201943701</v>
      </c>
      <c r="B240" s="5" t="s">
        <v>1022</v>
      </c>
      <c r="C240" s="5" t="s">
        <v>187</v>
      </c>
      <c r="D240" s="5" t="s">
        <v>498</v>
      </c>
      <c r="E240" s="6" t="s">
        <v>664</v>
      </c>
      <c r="F240" s="7">
        <v>35269</v>
      </c>
      <c r="G240" s="10" t="s">
        <v>676</v>
      </c>
      <c r="H240" s="15" t="s">
        <v>666</v>
      </c>
      <c r="I240" s="4">
        <f>MIN(COUNTIFS('Data Family'!A:A,A240,'Data Family'!F:F,"Child")+COUNTIFS('Data Family'!A:A,A240,'Data Family'!F:F,"&lt;&gt;Child",'Data Family'!J:J,"Housewife")+COUNTIFS('Data Family'!A:A,A240,'Data Family'!F:F,"&lt;&gt;Child",'Data Family'!J:J,"Unemployment"),3)</f>
        <v>0</v>
      </c>
      <c r="J240" s="10" t="s">
        <v>791</v>
      </c>
      <c r="K240" s="7" t="s">
        <v>691</v>
      </c>
      <c r="L240" s="7">
        <v>43701</v>
      </c>
      <c r="M240" s="7"/>
      <c r="N240" s="7"/>
      <c r="O240" s="4" t="str">
        <f t="shared" ca="1" si="12"/>
        <v/>
      </c>
      <c r="P240" s="4" t="str">
        <f t="shared" ca="1" si="13"/>
        <v>Active</v>
      </c>
      <c r="Q240" s="4" t="str">
        <f t="shared" si="15"/>
        <v>PKWTT</v>
      </c>
      <c r="R240" s="7" t="s">
        <v>2982</v>
      </c>
      <c r="S240" s="4" t="s">
        <v>2676</v>
      </c>
      <c r="T240" s="4" t="s">
        <v>794</v>
      </c>
      <c r="U240" s="4" t="s">
        <v>2688</v>
      </c>
      <c r="V240" s="4" t="s">
        <v>2624</v>
      </c>
      <c r="W240" s="4" t="s">
        <v>3069</v>
      </c>
      <c r="X240" s="4" t="str">
        <f>_xlfn.XLOOKUP(V240,Reference!$O:$O,Reference!$N:$N,"Tidak Ketemu")</f>
        <v>G07</v>
      </c>
      <c r="Y240" s="4" t="str">
        <f t="shared" si="14"/>
        <v>TK/0</v>
      </c>
      <c r="Z240" s="10" t="s">
        <v>1806</v>
      </c>
      <c r="AA240" s="10" t="s">
        <v>1807</v>
      </c>
      <c r="AB240" s="7" t="s">
        <v>1808</v>
      </c>
      <c r="AC240" s="7" t="s">
        <v>3816</v>
      </c>
      <c r="AD240" s="17" t="s">
        <v>1809</v>
      </c>
      <c r="AE240" s="6" t="s">
        <v>1805</v>
      </c>
      <c r="AF240" s="6" t="s">
        <v>1023</v>
      </c>
      <c r="AG240" s="6" t="s">
        <v>656</v>
      </c>
      <c r="AN240" s="4"/>
    </row>
    <row r="241" spans="1:40" x14ac:dyDescent="0.35">
      <c r="A241" s="5">
        <v>201742819</v>
      </c>
      <c r="B241" s="5" t="s">
        <v>1065</v>
      </c>
      <c r="C241" s="5" t="s">
        <v>224</v>
      </c>
      <c r="D241" s="5" t="s">
        <v>535</v>
      </c>
      <c r="E241" s="6" t="s">
        <v>3436</v>
      </c>
      <c r="F241" s="7">
        <v>35041</v>
      </c>
      <c r="G241" s="10" t="s">
        <v>676</v>
      </c>
      <c r="H241" s="15" t="s">
        <v>666</v>
      </c>
      <c r="I241" s="4">
        <f>MIN(COUNTIFS('Data Family'!A:A,A241,'Data Family'!F:F,"Child")+COUNTIFS('Data Family'!A:A,A241,'Data Family'!F:F,"&lt;&gt;Child",'Data Family'!J:J,"Housewife")+COUNTIFS('Data Family'!A:A,A241,'Data Family'!F:F,"&lt;&gt;Child",'Data Family'!J:J,"Unemployment"),3)</f>
        <v>0</v>
      </c>
      <c r="J241" s="10" t="s">
        <v>791</v>
      </c>
      <c r="K241" s="7" t="s">
        <v>691</v>
      </c>
      <c r="L241" s="7">
        <v>42819</v>
      </c>
      <c r="M241" s="7"/>
      <c r="N241" s="7"/>
      <c r="O241" s="4" t="str">
        <f t="shared" ca="1" si="12"/>
        <v/>
      </c>
      <c r="P241" s="4" t="str">
        <f t="shared" ca="1" si="13"/>
        <v>Active</v>
      </c>
      <c r="Q241" s="4" t="str">
        <f t="shared" si="15"/>
        <v>PKWTT</v>
      </c>
      <c r="R241" s="7" t="s">
        <v>2982</v>
      </c>
      <c r="S241" s="4" t="s">
        <v>2676</v>
      </c>
      <c r="T241" s="4" t="s">
        <v>794</v>
      </c>
      <c r="U241" s="4" t="s">
        <v>2688</v>
      </c>
      <c r="V241" s="4" t="s">
        <v>3073</v>
      </c>
      <c r="W241" s="4" t="s">
        <v>3070</v>
      </c>
      <c r="X241" s="4" t="str">
        <f>_xlfn.XLOOKUP(V241,Reference!$O:$O,Reference!$N:$N,"Tidak Ketemu")</f>
        <v>G10</v>
      </c>
      <c r="Y241" s="4" t="str">
        <f t="shared" si="14"/>
        <v>TK/0</v>
      </c>
      <c r="Z241" s="10" t="s">
        <v>2017</v>
      </c>
      <c r="AA241" s="10" t="s">
        <v>2018</v>
      </c>
      <c r="AB241" s="7" t="s">
        <v>2019</v>
      </c>
      <c r="AC241" s="7" t="s">
        <v>3816</v>
      </c>
      <c r="AD241" s="17" t="s">
        <v>2020</v>
      </c>
      <c r="AE241" s="6" t="s">
        <v>2016</v>
      </c>
      <c r="AF241" s="6" t="s">
        <v>1066</v>
      </c>
      <c r="AG241" s="6" t="s">
        <v>694</v>
      </c>
      <c r="AN241" s="4"/>
    </row>
    <row r="242" spans="1:40" x14ac:dyDescent="0.35">
      <c r="A242" s="5">
        <v>202345132</v>
      </c>
      <c r="B242" s="5" t="s">
        <v>1382</v>
      </c>
      <c r="C242" s="5" t="s">
        <v>299</v>
      </c>
      <c r="D242" s="5" t="s">
        <v>610</v>
      </c>
      <c r="E242" s="6" t="s">
        <v>809</v>
      </c>
      <c r="F242" s="7">
        <v>35320</v>
      </c>
      <c r="G242" s="10" t="s">
        <v>648</v>
      </c>
      <c r="H242" s="15" t="s">
        <v>666</v>
      </c>
      <c r="I242" s="4">
        <f>MIN(COUNTIFS('Data Family'!A:A,A242,'Data Family'!F:F,"Child")+COUNTIFS('Data Family'!A:A,A242,'Data Family'!F:F,"&lt;&gt;Child",'Data Family'!J:J,"Housewife")+COUNTIFS('Data Family'!A:A,A242,'Data Family'!F:F,"&lt;&gt;Child",'Data Family'!J:J,"Unemployment"),3)</f>
        <v>0</v>
      </c>
      <c r="J242" s="10" t="s">
        <v>791</v>
      </c>
      <c r="K242" s="7" t="s">
        <v>701</v>
      </c>
      <c r="L242" s="7">
        <v>44767</v>
      </c>
      <c r="M242" s="7">
        <v>46593</v>
      </c>
      <c r="N242" s="7"/>
      <c r="O242" s="4" t="str">
        <f t="shared" ca="1" si="12"/>
        <v/>
      </c>
      <c r="P242" s="4" t="str">
        <f t="shared" ca="1" si="13"/>
        <v>Active</v>
      </c>
      <c r="Q242" s="4" t="str">
        <f t="shared" si="15"/>
        <v>PKWT</v>
      </c>
      <c r="R242" s="7" t="s">
        <v>2982</v>
      </c>
      <c r="S242" s="4" t="s">
        <v>2693</v>
      </c>
      <c r="T242" s="4" t="s">
        <v>794</v>
      </c>
      <c r="U242" s="4" t="s">
        <v>2688</v>
      </c>
      <c r="V242" s="4" t="s">
        <v>3073</v>
      </c>
      <c r="W242" s="4" t="s">
        <v>3070</v>
      </c>
      <c r="X242" s="4" t="str">
        <f>_xlfn.XLOOKUP(V242,Reference!$O:$O,Reference!$N:$N,"Tidak Ketemu")</f>
        <v>G10</v>
      </c>
      <c r="Y242" s="4" t="str">
        <f t="shared" si="14"/>
        <v>TK/0</v>
      </c>
      <c r="Z242" s="10" t="s">
        <v>2425</v>
      </c>
      <c r="AA242" s="10" t="s">
        <v>2426</v>
      </c>
      <c r="AB242" s="7" t="s">
        <v>2427</v>
      </c>
      <c r="AC242" s="7" t="s">
        <v>3816</v>
      </c>
      <c r="AD242" s="17" t="s">
        <v>2428</v>
      </c>
      <c r="AE242" s="6" t="s">
        <v>2424</v>
      </c>
      <c r="AF242" s="6" t="s">
        <v>1384</v>
      </c>
      <c r="AG242" s="6" t="s">
        <v>656</v>
      </c>
      <c r="AN242" s="4"/>
    </row>
    <row r="243" spans="1:40" x14ac:dyDescent="0.35">
      <c r="A243" s="5">
        <v>201943629</v>
      </c>
      <c r="B243" s="5" t="s">
        <v>1702</v>
      </c>
      <c r="C243" s="5" t="s">
        <v>170</v>
      </c>
      <c r="D243" s="5" t="s">
        <v>481</v>
      </c>
      <c r="E243" s="6" t="s">
        <v>3450</v>
      </c>
      <c r="F243" s="7">
        <v>35210</v>
      </c>
      <c r="G243" s="10" t="s">
        <v>676</v>
      </c>
      <c r="H243" s="15" t="s">
        <v>666</v>
      </c>
      <c r="I243" s="4">
        <f>MIN(COUNTIFS('Data Family'!A:A,A243,'Data Family'!F:F,"Child")+COUNTIFS('Data Family'!A:A,A243,'Data Family'!F:F,"&lt;&gt;Child",'Data Family'!J:J,"Housewife")+COUNTIFS('Data Family'!A:A,A243,'Data Family'!F:F,"&lt;&gt;Child",'Data Family'!J:J,"Unemployment"),3)</f>
        <v>0</v>
      </c>
      <c r="J243" s="10" t="s">
        <v>791</v>
      </c>
      <c r="K243" s="7" t="s">
        <v>701</v>
      </c>
      <c r="L243" s="7">
        <v>44360</v>
      </c>
      <c r="M243" s="7"/>
      <c r="N243" s="7"/>
      <c r="O243" s="4" t="str">
        <f t="shared" ca="1" si="12"/>
        <v/>
      </c>
      <c r="P243" s="4" t="str">
        <f t="shared" ca="1" si="13"/>
        <v>Active</v>
      </c>
      <c r="Q243" s="4" t="str">
        <f t="shared" si="15"/>
        <v>PKWTT</v>
      </c>
      <c r="R243" s="7" t="s">
        <v>2982</v>
      </c>
      <c r="S243" s="4" t="s">
        <v>2693</v>
      </c>
      <c r="T243" s="4" t="s">
        <v>794</v>
      </c>
      <c r="U243" s="4" t="s">
        <v>2688</v>
      </c>
      <c r="V243" s="4" t="s">
        <v>3073</v>
      </c>
      <c r="W243" s="4" t="s">
        <v>3070</v>
      </c>
      <c r="X243" s="4" t="str">
        <f>_xlfn.XLOOKUP(V243,Reference!$O:$O,Reference!$N:$N,"Tidak Ketemu")</f>
        <v>G10</v>
      </c>
      <c r="Y243" s="4" t="str">
        <f t="shared" si="14"/>
        <v>TK/0</v>
      </c>
      <c r="Z243" s="10" t="s">
        <v>1705</v>
      </c>
      <c r="AA243" s="10" t="s">
        <v>1706</v>
      </c>
      <c r="AB243" s="7" t="s">
        <v>1707</v>
      </c>
      <c r="AC243" s="7" t="s">
        <v>3816</v>
      </c>
      <c r="AD243" s="17" t="s">
        <v>1708</v>
      </c>
      <c r="AE243" s="6" t="s">
        <v>1703</v>
      </c>
      <c r="AF243" s="6" t="s">
        <v>1704</v>
      </c>
      <c r="AG243" s="6" t="s">
        <v>778</v>
      </c>
      <c r="AN243" s="4"/>
    </row>
    <row r="244" spans="1:40" x14ac:dyDescent="0.35">
      <c r="A244" s="5">
        <v>202044076</v>
      </c>
      <c r="B244" s="5" t="s">
        <v>2454</v>
      </c>
      <c r="C244" s="5" t="s">
        <v>305</v>
      </c>
      <c r="D244" s="5" t="s">
        <v>616</v>
      </c>
      <c r="E244" s="6" t="s">
        <v>3450</v>
      </c>
      <c r="F244" s="7">
        <v>35052</v>
      </c>
      <c r="G244" s="10" t="s">
        <v>648</v>
      </c>
      <c r="H244" s="15" t="s">
        <v>666</v>
      </c>
      <c r="I244" s="4">
        <f>MIN(COUNTIFS('Data Family'!A:A,A244,'Data Family'!F:F,"Child")+COUNTIFS('Data Family'!A:A,A244,'Data Family'!F:F,"&lt;&gt;Child",'Data Family'!J:J,"Housewife")+COUNTIFS('Data Family'!A:A,A244,'Data Family'!F:F,"&lt;&gt;Child",'Data Family'!J:J,"Unemployment"),3)</f>
        <v>0</v>
      </c>
      <c r="J244" s="10" t="s">
        <v>791</v>
      </c>
      <c r="K244" s="7" t="s">
        <v>691</v>
      </c>
      <c r="L244" s="7">
        <v>45537</v>
      </c>
      <c r="M244" s="7">
        <v>46632</v>
      </c>
      <c r="N244" s="7"/>
      <c r="O244" s="4" t="str">
        <f t="shared" ca="1" si="12"/>
        <v/>
      </c>
      <c r="P244" s="4" t="str">
        <f t="shared" ca="1" si="13"/>
        <v>Active</v>
      </c>
      <c r="Q244" s="4" t="str">
        <f t="shared" si="15"/>
        <v>PKWT</v>
      </c>
      <c r="R244" s="7" t="s">
        <v>2981</v>
      </c>
      <c r="S244" s="4" t="s">
        <v>2692</v>
      </c>
      <c r="T244" s="4" t="s">
        <v>794</v>
      </c>
      <c r="U244" s="4" t="s">
        <v>2688</v>
      </c>
      <c r="V244" s="4" t="s">
        <v>3073</v>
      </c>
      <c r="W244" s="4" t="s">
        <v>3070</v>
      </c>
      <c r="X244" s="4" t="str">
        <f>_xlfn.XLOOKUP(V244,Reference!$O:$O,Reference!$N:$N,"Tidak Ketemu")</f>
        <v>G10</v>
      </c>
      <c r="Y244" s="4" t="str">
        <f t="shared" si="14"/>
        <v>TK/0</v>
      </c>
      <c r="Z244" s="10" t="s">
        <v>2457</v>
      </c>
      <c r="AA244" s="10" t="s">
        <v>2458</v>
      </c>
      <c r="AB244" s="7" t="s">
        <v>2459</v>
      </c>
      <c r="AC244" s="7" t="s">
        <v>3816</v>
      </c>
      <c r="AD244" s="17" t="s">
        <v>2460</v>
      </c>
      <c r="AE244" s="6" t="s">
        <v>2455</v>
      </c>
      <c r="AF244" s="6" t="s">
        <v>2456</v>
      </c>
      <c r="AG244" s="6" t="s">
        <v>704</v>
      </c>
      <c r="AN244" s="4"/>
    </row>
    <row r="245" spans="1:40" x14ac:dyDescent="0.35">
      <c r="A245" s="5">
        <v>202144298</v>
      </c>
      <c r="B245" s="5" t="s">
        <v>1670</v>
      </c>
      <c r="C245" s="5" t="s">
        <v>323</v>
      </c>
      <c r="D245" s="5" t="s">
        <v>634</v>
      </c>
      <c r="E245" s="6" t="s">
        <v>768</v>
      </c>
      <c r="F245" s="7">
        <v>35233</v>
      </c>
      <c r="G245" s="10" t="s">
        <v>648</v>
      </c>
      <c r="H245" s="15" t="s">
        <v>666</v>
      </c>
      <c r="I245" s="4">
        <f>MIN(COUNTIFS('Data Family'!A:A,A245,'Data Family'!F:F,"Child")+COUNTIFS('Data Family'!A:A,A245,'Data Family'!F:F,"&lt;&gt;Child",'Data Family'!J:J,"Housewife")+COUNTIFS('Data Family'!A:A,A245,'Data Family'!F:F,"&lt;&gt;Child",'Data Family'!J:J,"Unemployment"),3)</f>
        <v>0</v>
      </c>
      <c r="J245" s="10" t="s">
        <v>791</v>
      </c>
      <c r="K245" s="7" t="s">
        <v>701</v>
      </c>
      <c r="L245" s="7">
        <v>45028</v>
      </c>
      <c r="M245" s="7">
        <v>46855</v>
      </c>
      <c r="N245" s="7"/>
      <c r="O245" s="4" t="str">
        <f t="shared" ca="1" si="12"/>
        <v/>
      </c>
      <c r="P245" s="4" t="str">
        <f t="shared" ca="1" si="13"/>
        <v>Active</v>
      </c>
      <c r="Q245" s="4" t="str">
        <f t="shared" si="15"/>
        <v>PKWT</v>
      </c>
      <c r="R245" s="7" t="s">
        <v>2982</v>
      </c>
      <c r="S245" s="4" t="s">
        <v>2693</v>
      </c>
      <c r="T245" s="4" t="s">
        <v>794</v>
      </c>
      <c r="U245" s="4" t="s">
        <v>2688</v>
      </c>
      <c r="V245" s="4" t="s">
        <v>659</v>
      </c>
      <c r="W245" s="4" t="s">
        <v>3071</v>
      </c>
      <c r="X245" s="4" t="str">
        <f>_xlfn.XLOOKUP(V245,Reference!$O:$O,Reference!$N:$N,"Tidak Ketemu")</f>
        <v>G11</v>
      </c>
      <c r="Y245" s="4" t="str">
        <f t="shared" si="14"/>
        <v>TK/0</v>
      </c>
      <c r="Z245" s="10" t="s">
        <v>2553</v>
      </c>
      <c r="AA245" s="10" t="s">
        <v>2554</v>
      </c>
      <c r="AB245" s="7" t="s">
        <v>2555</v>
      </c>
      <c r="AC245" s="7" t="s">
        <v>3816</v>
      </c>
      <c r="AD245" s="17" t="s">
        <v>2556</v>
      </c>
      <c r="AE245" s="6" t="s">
        <v>2552</v>
      </c>
      <c r="AF245" s="6" t="s">
        <v>1671</v>
      </c>
      <c r="AG245" s="6" t="s">
        <v>731</v>
      </c>
      <c r="AN245" s="4"/>
    </row>
    <row r="246" spans="1:40" x14ac:dyDescent="0.35">
      <c r="A246" s="5">
        <v>202244696</v>
      </c>
      <c r="B246" s="5" t="s">
        <v>1199</v>
      </c>
      <c r="C246" s="5" t="s">
        <v>93</v>
      </c>
      <c r="D246" s="5" t="s">
        <v>404</v>
      </c>
      <c r="E246" s="6" t="s">
        <v>809</v>
      </c>
      <c r="F246" s="7">
        <v>35722</v>
      </c>
      <c r="G246" s="10" t="s">
        <v>676</v>
      </c>
      <c r="H246" s="15" t="s">
        <v>666</v>
      </c>
      <c r="I246" s="4">
        <f>MIN(COUNTIFS('Data Family'!A:A,A246,'Data Family'!F:F,"Child")+COUNTIFS('Data Family'!A:A,A246,'Data Family'!F:F,"&lt;&gt;Child",'Data Family'!J:J,"Housewife")+COUNTIFS('Data Family'!A:A,A246,'Data Family'!F:F,"&lt;&gt;Child",'Data Family'!J:J,"Unemployment"),3)</f>
        <v>0</v>
      </c>
      <c r="J246" s="10" t="s">
        <v>791</v>
      </c>
      <c r="K246" s="7" t="s">
        <v>691</v>
      </c>
      <c r="L246" s="7">
        <v>45061</v>
      </c>
      <c r="M246" s="7">
        <v>46888</v>
      </c>
      <c r="N246" s="7"/>
      <c r="O246" s="4" t="str">
        <f t="shared" ca="1" si="12"/>
        <v/>
      </c>
      <c r="P246" s="4" t="str">
        <f t="shared" ca="1" si="13"/>
        <v>Active</v>
      </c>
      <c r="Q246" s="4" t="str">
        <f t="shared" si="15"/>
        <v>PKWT</v>
      </c>
      <c r="R246" s="7" t="s">
        <v>2982</v>
      </c>
      <c r="S246" s="4" t="s">
        <v>2683</v>
      </c>
      <c r="T246" s="4" t="s">
        <v>794</v>
      </c>
      <c r="U246" s="4" t="s">
        <v>2688</v>
      </c>
      <c r="V246" s="4" t="s">
        <v>659</v>
      </c>
      <c r="W246" s="4" t="s">
        <v>3071</v>
      </c>
      <c r="X246" s="4" t="str">
        <f>_xlfn.XLOOKUP(V246,Reference!$O:$O,Reference!$N:$N,"Tidak Ketemu")</f>
        <v>G11</v>
      </c>
      <c r="Y246" s="4" t="str">
        <f t="shared" si="14"/>
        <v>TK/0</v>
      </c>
      <c r="Z246" s="10" t="s">
        <v>1213</v>
      </c>
      <c r="AA246" s="10" t="s">
        <v>1214</v>
      </c>
      <c r="AB246" s="7" t="s">
        <v>1215</v>
      </c>
      <c r="AC246" s="7" t="s">
        <v>3816</v>
      </c>
      <c r="AD246" s="17" t="s">
        <v>1216</v>
      </c>
      <c r="AE246" s="6" t="s">
        <v>1212</v>
      </c>
      <c r="AF246" s="6" t="s">
        <v>1200</v>
      </c>
      <c r="AG246" s="6" t="s">
        <v>731</v>
      </c>
      <c r="AN246" s="4"/>
    </row>
    <row r="247" spans="1:40" x14ac:dyDescent="0.35">
      <c r="A247" s="5">
        <v>201943604</v>
      </c>
      <c r="B247" s="5" t="s">
        <v>1167</v>
      </c>
      <c r="C247" s="5" t="s">
        <v>136</v>
      </c>
      <c r="D247" s="5" t="s">
        <v>447</v>
      </c>
      <c r="E247" s="6" t="s">
        <v>3450</v>
      </c>
      <c r="F247" s="7">
        <v>35559</v>
      </c>
      <c r="G247" s="10" t="s">
        <v>676</v>
      </c>
      <c r="H247" s="15" t="s">
        <v>666</v>
      </c>
      <c r="I247" s="4">
        <f>MIN(COUNTIFS('Data Family'!A:A,A247,'Data Family'!F:F,"Child")+COUNTIFS('Data Family'!A:A,A247,'Data Family'!F:F,"&lt;&gt;Child",'Data Family'!J:J,"Housewife")+COUNTIFS('Data Family'!A:A,A247,'Data Family'!F:F,"&lt;&gt;Child",'Data Family'!J:J,"Unemployment"),3)</f>
        <v>0</v>
      </c>
      <c r="J247" s="10" t="s">
        <v>791</v>
      </c>
      <c r="K247" s="7" t="s">
        <v>691</v>
      </c>
      <c r="L247" s="7">
        <v>45431</v>
      </c>
      <c r="M247" s="7">
        <v>47257</v>
      </c>
      <c r="N247" s="7"/>
      <c r="O247" s="4" t="str">
        <f t="shared" ca="1" si="12"/>
        <v/>
      </c>
      <c r="P247" s="4" t="str">
        <f t="shared" ca="1" si="13"/>
        <v>Active</v>
      </c>
      <c r="Q247" s="4" t="str">
        <f t="shared" si="15"/>
        <v>PKWT</v>
      </c>
      <c r="R247" s="7" t="s">
        <v>2980</v>
      </c>
      <c r="S247" s="4" t="s">
        <v>2988</v>
      </c>
      <c r="T247" s="4" t="s">
        <v>794</v>
      </c>
      <c r="U247" s="4" t="s">
        <v>2688</v>
      </c>
      <c r="V247" s="4" t="s">
        <v>2640</v>
      </c>
      <c r="W247" s="4" t="s">
        <v>3074</v>
      </c>
      <c r="X247" s="4" t="str">
        <f>_xlfn.XLOOKUP(V247,Reference!$O:$O,Reference!$N:$N,"Tidak Ketemu")</f>
        <v>G12</v>
      </c>
      <c r="Y247" s="4" t="str">
        <f t="shared" si="14"/>
        <v>TK/0</v>
      </c>
      <c r="Z247" s="10" t="s">
        <v>1502</v>
      </c>
      <c r="AA247" s="10" t="s">
        <v>1503</v>
      </c>
      <c r="AB247" s="7" t="s">
        <v>1504</v>
      </c>
      <c r="AC247" s="7" t="s">
        <v>3816</v>
      </c>
      <c r="AD247" s="17" t="s">
        <v>1505</v>
      </c>
      <c r="AE247" s="6" t="s">
        <v>1501</v>
      </c>
      <c r="AF247" s="6" t="s">
        <v>1168</v>
      </c>
      <c r="AG247" s="6" t="s">
        <v>704</v>
      </c>
      <c r="AN247" s="4"/>
    </row>
    <row r="248" spans="1:40" x14ac:dyDescent="0.35">
      <c r="A248" s="5">
        <v>201943773</v>
      </c>
      <c r="B248" s="5" t="s">
        <v>1130</v>
      </c>
      <c r="C248" s="5" t="s">
        <v>186</v>
      </c>
      <c r="D248" s="5" t="s">
        <v>497</v>
      </c>
      <c r="E248" s="6" t="s">
        <v>742</v>
      </c>
      <c r="F248" s="7">
        <v>36461</v>
      </c>
      <c r="G248" s="10" t="s">
        <v>676</v>
      </c>
      <c r="H248" s="15" t="s">
        <v>666</v>
      </c>
      <c r="I248" s="4">
        <f>MIN(COUNTIFS('Data Family'!A:A,A248,'Data Family'!F:F,"Child")+COUNTIFS('Data Family'!A:A,A248,'Data Family'!F:F,"&lt;&gt;Child",'Data Family'!J:J,"Housewife")+COUNTIFS('Data Family'!A:A,A248,'Data Family'!F:F,"&lt;&gt;Child",'Data Family'!J:J,"Unemployment"),3)</f>
        <v>0</v>
      </c>
      <c r="J248" s="10" t="s">
        <v>791</v>
      </c>
      <c r="K248" s="7" t="s">
        <v>677</v>
      </c>
      <c r="L248" s="7">
        <v>45600</v>
      </c>
      <c r="M248" s="7">
        <v>46695</v>
      </c>
      <c r="N248" s="7"/>
      <c r="O248" s="4" t="str">
        <f t="shared" ca="1" si="12"/>
        <v/>
      </c>
      <c r="P248" s="4" t="str">
        <f t="shared" ca="1" si="13"/>
        <v>Active</v>
      </c>
      <c r="Q248" s="4" t="str">
        <f t="shared" si="15"/>
        <v>PKWT</v>
      </c>
      <c r="R248" s="7" t="s">
        <v>2980</v>
      </c>
      <c r="S248" s="4" t="s">
        <v>2988</v>
      </c>
      <c r="T248" s="4" t="s">
        <v>794</v>
      </c>
      <c r="U248" s="4" t="s">
        <v>2688</v>
      </c>
      <c r="V248" s="4" t="s">
        <v>2640</v>
      </c>
      <c r="W248" s="4" t="s">
        <v>3074</v>
      </c>
      <c r="X248" s="4" t="str">
        <f>_xlfn.XLOOKUP(V248,Reference!$O:$O,Reference!$N:$N,"Tidak Ketemu")</f>
        <v>G12</v>
      </c>
      <c r="Y248" s="4" t="str">
        <f t="shared" si="14"/>
        <v>TK/0</v>
      </c>
      <c r="Z248" s="10" t="s">
        <v>1801</v>
      </c>
      <c r="AA248" s="10" t="s">
        <v>1802</v>
      </c>
      <c r="AB248" s="7" t="s">
        <v>1803</v>
      </c>
      <c r="AC248" s="7" t="s">
        <v>3816</v>
      </c>
      <c r="AD248" s="17" t="s">
        <v>1804</v>
      </c>
      <c r="AE248" s="6" t="s">
        <v>1800</v>
      </c>
      <c r="AF248" s="6" t="s">
        <v>1131</v>
      </c>
      <c r="AG248" s="6" t="s">
        <v>731</v>
      </c>
      <c r="AN248" s="4"/>
    </row>
    <row r="249" spans="1:40" x14ac:dyDescent="0.35">
      <c r="A249" s="5">
        <v>202144512</v>
      </c>
      <c r="B249" s="5" t="s">
        <v>904</v>
      </c>
      <c r="C249" s="5" t="s">
        <v>208</v>
      </c>
      <c r="D249" s="5" t="s">
        <v>519</v>
      </c>
      <c r="E249" s="6" t="s">
        <v>689</v>
      </c>
      <c r="F249" s="7">
        <v>40525</v>
      </c>
      <c r="G249" s="10" t="s">
        <v>676</v>
      </c>
      <c r="H249" s="15" t="s">
        <v>666</v>
      </c>
      <c r="I249" s="4">
        <f>MIN(COUNTIFS('Data Family'!A:A,A249,'Data Family'!F:F,"Child")+COUNTIFS('Data Family'!A:A,A249,'Data Family'!F:F,"&lt;&gt;Child",'Data Family'!J:J,"Housewife")+COUNTIFS('Data Family'!A:A,A249,'Data Family'!F:F,"&lt;&gt;Child",'Data Family'!J:J,"Unemployment"),3)</f>
        <v>0</v>
      </c>
      <c r="J249" s="10" t="s">
        <v>791</v>
      </c>
      <c r="K249" s="7" t="s">
        <v>701</v>
      </c>
      <c r="L249" s="7">
        <v>45973</v>
      </c>
      <c r="M249" s="7">
        <v>46338</v>
      </c>
      <c r="N249" s="7"/>
      <c r="O249" s="4" t="str">
        <f t="shared" ca="1" si="12"/>
        <v/>
      </c>
      <c r="P249" s="4" t="str">
        <f t="shared" ca="1" si="13"/>
        <v>Active</v>
      </c>
      <c r="Q249" s="4" t="str">
        <f t="shared" si="15"/>
        <v>PKWT</v>
      </c>
      <c r="R249" s="7" t="s">
        <v>2980</v>
      </c>
      <c r="S249" s="4" t="s">
        <v>2988</v>
      </c>
      <c r="T249" s="4" t="s">
        <v>794</v>
      </c>
      <c r="U249" s="4" t="s">
        <v>2688</v>
      </c>
      <c r="V249" s="4" t="s">
        <v>2681</v>
      </c>
      <c r="W249" s="4" t="s">
        <v>3416</v>
      </c>
      <c r="X249" s="4" t="str">
        <f>_xlfn.XLOOKUP(V249,Reference!$O:$O,Reference!$N:$N,"Tidak Ketemu")</f>
        <v>G14</v>
      </c>
      <c r="Y249" s="4" t="str">
        <f t="shared" si="14"/>
        <v>TK/0</v>
      </c>
      <c r="Z249" s="10" t="s">
        <v>1929</v>
      </c>
      <c r="AA249" s="10" t="s">
        <v>1930</v>
      </c>
      <c r="AB249" s="7" t="s">
        <v>1931</v>
      </c>
      <c r="AC249" s="7" t="s">
        <v>3817</v>
      </c>
      <c r="AD249" s="7" t="s">
        <v>1932</v>
      </c>
      <c r="AE249" s="6" t="s">
        <v>1928</v>
      </c>
      <c r="AF249" s="6" t="s">
        <v>905</v>
      </c>
      <c r="AG249" s="6" t="s">
        <v>680</v>
      </c>
      <c r="AN249" s="4"/>
    </row>
    <row r="250" spans="1:40" x14ac:dyDescent="0.35">
      <c r="A250" s="5">
        <v>202144287</v>
      </c>
      <c r="B250" s="5" t="s">
        <v>1743</v>
      </c>
      <c r="C250" s="5" t="s">
        <v>177</v>
      </c>
      <c r="D250" s="5" t="s">
        <v>488</v>
      </c>
      <c r="E250" s="6" t="s">
        <v>3434</v>
      </c>
      <c r="F250" s="7">
        <v>32414</v>
      </c>
      <c r="G250" s="10" t="s">
        <v>648</v>
      </c>
      <c r="H250" s="15" t="s">
        <v>2678</v>
      </c>
      <c r="I250" s="4">
        <f>MIN(COUNTIFS('Data Family'!A:A,A250,'Data Family'!F:F,"Child")+COUNTIFS('Data Family'!A:A,A250,'Data Family'!F:F,"&lt;&gt;Child",'Data Family'!J:J,"Housewife")+COUNTIFS('Data Family'!A:A,A250,'Data Family'!F:F,"&lt;&gt;Child",'Data Family'!J:J,"Unemployment"),3)</f>
        <v>1</v>
      </c>
      <c r="J250" s="10" t="s">
        <v>791</v>
      </c>
      <c r="K250" s="7" t="s">
        <v>691</v>
      </c>
      <c r="L250" s="7">
        <v>43191</v>
      </c>
      <c r="M250" s="7"/>
      <c r="N250" s="7"/>
      <c r="O250" s="4" t="str">
        <f t="shared" ca="1" si="12"/>
        <v/>
      </c>
      <c r="P250" s="4" t="str">
        <f t="shared" ca="1" si="13"/>
        <v>Active</v>
      </c>
      <c r="Q250" s="4" t="str">
        <f t="shared" si="15"/>
        <v>PKWTT</v>
      </c>
      <c r="R250" s="7" t="s">
        <v>2982</v>
      </c>
      <c r="S250" s="4" t="s">
        <v>2643</v>
      </c>
      <c r="T250" s="4" t="s">
        <v>657</v>
      </c>
      <c r="U250" s="4" t="s">
        <v>2997</v>
      </c>
      <c r="V250" s="4" t="s">
        <v>2621</v>
      </c>
      <c r="W250" s="4" t="s">
        <v>3058</v>
      </c>
      <c r="X250" s="4" t="str">
        <f>_xlfn.XLOOKUP(V250,Reference!$O:$O,Reference!$N:$N,"Tidak Ketemu")</f>
        <v>G06</v>
      </c>
      <c r="Y250" s="4" t="str">
        <f t="shared" si="14"/>
        <v>TK/1</v>
      </c>
      <c r="Z250" s="10" t="s">
        <v>1746</v>
      </c>
      <c r="AA250" s="10" t="s">
        <v>1747</v>
      </c>
      <c r="AB250" s="7" t="s">
        <v>1748</v>
      </c>
      <c r="AC250" s="7" t="s">
        <v>3816</v>
      </c>
      <c r="AD250" s="17" t="s">
        <v>1749</v>
      </c>
      <c r="AE250" s="6" t="s">
        <v>1744</v>
      </c>
      <c r="AF250" s="6" t="s">
        <v>1745</v>
      </c>
      <c r="AG250" s="6" t="s">
        <v>818</v>
      </c>
      <c r="AN250" s="4"/>
    </row>
    <row r="251" spans="1:40" x14ac:dyDescent="0.35">
      <c r="A251" s="5">
        <v>202144360</v>
      </c>
      <c r="B251" s="5" t="s">
        <v>1663</v>
      </c>
      <c r="C251" s="5" t="s">
        <v>164</v>
      </c>
      <c r="D251" s="5" t="s">
        <v>475</v>
      </c>
      <c r="E251" s="6" t="s">
        <v>3447</v>
      </c>
      <c r="F251" s="7">
        <v>29973</v>
      </c>
      <c r="G251" s="10" t="s">
        <v>648</v>
      </c>
      <c r="H251" s="15" t="s">
        <v>2678</v>
      </c>
      <c r="I251" s="4">
        <f>MIN(COUNTIFS('Data Family'!A:A,A251,'Data Family'!F:F,"Child")+COUNTIFS('Data Family'!A:A,A251,'Data Family'!F:F,"&lt;&gt;Child",'Data Family'!J:J,"Housewife")+COUNTIFS('Data Family'!A:A,A251,'Data Family'!F:F,"&lt;&gt;Child",'Data Family'!J:J,"Unemployment"),3)</f>
        <v>1</v>
      </c>
      <c r="J251" s="10" t="s">
        <v>791</v>
      </c>
      <c r="K251" s="7" t="s">
        <v>691</v>
      </c>
      <c r="L251" s="7">
        <v>42168</v>
      </c>
      <c r="M251" s="7"/>
      <c r="N251" s="7"/>
      <c r="O251" s="4" t="str">
        <f t="shared" ca="1" si="12"/>
        <v/>
      </c>
      <c r="P251" s="4" t="str">
        <f t="shared" ca="1" si="13"/>
        <v>Active</v>
      </c>
      <c r="Q251" s="4" t="str">
        <f t="shared" si="15"/>
        <v>PKWTT</v>
      </c>
      <c r="R251" s="7" t="s">
        <v>2982</v>
      </c>
      <c r="S251" s="4" t="s">
        <v>2643</v>
      </c>
      <c r="T251" s="4" t="s">
        <v>657</v>
      </c>
      <c r="U251" s="4" t="s">
        <v>2998</v>
      </c>
      <c r="V251" s="4" t="s">
        <v>2621</v>
      </c>
      <c r="W251" s="4" t="s">
        <v>3059</v>
      </c>
      <c r="X251" s="4" t="str">
        <f>_xlfn.XLOOKUP(V251,Reference!$O:$O,Reference!$N:$N,"Tidak Ketemu")</f>
        <v>G06</v>
      </c>
      <c r="Y251" s="4" t="str">
        <f t="shared" si="14"/>
        <v>TK/1</v>
      </c>
      <c r="Z251" s="10" t="s">
        <v>1666</v>
      </c>
      <c r="AA251" s="10" t="s">
        <v>1667</v>
      </c>
      <c r="AB251" s="7" t="s">
        <v>1668</v>
      </c>
      <c r="AC251" s="7" t="s">
        <v>3816</v>
      </c>
      <c r="AD251" s="17" t="s">
        <v>1669</v>
      </c>
      <c r="AE251" s="6" t="s">
        <v>1664</v>
      </c>
      <c r="AF251" s="6" t="s">
        <v>1665</v>
      </c>
      <c r="AG251" s="6" t="s">
        <v>656</v>
      </c>
      <c r="AN251" s="4"/>
    </row>
    <row r="252" spans="1:40" x14ac:dyDescent="0.35">
      <c r="A252" s="5">
        <v>202345071</v>
      </c>
      <c r="B252" s="5" t="s">
        <v>1208</v>
      </c>
      <c r="C252" s="5" t="s">
        <v>232</v>
      </c>
      <c r="D252" s="5" t="s">
        <v>543</v>
      </c>
      <c r="E252" s="6" t="s">
        <v>3441</v>
      </c>
      <c r="F252" s="7">
        <v>32372</v>
      </c>
      <c r="G252" s="10" t="s">
        <v>648</v>
      </c>
      <c r="H252" s="15" t="s">
        <v>666</v>
      </c>
      <c r="I252" s="4">
        <f>MIN(COUNTIFS('Data Family'!A:A,A252,'Data Family'!F:F,"Child")+COUNTIFS('Data Family'!A:A,A252,'Data Family'!F:F,"&lt;&gt;Child",'Data Family'!J:J,"Housewife")+COUNTIFS('Data Family'!A:A,A252,'Data Family'!F:F,"&lt;&gt;Child",'Data Family'!J:J,"Unemployment"),3)</f>
        <v>0</v>
      </c>
      <c r="J252" s="10" t="s">
        <v>791</v>
      </c>
      <c r="K252" s="7" t="s">
        <v>677</v>
      </c>
      <c r="L252" s="7">
        <v>42515</v>
      </c>
      <c r="M252" s="7"/>
      <c r="N252" s="7"/>
      <c r="O252" s="4" t="str">
        <f t="shared" ca="1" si="12"/>
        <v/>
      </c>
      <c r="P252" s="4" t="str">
        <f t="shared" ca="1" si="13"/>
        <v>Active</v>
      </c>
      <c r="Q252" s="4" t="str">
        <f t="shared" si="15"/>
        <v>PKWTT</v>
      </c>
      <c r="R252" s="7" t="s">
        <v>2982</v>
      </c>
      <c r="S252" s="4" t="s">
        <v>2686</v>
      </c>
      <c r="T252" s="4" t="s">
        <v>657</v>
      </c>
      <c r="U252" s="4" t="s">
        <v>2998</v>
      </c>
      <c r="V252" s="4" t="s">
        <v>2624</v>
      </c>
      <c r="W252" s="4" t="s">
        <v>3057</v>
      </c>
      <c r="X252" s="4" t="str">
        <f>_xlfn.XLOOKUP(V252,Reference!$O:$O,Reference!$N:$N,"Tidak Ketemu")</f>
        <v>G07</v>
      </c>
      <c r="Y252" s="4" t="str">
        <f t="shared" si="14"/>
        <v>TK/0</v>
      </c>
      <c r="Z252" s="10" t="s">
        <v>2065</v>
      </c>
      <c r="AA252" s="10" t="s">
        <v>2066</v>
      </c>
      <c r="AB252" s="7" t="s">
        <v>2067</v>
      </c>
      <c r="AC252" s="7" t="s">
        <v>3816</v>
      </c>
      <c r="AD252" s="17" t="s">
        <v>2068</v>
      </c>
      <c r="AE252" s="6" t="s">
        <v>2064</v>
      </c>
      <c r="AF252" s="6" t="s">
        <v>1209</v>
      </c>
      <c r="AG252" s="6" t="s">
        <v>731</v>
      </c>
      <c r="AN252" s="4"/>
    </row>
    <row r="253" spans="1:40" x14ac:dyDescent="0.35">
      <c r="A253" s="5">
        <v>202345114</v>
      </c>
      <c r="B253" s="5" t="s">
        <v>2089</v>
      </c>
      <c r="C253" s="5" t="s">
        <v>237</v>
      </c>
      <c r="D253" s="5" t="s">
        <v>548</v>
      </c>
      <c r="E253" s="6" t="s">
        <v>3443</v>
      </c>
      <c r="F253" s="7">
        <v>32899</v>
      </c>
      <c r="G253" s="10" t="s">
        <v>648</v>
      </c>
      <c r="H253" s="15" t="s">
        <v>651</v>
      </c>
      <c r="I253" s="4">
        <f>MIN(COUNTIFS('Data Family'!A:A,A253,'Data Family'!F:F,"Child")+COUNTIFS('Data Family'!A:A,A253,'Data Family'!F:F,"&lt;&gt;Child",'Data Family'!J:J,"Housewife")+COUNTIFS('Data Family'!A:A,A253,'Data Family'!F:F,"&lt;&gt;Child",'Data Family'!J:J,"Unemployment"),3)</f>
        <v>3</v>
      </c>
      <c r="J253" s="10" t="s">
        <v>791</v>
      </c>
      <c r="K253" s="7" t="s">
        <v>701</v>
      </c>
      <c r="L253" s="7">
        <v>43653</v>
      </c>
      <c r="M253" s="7"/>
      <c r="N253" s="7"/>
      <c r="O253" s="4" t="str">
        <f t="shared" ca="1" si="12"/>
        <v/>
      </c>
      <c r="P253" s="4" t="str">
        <f t="shared" ca="1" si="13"/>
        <v>Active</v>
      </c>
      <c r="Q253" s="4" t="str">
        <f t="shared" si="15"/>
        <v>PKWTT</v>
      </c>
      <c r="R253" s="7" t="s">
        <v>2982</v>
      </c>
      <c r="S253" s="4" t="s">
        <v>2686</v>
      </c>
      <c r="T253" s="4" t="s">
        <v>657</v>
      </c>
      <c r="U253" s="4" t="s">
        <v>2998</v>
      </c>
      <c r="V253" s="4" t="s">
        <v>2624</v>
      </c>
      <c r="W253" s="4" t="s">
        <v>3057</v>
      </c>
      <c r="X253" s="4" t="str">
        <f>_xlfn.XLOOKUP(V253,Reference!$O:$O,Reference!$N:$N,"Tidak Ketemu")</f>
        <v>G07</v>
      </c>
      <c r="Y253" s="4" t="str">
        <f t="shared" si="14"/>
        <v>K/3</v>
      </c>
      <c r="Z253" s="10" t="s">
        <v>2092</v>
      </c>
      <c r="AA253" s="10" t="s">
        <v>2093</v>
      </c>
      <c r="AB253" s="7" t="s">
        <v>2094</v>
      </c>
      <c r="AC253" s="7" t="s">
        <v>3816</v>
      </c>
      <c r="AD253" s="17" t="s">
        <v>2095</v>
      </c>
      <c r="AE253" s="6" t="s">
        <v>2091</v>
      </c>
      <c r="AF253" s="6" t="s">
        <v>2090</v>
      </c>
      <c r="AG253" s="6" t="s">
        <v>694</v>
      </c>
      <c r="AN253" s="4"/>
    </row>
    <row r="254" spans="1:40" x14ac:dyDescent="0.35">
      <c r="A254" s="5">
        <v>202244562</v>
      </c>
      <c r="B254" s="5" t="s">
        <v>1149</v>
      </c>
      <c r="C254" s="5" t="s">
        <v>86</v>
      </c>
      <c r="D254" s="5" t="s">
        <v>397</v>
      </c>
      <c r="E254" s="6" t="s">
        <v>664</v>
      </c>
      <c r="F254" s="7">
        <v>32288</v>
      </c>
      <c r="G254" s="10" t="s">
        <v>676</v>
      </c>
      <c r="H254" s="15" t="s">
        <v>651</v>
      </c>
      <c r="I254" s="4">
        <f>MIN(COUNTIFS('Data Family'!A:A,A254,'Data Family'!F:F,"Child")+COUNTIFS('Data Family'!A:A,A254,'Data Family'!F:F,"&lt;&gt;Child",'Data Family'!J:J,"Housewife")+COUNTIFS('Data Family'!A:A,A254,'Data Family'!F:F,"&lt;&gt;Child",'Data Family'!J:J,"Unemployment"),3)</f>
        <v>0</v>
      </c>
      <c r="J254" s="10" t="s">
        <v>791</v>
      </c>
      <c r="K254" s="7" t="s">
        <v>691</v>
      </c>
      <c r="L254" s="7">
        <v>42736</v>
      </c>
      <c r="M254" s="7"/>
      <c r="N254" s="7"/>
      <c r="O254" s="4" t="str">
        <f t="shared" ca="1" si="12"/>
        <v/>
      </c>
      <c r="P254" s="4" t="str">
        <f t="shared" ca="1" si="13"/>
        <v>Active</v>
      </c>
      <c r="Q254" s="4" t="str">
        <f t="shared" si="15"/>
        <v>PKWTT</v>
      </c>
      <c r="R254" s="7" t="s">
        <v>2982</v>
      </c>
      <c r="S254" s="4" t="s">
        <v>2693</v>
      </c>
      <c r="T254" s="4" t="s">
        <v>681</v>
      </c>
      <c r="U254" s="4" t="s">
        <v>2995</v>
      </c>
      <c r="V254" s="4" t="s">
        <v>2621</v>
      </c>
      <c r="W254" s="4" t="s">
        <v>3065</v>
      </c>
      <c r="X254" s="4" t="str">
        <f>_xlfn.XLOOKUP(V254,Reference!$O:$O,Reference!$N:$N,"Tidak Ketemu")</f>
        <v>G06</v>
      </c>
      <c r="Y254" s="4" t="str">
        <f t="shared" si="14"/>
        <v>TK/0</v>
      </c>
      <c r="Z254" s="10" t="s">
        <v>1152</v>
      </c>
      <c r="AA254" s="10" t="s">
        <v>1153</v>
      </c>
      <c r="AB254" s="7" t="s">
        <v>1154</v>
      </c>
      <c r="AC254" s="7" t="s">
        <v>3816</v>
      </c>
      <c r="AD254" s="17" t="s">
        <v>1155</v>
      </c>
      <c r="AE254" s="6" t="s">
        <v>1150</v>
      </c>
      <c r="AF254" s="6" t="s">
        <v>1151</v>
      </c>
      <c r="AG254" s="6" t="s">
        <v>704</v>
      </c>
      <c r="AN254" s="4"/>
    </row>
    <row r="255" spans="1:40" x14ac:dyDescent="0.35">
      <c r="A255" s="5">
        <v>202043906</v>
      </c>
      <c r="B255" s="5" t="s">
        <v>2659</v>
      </c>
      <c r="C255" s="5" t="s">
        <v>266</v>
      </c>
      <c r="D255" s="5" t="s">
        <v>577</v>
      </c>
      <c r="E255" s="6" t="s">
        <v>3435</v>
      </c>
      <c r="F255" s="7">
        <v>32065</v>
      </c>
      <c r="G255" s="10" t="s">
        <v>676</v>
      </c>
      <c r="H255" s="15" t="s">
        <v>651</v>
      </c>
      <c r="I255" s="4">
        <f>MIN(COUNTIFS('Data Family'!A:A,A255,'Data Family'!F:F,"Child")+COUNTIFS('Data Family'!A:A,A255,'Data Family'!F:F,"&lt;&gt;Child",'Data Family'!J:J,"Housewife")+COUNTIFS('Data Family'!A:A,A255,'Data Family'!F:F,"&lt;&gt;Child",'Data Family'!J:J,"Unemployment"),3)</f>
        <v>0</v>
      </c>
      <c r="J255" s="10" t="s">
        <v>791</v>
      </c>
      <c r="K255" s="7" t="s">
        <v>701</v>
      </c>
      <c r="L255" s="7">
        <v>43540</v>
      </c>
      <c r="M255" s="7"/>
      <c r="N255" s="7"/>
      <c r="O255" s="4" t="str">
        <f t="shared" ca="1" si="12"/>
        <v/>
      </c>
      <c r="P255" s="4" t="str">
        <f t="shared" ca="1" si="13"/>
        <v>Active</v>
      </c>
      <c r="Q255" s="4" t="str">
        <f t="shared" si="15"/>
        <v>PKWTT</v>
      </c>
      <c r="R255" s="7" t="s">
        <v>2982</v>
      </c>
      <c r="S255" s="4" t="s">
        <v>2693</v>
      </c>
      <c r="T255" s="4" t="s">
        <v>681</v>
      </c>
      <c r="U255" s="4" t="s">
        <v>2995</v>
      </c>
      <c r="V255" s="4" t="s">
        <v>2624</v>
      </c>
      <c r="W255" s="4" t="s">
        <v>3066</v>
      </c>
      <c r="X255" s="4" t="str">
        <f>_xlfn.XLOOKUP(V255,Reference!$O:$O,Reference!$N:$N,"Tidak Ketemu")</f>
        <v>G07</v>
      </c>
      <c r="Y255" s="4" t="str">
        <f t="shared" si="14"/>
        <v>TK/0</v>
      </c>
      <c r="Z255" s="10" t="s">
        <v>2250</v>
      </c>
      <c r="AA255" s="10" t="s">
        <v>2251</v>
      </c>
      <c r="AB255" s="7" t="s">
        <v>2252</v>
      </c>
      <c r="AC255" s="7" t="s">
        <v>3816</v>
      </c>
      <c r="AD255" s="17" t="s">
        <v>2253</v>
      </c>
      <c r="AE255" s="6" t="s">
        <v>2249</v>
      </c>
      <c r="AF255" s="6" t="s">
        <v>1191</v>
      </c>
      <c r="AG255" s="6" t="s">
        <v>731</v>
      </c>
      <c r="AN255" s="4"/>
    </row>
    <row r="256" spans="1:40" x14ac:dyDescent="0.35">
      <c r="A256" s="5">
        <v>201642410</v>
      </c>
      <c r="B256" s="5" t="s">
        <v>3080</v>
      </c>
      <c r="C256" s="5" t="s">
        <v>130</v>
      </c>
      <c r="D256" s="5" t="s">
        <v>441</v>
      </c>
      <c r="E256" s="6" t="s">
        <v>3426</v>
      </c>
      <c r="F256" s="7">
        <v>35360</v>
      </c>
      <c r="G256" s="10" t="s">
        <v>648</v>
      </c>
      <c r="H256" s="15" t="s">
        <v>651</v>
      </c>
      <c r="I256" s="4">
        <f>MIN(COUNTIFS('Data Family'!A:A,A256,'Data Family'!F:F,"Child")+COUNTIFS('Data Family'!A:A,A256,'Data Family'!F:F,"&lt;&gt;Child",'Data Family'!J:J,"Housewife")+COUNTIFS('Data Family'!A:A,A256,'Data Family'!F:F,"&lt;&gt;Child",'Data Family'!J:J,"Unemployment"),3)</f>
        <v>1</v>
      </c>
      <c r="J256" s="10" t="s">
        <v>791</v>
      </c>
      <c r="K256" s="7" t="s">
        <v>677</v>
      </c>
      <c r="L256" s="7">
        <v>44602</v>
      </c>
      <c r="M256" s="7">
        <v>46428</v>
      </c>
      <c r="N256" s="7"/>
      <c r="O256" s="4" t="str">
        <f t="shared" ca="1" si="12"/>
        <v/>
      </c>
      <c r="P256" s="4" t="str">
        <f t="shared" ca="1" si="13"/>
        <v>Active</v>
      </c>
      <c r="Q256" s="4" t="str">
        <f t="shared" si="15"/>
        <v>PKWT</v>
      </c>
      <c r="R256" s="7" t="s">
        <v>2982</v>
      </c>
      <c r="S256" s="4" t="s">
        <v>2693</v>
      </c>
      <c r="T256" s="4" t="s">
        <v>681</v>
      </c>
      <c r="U256" s="4" t="s">
        <v>2995</v>
      </c>
      <c r="V256" s="4" t="s">
        <v>3073</v>
      </c>
      <c r="W256" s="4" t="s">
        <v>759</v>
      </c>
      <c r="X256" s="4" t="str">
        <f>_xlfn.XLOOKUP(V256,Reference!$O:$O,Reference!$N:$N,"Tidak Ketemu")</f>
        <v>G10</v>
      </c>
      <c r="Y256" s="4" t="str">
        <f t="shared" si="14"/>
        <v>K/1</v>
      </c>
      <c r="Z256" s="10" t="s">
        <v>1460</v>
      </c>
      <c r="AA256" s="10" t="s">
        <v>1461</v>
      </c>
      <c r="AB256" s="7" t="s">
        <v>1462</v>
      </c>
      <c r="AC256" s="7" t="s">
        <v>3816</v>
      </c>
      <c r="AD256" s="17" t="s">
        <v>1463</v>
      </c>
      <c r="AE256" s="6" t="s">
        <v>1459</v>
      </c>
      <c r="AF256" s="6" t="s">
        <v>1200</v>
      </c>
      <c r="AG256" s="6" t="s">
        <v>778</v>
      </c>
      <c r="AN256" s="4"/>
    </row>
    <row r="257" spans="1:40" x14ac:dyDescent="0.35">
      <c r="A257" s="5">
        <v>201943644</v>
      </c>
      <c r="B257" s="5" t="s">
        <v>2535</v>
      </c>
      <c r="C257" s="5" t="s">
        <v>320</v>
      </c>
      <c r="D257" s="5" t="s">
        <v>631</v>
      </c>
      <c r="E257" s="6" t="s">
        <v>3426</v>
      </c>
      <c r="F257" s="7">
        <v>35529</v>
      </c>
      <c r="G257" s="10" t="s">
        <v>676</v>
      </c>
      <c r="H257" s="15" t="s">
        <v>651</v>
      </c>
      <c r="I257" s="4">
        <f>MIN(COUNTIFS('Data Family'!A:A,A257,'Data Family'!F:F,"Child")+COUNTIFS('Data Family'!A:A,A257,'Data Family'!F:F,"&lt;&gt;Child",'Data Family'!J:J,"Housewife")+COUNTIFS('Data Family'!A:A,A257,'Data Family'!F:F,"&lt;&gt;Child",'Data Family'!J:J,"Unemployment"),3)</f>
        <v>1</v>
      </c>
      <c r="J257" s="10" t="s">
        <v>791</v>
      </c>
      <c r="K257" s="7" t="s">
        <v>652</v>
      </c>
      <c r="L257" s="7">
        <v>44375</v>
      </c>
      <c r="M257" s="7"/>
      <c r="N257" s="7"/>
      <c r="O257" s="4" t="str">
        <f t="shared" ca="1" si="12"/>
        <v/>
      </c>
      <c r="P257" s="4" t="str">
        <f t="shared" ca="1" si="13"/>
        <v>Active</v>
      </c>
      <c r="Q257" s="4" t="str">
        <f t="shared" si="15"/>
        <v>PKWTT</v>
      </c>
      <c r="R257" s="7" t="s">
        <v>2982</v>
      </c>
      <c r="S257" s="4" t="s">
        <v>2693</v>
      </c>
      <c r="T257" s="4" t="s">
        <v>681</v>
      </c>
      <c r="U257" s="4" t="s">
        <v>2995</v>
      </c>
      <c r="V257" s="4" t="s">
        <v>3073</v>
      </c>
      <c r="W257" s="4" t="s">
        <v>759</v>
      </c>
      <c r="X257" s="4" t="str">
        <f>_xlfn.XLOOKUP(V257,Reference!$O:$O,Reference!$N:$N,"Tidak Ketemu")</f>
        <v>G10</v>
      </c>
      <c r="Y257" s="4" t="str">
        <f t="shared" si="14"/>
        <v>TK/0</v>
      </c>
      <c r="Z257" s="10" t="s">
        <v>2538</v>
      </c>
      <c r="AA257" s="10" t="s">
        <v>2539</v>
      </c>
      <c r="AB257" s="7" t="s">
        <v>2540</v>
      </c>
      <c r="AC257" s="7" t="s">
        <v>3816</v>
      </c>
      <c r="AD257" s="17" t="s">
        <v>2541</v>
      </c>
      <c r="AE257" s="6" t="s">
        <v>2536</v>
      </c>
      <c r="AF257" s="6" t="s">
        <v>2537</v>
      </c>
      <c r="AG257" s="6" t="s">
        <v>731</v>
      </c>
      <c r="AN257" s="4"/>
    </row>
    <row r="258" spans="1:40" x14ac:dyDescent="0.35">
      <c r="A258" s="5">
        <v>202043864</v>
      </c>
      <c r="B258" s="5" t="s">
        <v>3081</v>
      </c>
      <c r="C258" s="5" t="s">
        <v>47</v>
      </c>
      <c r="D258" s="5" t="s">
        <v>358</v>
      </c>
      <c r="E258" s="6" t="s">
        <v>3426</v>
      </c>
      <c r="F258" s="7">
        <v>35310</v>
      </c>
      <c r="G258" s="10" t="s">
        <v>648</v>
      </c>
      <c r="H258" s="15" t="s">
        <v>666</v>
      </c>
      <c r="I258" s="4">
        <f>MIN(COUNTIFS('Data Family'!A:A,A258,'Data Family'!F:F,"Child")+COUNTIFS('Data Family'!A:A,A258,'Data Family'!F:F,"&lt;&gt;Child",'Data Family'!J:J,"Housewife")+COUNTIFS('Data Family'!A:A,A258,'Data Family'!F:F,"&lt;&gt;Child",'Data Family'!J:J,"Unemployment"),3)</f>
        <v>0</v>
      </c>
      <c r="J258" s="10" t="s">
        <v>791</v>
      </c>
      <c r="K258" s="7" t="s">
        <v>691</v>
      </c>
      <c r="L258" s="7">
        <v>44960</v>
      </c>
      <c r="M258" s="7">
        <v>46786</v>
      </c>
      <c r="N258" s="7"/>
      <c r="O258" s="4" t="str">
        <f t="shared" ref="O258:O307" ca="1" si="16">IF(AND(M258&lt;&gt;"", M258&lt;=TODAY(), N258=""), "End of Contract", "")</f>
        <v/>
      </c>
      <c r="P258" s="4" t="str">
        <f t="shared" ref="P258:P321" ca="1" si="17">IF(OR(N258&lt;&gt;"", AND(M258&lt;&gt;"",M258&lt;=TODAY())),"Non-Active","Active")</f>
        <v>Active</v>
      </c>
      <c r="Q258" s="4" t="str">
        <f t="shared" si="15"/>
        <v>PKWT</v>
      </c>
      <c r="R258" s="7" t="s">
        <v>2982</v>
      </c>
      <c r="S258" s="4" t="s">
        <v>2693</v>
      </c>
      <c r="T258" s="4" t="s">
        <v>681</v>
      </c>
      <c r="U258" s="4" t="s">
        <v>2995</v>
      </c>
      <c r="V258" s="4" t="s">
        <v>3073</v>
      </c>
      <c r="W258" s="4" t="s">
        <v>759</v>
      </c>
      <c r="X258" s="4" t="str">
        <f>_xlfn.XLOOKUP(V258,Reference!$O:$O,Reference!$N:$N,"Tidak Ketemu")</f>
        <v>G10</v>
      </c>
      <c r="Y258" s="4" t="str">
        <f t="shared" ref="Y258:Y321" si="18">IF(AND(G258="Female",H258="Married"),"TK/0",IF(H258="Married","K/"&amp;I258,"TK/"&amp;I258))</f>
        <v>TK/0</v>
      </c>
      <c r="Z258" s="10" t="s">
        <v>859</v>
      </c>
      <c r="AA258" s="10" t="s">
        <v>860</v>
      </c>
      <c r="AB258" s="7" t="s">
        <v>861</v>
      </c>
      <c r="AC258" s="7" t="s">
        <v>3816</v>
      </c>
      <c r="AD258" s="17" t="s">
        <v>862</v>
      </c>
      <c r="AE258" s="6" t="s">
        <v>858</v>
      </c>
      <c r="AF258" s="8" t="s">
        <v>2647</v>
      </c>
      <c r="AG258" s="6" t="s">
        <v>680</v>
      </c>
      <c r="AN258" s="4"/>
    </row>
    <row r="259" spans="1:40" x14ac:dyDescent="0.35">
      <c r="A259" s="5">
        <v>202044136</v>
      </c>
      <c r="B259" s="5" t="s">
        <v>3082</v>
      </c>
      <c r="C259" s="5" t="s">
        <v>117</v>
      </c>
      <c r="D259" s="5" t="s">
        <v>428</v>
      </c>
      <c r="E259" s="6" t="s">
        <v>3427</v>
      </c>
      <c r="F259" s="7">
        <v>36492</v>
      </c>
      <c r="G259" s="10" t="s">
        <v>648</v>
      </c>
      <c r="H259" s="15" t="s">
        <v>666</v>
      </c>
      <c r="I259" s="4">
        <f>MIN(COUNTIFS('Data Family'!A:A,A259,'Data Family'!F:F,"Child")+COUNTIFS('Data Family'!A:A,A259,'Data Family'!F:F,"&lt;&gt;Child",'Data Family'!J:J,"Housewife")+COUNTIFS('Data Family'!A:A,A259,'Data Family'!F:F,"&lt;&gt;Child",'Data Family'!J:J,"Unemployment"),3)</f>
        <v>0</v>
      </c>
      <c r="J259" s="10" t="s">
        <v>791</v>
      </c>
      <c r="K259" s="7" t="s">
        <v>652</v>
      </c>
      <c r="L259" s="7">
        <v>45597</v>
      </c>
      <c r="M259" s="7">
        <v>46327</v>
      </c>
      <c r="N259" s="7"/>
      <c r="O259" s="4" t="str">
        <f t="shared" ca="1" si="16"/>
        <v/>
      </c>
      <c r="P259" s="4" t="str">
        <f t="shared" ca="1" si="17"/>
        <v>Active</v>
      </c>
      <c r="Q259" s="4" t="str">
        <f t="shared" ref="Q259:Q322" si="19">IF(M259="","PKWTT",IF(DATEDIF(L259,M259,"M")&gt;63,"PKWTT",IF(DATEDIF(L259,M259,"M")&gt;60,"PKWT",IF(DATEDIF(L259,M259,"M")&gt;36,"PKWT",IF(DATEDIF(L259,M259,"M")&gt;12, "PKWT","PKWT")))))</f>
        <v>PKWT</v>
      </c>
      <c r="R259" s="7" t="s">
        <v>2982</v>
      </c>
      <c r="S259" s="4" t="s">
        <v>2693</v>
      </c>
      <c r="T259" s="4" t="s">
        <v>681</v>
      </c>
      <c r="U259" s="4" t="s">
        <v>2995</v>
      </c>
      <c r="V259" s="4" t="s">
        <v>3073</v>
      </c>
      <c r="W259" s="4" t="s">
        <v>759</v>
      </c>
      <c r="X259" s="4" t="str">
        <f>_xlfn.XLOOKUP(V259,Reference!$O:$O,Reference!$N:$N,"Tidak Ketemu")</f>
        <v>G10</v>
      </c>
      <c r="Y259" s="4" t="str">
        <f t="shared" si="18"/>
        <v>TK/0</v>
      </c>
      <c r="Z259" s="10" t="s">
        <v>1371</v>
      </c>
      <c r="AA259" s="10" t="s">
        <v>1372</v>
      </c>
      <c r="AB259" s="7" t="s">
        <v>1373</v>
      </c>
      <c r="AC259" s="7" t="s">
        <v>3816</v>
      </c>
      <c r="AD259" s="17" t="s">
        <v>1374</v>
      </c>
      <c r="AE259" s="6" t="s">
        <v>1370</v>
      </c>
      <c r="AF259" s="6" t="s">
        <v>1120</v>
      </c>
      <c r="AG259" s="6" t="s">
        <v>818</v>
      </c>
      <c r="AN259" s="4"/>
    </row>
    <row r="260" spans="1:40" x14ac:dyDescent="0.35">
      <c r="A260" s="5">
        <v>202345127</v>
      </c>
      <c r="B260" s="5" t="s">
        <v>865</v>
      </c>
      <c r="C260" s="5" t="s">
        <v>162</v>
      </c>
      <c r="D260" s="5" t="s">
        <v>473</v>
      </c>
      <c r="E260" s="6" t="s">
        <v>689</v>
      </c>
      <c r="F260" s="7">
        <v>38181</v>
      </c>
      <c r="G260" s="10" t="s">
        <v>676</v>
      </c>
      <c r="H260" s="15" t="s">
        <v>666</v>
      </c>
      <c r="I260" s="4">
        <f>MIN(COUNTIFS('Data Family'!A:A,A260,'Data Family'!F:F,"Child")+COUNTIFS('Data Family'!A:A,A260,'Data Family'!F:F,"&lt;&gt;Child",'Data Family'!J:J,"Housewife")+COUNTIFS('Data Family'!A:A,A260,'Data Family'!F:F,"&lt;&gt;Child",'Data Family'!J:J,"Unemployment"),3)</f>
        <v>0</v>
      </c>
      <c r="J260" s="10" t="s">
        <v>791</v>
      </c>
      <c r="K260" s="7" t="s">
        <v>677</v>
      </c>
      <c r="L260" s="7">
        <v>45858</v>
      </c>
      <c r="M260" s="7">
        <v>46588</v>
      </c>
      <c r="N260" s="7"/>
      <c r="O260" s="4" t="str">
        <f t="shared" ca="1" si="16"/>
        <v/>
      </c>
      <c r="P260" s="4" t="str">
        <f t="shared" ca="1" si="17"/>
        <v>Active</v>
      </c>
      <c r="Q260" s="4" t="str">
        <f t="shared" si="19"/>
        <v>PKWT</v>
      </c>
      <c r="R260" s="7" t="s">
        <v>2978</v>
      </c>
      <c r="S260" s="4" t="s">
        <v>2991</v>
      </c>
      <c r="T260" s="4" t="s">
        <v>681</v>
      </c>
      <c r="U260" s="4" t="s">
        <v>2995</v>
      </c>
      <c r="V260" s="4" t="s">
        <v>2640</v>
      </c>
      <c r="W260" s="4" t="s">
        <v>2666</v>
      </c>
      <c r="X260" s="4" t="str">
        <f>_xlfn.XLOOKUP(V260,Reference!$O:$O,Reference!$N:$N,"Tidak Ketemu")</f>
        <v>G12</v>
      </c>
      <c r="Y260" s="4" t="str">
        <f t="shared" si="18"/>
        <v>TK/0</v>
      </c>
      <c r="Z260" s="10" t="s">
        <v>1652</v>
      </c>
      <c r="AA260" s="10" t="s">
        <v>1653</v>
      </c>
      <c r="AB260" s="7" t="s">
        <v>1654</v>
      </c>
      <c r="AC260" s="7" t="s">
        <v>3816</v>
      </c>
      <c r="AD260" s="17" t="s">
        <v>1655</v>
      </c>
      <c r="AE260" s="6" t="s">
        <v>1651</v>
      </c>
      <c r="AF260" s="6" t="s">
        <v>867</v>
      </c>
      <c r="AG260" s="6" t="s">
        <v>778</v>
      </c>
      <c r="AN260" s="4"/>
    </row>
    <row r="261" spans="1:40" x14ac:dyDescent="0.35">
      <c r="A261" s="5">
        <v>201742972</v>
      </c>
      <c r="B261" s="5" t="s">
        <v>2657</v>
      </c>
      <c r="C261" s="5" t="s">
        <v>51</v>
      </c>
      <c r="D261" s="5" t="s">
        <v>362</v>
      </c>
      <c r="E261" s="6" t="s">
        <v>3435</v>
      </c>
      <c r="F261" s="7">
        <v>38145</v>
      </c>
      <c r="G261" s="10" t="s">
        <v>676</v>
      </c>
      <c r="H261" s="15" t="s">
        <v>666</v>
      </c>
      <c r="I261" s="4">
        <f>MIN(COUNTIFS('Data Family'!A:A,A261,'Data Family'!F:F,"Child")+COUNTIFS('Data Family'!A:A,A261,'Data Family'!F:F,"&lt;&gt;Child",'Data Family'!J:J,"Housewife")+COUNTIFS('Data Family'!A:A,A261,'Data Family'!F:F,"&lt;&gt;Child",'Data Family'!J:J,"Unemployment"),3)</f>
        <v>0</v>
      </c>
      <c r="J261" s="10" t="s">
        <v>791</v>
      </c>
      <c r="K261" s="7" t="s">
        <v>677</v>
      </c>
      <c r="L261" s="7">
        <v>46188</v>
      </c>
      <c r="M261" s="7">
        <v>48014</v>
      </c>
      <c r="N261" s="7"/>
      <c r="O261" s="4" t="str">
        <f t="shared" ca="1" si="16"/>
        <v/>
      </c>
      <c r="P261" s="4" t="str">
        <f t="shared" ca="1" si="17"/>
        <v>Active</v>
      </c>
      <c r="Q261" s="4" t="str">
        <f t="shared" si="19"/>
        <v>PKWT</v>
      </c>
      <c r="R261" s="7" t="s">
        <v>2980</v>
      </c>
      <c r="S261" s="4" t="s">
        <v>2988</v>
      </c>
      <c r="T261" s="4" t="s">
        <v>681</v>
      </c>
      <c r="U261" s="4" t="s">
        <v>2995</v>
      </c>
      <c r="V261" s="4" t="s">
        <v>2640</v>
      </c>
      <c r="W261" s="4" t="s">
        <v>2666</v>
      </c>
      <c r="X261" s="4" t="str">
        <f>_xlfn.XLOOKUP(V261,Reference!$O:$O,Reference!$N:$N,"Tidak Ketemu")</f>
        <v>G12</v>
      </c>
      <c r="Y261" s="4" t="str">
        <f t="shared" si="18"/>
        <v>TK/0</v>
      </c>
      <c r="Z261" s="10" t="s">
        <v>888</v>
      </c>
      <c r="AA261" s="10" t="s">
        <v>889</v>
      </c>
      <c r="AB261" s="7" t="s">
        <v>890</v>
      </c>
      <c r="AC261" s="7" t="s">
        <v>3816</v>
      </c>
      <c r="AD261" s="17" t="s">
        <v>891</v>
      </c>
      <c r="AE261" s="6" t="s">
        <v>886</v>
      </c>
      <c r="AF261" s="6" t="s">
        <v>887</v>
      </c>
      <c r="AG261" s="6" t="s">
        <v>778</v>
      </c>
      <c r="AN261" s="4"/>
    </row>
    <row r="262" spans="1:40" x14ac:dyDescent="0.35">
      <c r="A262" s="5">
        <v>202144523</v>
      </c>
      <c r="B262" s="5" t="s">
        <v>1201</v>
      </c>
      <c r="C262" s="5" t="s">
        <v>202</v>
      </c>
      <c r="D262" s="5" t="s">
        <v>513</v>
      </c>
      <c r="E262" s="6" t="s">
        <v>768</v>
      </c>
      <c r="F262" s="7">
        <v>40000</v>
      </c>
      <c r="G262" s="10" t="s">
        <v>676</v>
      </c>
      <c r="H262" s="15" t="s">
        <v>666</v>
      </c>
      <c r="I262" s="4">
        <f>MIN(COUNTIFS('Data Family'!A:A,A262,'Data Family'!F:F,"Child")+COUNTIFS('Data Family'!A:A,A262,'Data Family'!F:F,"&lt;&gt;Child",'Data Family'!J:J,"Housewife")+COUNTIFS('Data Family'!A:A,A262,'Data Family'!F:F,"&lt;&gt;Child",'Data Family'!J:J,"Unemployment"),3)</f>
        <v>0</v>
      </c>
      <c r="J262" s="10" t="s">
        <v>791</v>
      </c>
      <c r="K262" s="7" t="s">
        <v>701</v>
      </c>
      <c r="L262" s="7">
        <v>45984</v>
      </c>
      <c r="M262" s="7">
        <v>46349</v>
      </c>
      <c r="N262" s="7"/>
      <c r="O262" s="4" t="str">
        <f t="shared" ca="1" si="16"/>
        <v/>
      </c>
      <c r="P262" s="4" t="str">
        <f t="shared" ca="1" si="17"/>
        <v>Active</v>
      </c>
      <c r="Q262" s="4" t="str">
        <f t="shared" si="19"/>
        <v>PKWT</v>
      </c>
      <c r="R262" s="7" t="s">
        <v>2980</v>
      </c>
      <c r="S262" s="4" t="s">
        <v>2988</v>
      </c>
      <c r="T262" s="4" t="s">
        <v>681</v>
      </c>
      <c r="U262" s="4" t="s">
        <v>2995</v>
      </c>
      <c r="V262" s="4" t="s">
        <v>2681</v>
      </c>
      <c r="W262" s="4" t="s">
        <v>3416</v>
      </c>
      <c r="X262" s="4" t="str">
        <f>_xlfn.XLOOKUP(V262,Reference!$O:$O,Reference!$N:$N,"Tidak Ketemu")</f>
        <v>G14</v>
      </c>
      <c r="Y262" s="4" t="str">
        <f t="shared" si="18"/>
        <v>TK/0</v>
      </c>
      <c r="Z262" s="10" t="s">
        <v>1891</v>
      </c>
      <c r="AA262" s="10" t="s">
        <v>1892</v>
      </c>
      <c r="AB262" s="7" t="s">
        <v>1893</v>
      </c>
      <c r="AC262" s="7" t="s">
        <v>3817</v>
      </c>
      <c r="AD262" s="7" t="s">
        <v>1894</v>
      </c>
      <c r="AE262" s="6" t="s">
        <v>1890</v>
      </c>
      <c r="AF262" s="6" t="s">
        <v>1203</v>
      </c>
      <c r="AG262" s="6" t="s">
        <v>731</v>
      </c>
      <c r="AN262" s="4"/>
    </row>
    <row r="263" spans="1:40" x14ac:dyDescent="0.35">
      <c r="A263" s="5">
        <v>202144251</v>
      </c>
      <c r="B263" s="5" t="s">
        <v>3026</v>
      </c>
      <c r="C263" s="5" t="s">
        <v>223</v>
      </c>
      <c r="D263" s="5" t="s">
        <v>534</v>
      </c>
      <c r="E263" s="6" t="s">
        <v>689</v>
      </c>
      <c r="F263" s="7">
        <v>35785</v>
      </c>
      <c r="G263" s="10" t="s">
        <v>676</v>
      </c>
      <c r="H263" s="15" t="s">
        <v>651</v>
      </c>
      <c r="I263" s="4">
        <f>MIN(COUNTIFS('Data Family'!A:A,A263,'Data Family'!F:F,"Child")+COUNTIFS('Data Family'!A:A,A263,'Data Family'!F:F,"&lt;&gt;Child",'Data Family'!J:J,"Housewife")+COUNTIFS('Data Family'!A:A,A263,'Data Family'!F:F,"&lt;&gt;Child",'Data Family'!J:J,"Unemployment"),3)</f>
        <v>0</v>
      </c>
      <c r="J263" s="10" t="s">
        <v>791</v>
      </c>
      <c r="K263" s="7" t="s">
        <v>652</v>
      </c>
      <c r="L263" s="7">
        <v>44616</v>
      </c>
      <c r="M263" s="7"/>
      <c r="N263" s="7"/>
      <c r="O263" s="4" t="str">
        <f t="shared" ca="1" si="16"/>
        <v/>
      </c>
      <c r="P263" s="4" t="str">
        <f t="shared" ca="1" si="17"/>
        <v>Active</v>
      </c>
      <c r="Q263" s="4" t="str">
        <f t="shared" si="19"/>
        <v>PKWTT</v>
      </c>
      <c r="R263" s="7" t="s">
        <v>2982</v>
      </c>
      <c r="S263" s="4" t="s">
        <v>2693</v>
      </c>
      <c r="T263" s="4" t="s">
        <v>2643</v>
      </c>
      <c r="U263" s="4" t="s">
        <v>2994</v>
      </c>
      <c r="V263" s="4" t="s">
        <v>3073</v>
      </c>
      <c r="W263" s="4" t="s">
        <v>2641</v>
      </c>
      <c r="X263" s="4" t="str">
        <f>_xlfn.XLOOKUP(V263,Reference!$O:$O,Reference!$N:$N,"Tidak Ketemu")</f>
        <v>G10</v>
      </c>
      <c r="Y263" s="4" t="str">
        <f t="shared" si="18"/>
        <v>TK/0</v>
      </c>
      <c r="Z263" s="10" t="s">
        <v>2012</v>
      </c>
      <c r="AA263" s="10" t="s">
        <v>2013</v>
      </c>
      <c r="AB263" s="7" t="s">
        <v>2014</v>
      </c>
      <c r="AC263" s="7" t="s">
        <v>3816</v>
      </c>
      <c r="AD263" s="17" t="s">
        <v>2015</v>
      </c>
      <c r="AE263" s="6" t="s">
        <v>2010</v>
      </c>
      <c r="AF263" s="6" t="s">
        <v>2011</v>
      </c>
      <c r="AG263" s="6" t="s">
        <v>656</v>
      </c>
      <c r="AN263" s="4"/>
    </row>
    <row r="264" spans="1:40" x14ac:dyDescent="0.35">
      <c r="A264" s="5">
        <v>202344949</v>
      </c>
      <c r="B264" s="5" t="s">
        <v>1158</v>
      </c>
      <c r="C264" s="5" t="s">
        <v>283</v>
      </c>
      <c r="D264" s="5" t="s">
        <v>594</v>
      </c>
      <c r="E264" s="6" t="s">
        <v>689</v>
      </c>
      <c r="F264" s="7">
        <v>36699</v>
      </c>
      <c r="G264" s="10" t="s">
        <v>676</v>
      </c>
      <c r="H264" s="15" t="s">
        <v>666</v>
      </c>
      <c r="I264" s="4">
        <f>MIN(COUNTIFS('Data Family'!A:A,A264,'Data Family'!F:F,"Child")+COUNTIFS('Data Family'!A:A,A264,'Data Family'!F:F,"&lt;&gt;Child",'Data Family'!J:J,"Housewife")+COUNTIFS('Data Family'!A:A,A264,'Data Family'!F:F,"&lt;&gt;Child",'Data Family'!J:J,"Unemployment"),3)</f>
        <v>0</v>
      </c>
      <c r="J264" s="10" t="s">
        <v>791</v>
      </c>
      <c r="K264" s="7" t="s">
        <v>652</v>
      </c>
      <c r="L264" s="7">
        <v>44949</v>
      </c>
      <c r="M264" s="7">
        <v>46775</v>
      </c>
      <c r="N264" s="7"/>
      <c r="O264" s="4" t="str">
        <f t="shared" ca="1" si="16"/>
        <v/>
      </c>
      <c r="P264" s="4" t="str">
        <f t="shared" ca="1" si="17"/>
        <v>Active</v>
      </c>
      <c r="Q264" s="4" t="str">
        <f t="shared" si="19"/>
        <v>PKWT</v>
      </c>
      <c r="R264" s="7" t="s">
        <v>2982</v>
      </c>
      <c r="S264" s="4" t="s">
        <v>2676</v>
      </c>
      <c r="T264" s="4" t="s">
        <v>2643</v>
      </c>
      <c r="U264" s="4" t="s">
        <v>2994</v>
      </c>
      <c r="V264" s="4" t="s">
        <v>659</v>
      </c>
      <c r="W264" s="4" t="s">
        <v>2655</v>
      </c>
      <c r="X264" s="4" t="str">
        <f>_xlfn.XLOOKUP(V264,Reference!$O:$O,Reference!$N:$N,"Tidak Ketemu")</f>
        <v>G11</v>
      </c>
      <c r="Y264" s="4" t="str">
        <f t="shared" si="18"/>
        <v>TK/0</v>
      </c>
      <c r="Z264" s="10" t="s">
        <v>2337</v>
      </c>
      <c r="AA264" s="10" t="s">
        <v>2338</v>
      </c>
      <c r="AB264" s="7" t="s">
        <v>2339</v>
      </c>
      <c r="AC264" s="7" t="s">
        <v>3816</v>
      </c>
      <c r="AD264" s="17" t="s">
        <v>2340</v>
      </c>
      <c r="AE264" s="6" t="s">
        <v>2336</v>
      </c>
      <c r="AF264" s="6" t="s">
        <v>1159</v>
      </c>
      <c r="AG264" s="6" t="s">
        <v>778</v>
      </c>
      <c r="AN264" s="4"/>
    </row>
    <row r="265" spans="1:40" x14ac:dyDescent="0.35">
      <c r="A265" s="5">
        <v>202044178</v>
      </c>
      <c r="B265" s="5" t="s">
        <v>1670</v>
      </c>
      <c r="C265" s="5" t="s">
        <v>222</v>
      </c>
      <c r="D265" s="5" t="s">
        <v>533</v>
      </c>
      <c r="E265" s="6" t="s">
        <v>3425</v>
      </c>
      <c r="F265" s="7">
        <v>36326</v>
      </c>
      <c r="G265" s="10" t="s">
        <v>676</v>
      </c>
      <c r="H265" s="15" t="s">
        <v>651</v>
      </c>
      <c r="I265" s="4">
        <f>MIN(COUNTIFS('Data Family'!A:A,A265,'Data Family'!F:F,"Child")+COUNTIFS('Data Family'!A:A,A265,'Data Family'!F:F,"&lt;&gt;Child",'Data Family'!J:J,"Housewife")+COUNTIFS('Data Family'!A:A,A265,'Data Family'!F:F,"&lt;&gt;Child",'Data Family'!J:J,"Unemployment"),3)</f>
        <v>0</v>
      </c>
      <c r="J265" s="10" t="s">
        <v>791</v>
      </c>
      <c r="K265" s="7" t="s">
        <v>691</v>
      </c>
      <c r="L265" s="7">
        <v>43082</v>
      </c>
      <c r="M265" s="7"/>
      <c r="N265" s="7"/>
      <c r="O265" s="4" t="str">
        <f t="shared" ca="1" si="16"/>
        <v/>
      </c>
      <c r="P265" s="4" t="str">
        <f t="shared" ca="1" si="17"/>
        <v>Active</v>
      </c>
      <c r="Q265" s="4" t="str">
        <f t="shared" si="19"/>
        <v>PKWTT</v>
      </c>
      <c r="R265" s="7" t="s">
        <v>2983</v>
      </c>
      <c r="S265" s="4" t="s">
        <v>2676</v>
      </c>
      <c r="T265" s="4" t="s">
        <v>2643</v>
      </c>
      <c r="U265" s="4" t="s">
        <v>2994</v>
      </c>
      <c r="V265" s="4" t="s">
        <v>2624</v>
      </c>
      <c r="W265" s="4" t="s">
        <v>2654</v>
      </c>
      <c r="X265" s="4" t="str">
        <f>_xlfn.XLOOKUP(V265,Reference!$O:$O,Reference!$N:$N,"Tidak Ketemu")</f>
        <v>G07</v>
      </c>
      <c r="Y265" s="4" t="str">
        <f t="shared" si="18"/>
        <v>TK/0</v>
      </c>
      <c r="Z265" s="10" t="s">
        <v>2005</v>
      </c>
      <c r="AA265" s="10" t="s">
        <v>2006</v>
      </c>
      <c r="AB265" s="7" t="s">
        <v>2007</v>
      </c>
      <c r="AC265" s="7" t="s">
        <v>3816</v>
      </c>
      <c r="AD265" s="17" t="s">
        <v>2008</v>
      </c>
      <c r="AE265" s="6" t="s">
        <v>2004</v>
      </c>
      <c r="AF265" s="6" t="s">
        <v>1671</v>
      </c>
      <c r="AG265" s="6" t="s">
        <v>778</v>
      </c>
      <c r="AN265" s="4"/>
    </row>
    <row r="266" spans="1:40" x14ac:dyDescent="0.35">
      <c r="A266" s="5">
        <v>201843377</v>
      </c>
      <c r="B266" s="5" t="s">
        <v>1156</v>
      </c>
      <c r="C266" s="5" t="s">
        <v>154</v>
      </c>
      <c r="D266" s="5" t="s">
        <v>465</v>
      </c>
      <c r="E266" s="6" t="s">
        <v>3446</v>
      </c>
      <c r="F266" s="7">
        <v>36973</v>
      </c>
      <c r="G266" s="10" t="s">
        <v>648</v>
      </c>
      <c r="H266" s="15" t="s">
        <v>666</v>
      </c>
      <c r="I266" s="4">
        <f>MIN(COUNTIFS('Data Family'!A:A,A266,'Data Family'!F:F,"Child")+COUNTIFS('Data Family'!A:A,A266,'Data Family'!F:F,"&lt;&gt;Child",'Data Family'!J:J,"Housewife")+COUNTIFS('Data Family'!A:A,A266,'Data Family'!F:F,"&lt;&gt;Child",'Data Family'!J:J,"Unemployment"),3)</f>
        <v>0</v>
      </c>
      <c r="J266" s="10" t="s">
        <v>791</v>
      </c>
      <c r="K266" s="7" t="s">
        <v>691</v>
      </c>
      <c r="L266" s="7">
        <v>45569</v>
      </c>
      <c r="M266" s="7">
        <v>46299</v>
      </c>
      <c r="N266" s="7"/>
      <c r="O266" s="4" t="str">
        <f t="shared" ca="1" si="16"/>
        <v/>
      </c>
      <c r="P266" s="4" t="str">
        <f t="shared" ca="1" si="17"/>
        <v>Active</v>
      </c>
      <c r="Q266" s="4" t="str">
        <f t="shared" si="19"/>
        <v>PKWT</v>
      </c>
      <c r="R266" s="7" t="s">
        <v>2978</v>
      </c>
      <c r="S266" s="4" t="s">
        <v>2985</v>
      </c>
      <c r="T266" s="4" t="s">
        <v>794</v>
      </c>
      <c r="U266" s="4" t="s">
        <v>2694</v>
      </c>
      <c r="V266" s="4" t="s">
        <v>659</v>
      </c>
      <c r="W266" s="4" t="s">
        <v>2626</v>
      </c>
      <c r="X266" s="4" t="str">
        <f>_xlfn.XLOOKUP(V266,Reference!$O:$O,Reference!$N:$N,"Tidak Ketemu")</f>
        <v>G11</v>
      </c>
      <c r="Y266" s="4" t="str">
        <f t="shared" si="18"/>
        <v>TK/0</v>
      </c>
      <c r="Z266" s="10" t="s">
        <v>1612</v>
      </c>
      <c r="AA266" s="10" t="s">
        <v>1613</v>
      </c>
      <c r="AB266" s="7" t="s">
        <v>1614</v>
      </c>
      <c r="AC266" s="7" t="s">
        <v>3816</v>
      </c>
      <c r="AD266" s="17" t="s">
        <v>1615</v>
      </c>
      <c r="AE266" s="6" t="s">
        <v>1611</v>
      </c>
      <c r="AF266" s="6" t="s">
        <v>1157</v>
      </c>
      <c r="AG266" s="6" t="s">
        <v>704</v>
      </c>
      <c r="AN266" s="4"/>
    </row>
    <row r="267" spans="1:40" x14ac:dyDescent="0.35">
      <c r="A267" s="5">
        <v>202545977</v>
      </c>
      <c r="B267" s="5" t="s">
        <v>2594</v>
      </c>
      <c r="C267" s="5" t="s">
        <v>331</v>
      </c>
      <c r="D267" s="5" t="s">
        <v>642</v>
      </c>
      <c r="E267" s="6" t="s">
        <v>3424</v>
      </c>
      <c r="F267" s="7">
        <v>37016</v>
      </c>
      <c r="G267" s="10" t="s">
        <v>648</v>
      </c>
      <c r="H267" s="15" t="s">
        <v>666</v>
      </c>
      <c r="I267" s="4">
        <f>MIN(COUNTIFS('Data Family'!A:A,A267,'Data Family'!F:F,"Child")+COUNTIFS('Data Family'!A:A,A267,'Data Family'!F:F,"&lt;&gt;Child",'Data Family'!J:J,"Housewife")+COUNTIFS('Data Family'!A:A,A267,'Data Family'!F:F,"&lt;&gt;Child",'Data Family'!J:J,"Unemployment"),3)</f>
        <v>0</v>
      </c>
      <c r="J267" s="10" t="s">
        <v>791</v>
      </c>
      <c r="K267" s="7" t="s">
        <v>652</v>
      </c>
      <c r="L267" s="7">
        <v>45977</v>
      </c>
      <c r="M267" s="7">
        <v>46707</v>
      </c>
      <c r="N267" s="7"/>
      <c r="O267" s="4" t="str">
        <f t="shared" ca="1" si="16"/>
        <v/>
      </c>
      <c r="P267" s="4" t="str">
        <f t="shared" ca="1" si="17"/>
        <v>Active</v>
      </c>
      <c r="Q267" s="4" t="str">
        <f t="shared" si="19"/>
        <v>PKWT</v>
      </c>
      <c r="R267" s="7" t="s">
        <v>2978</v>
      </c>
      <c r="S267" s="4" t="s">
        <v>2687</v>
      </c>
      <c r="T267" s="4" t="s">
        <v>794</v>
      </c>
      <c r="U267" s="4" t="s">
        <v>2694</v>
      </c>
      <c r="V267" s="4" t="s">
        <v>659</v>
      </c>
      <c r="W267" s="4" t="s">
        <v>2626</v>
      </c>
      <c r="X267" s="4" t="str">
        <f>_xlfn.XLOOKUP(V267,Reference!$O:$O,Reference!$N:$N,"Tidak Ketemu")</f>
        <v>G11</v>
      </c>
      <c r="Y267" s="4" t="str">
        <f t="shared" si="18"/>
        <v>TK/0</v>
      </c>
      <c r="Z267" s="10" t="s">
        <v>2597</v>
      </c>
      <c r="AA267" s="10" t="s">
        <v>2598</v>
      </c>
      <c r="AB267" s="7" t="s">
        <v>2599</v>
      </c>
      <c r="AC267" s="7" t="s">
        <v>3816</v>
      </c>
      <c r="AD267" s="17" t="s">
        <v>2600</v>
      </c>
      <c r="AE267" s="6" t="s">
        <v>2595</v>
      </c>
      <c r="AF267" s="6" t="s">
        <v>2596</v>
      </c>
      <c r="AG267" s="6" t="s">
        <v>818</v>
      </c>
      <c r="AN267" s="4"/>
    </row>
    <row r="268" spans="1:40" x14ac:dyDescent="0.35">
      <c r="A268" s="5">
        <v>202043916</v>
      </c>
      <c r="B268" s="5" t="s">
        <v>720</v>
      </c>
      <c r="C268" s="5" t="s">
        <v>31</v>
      </c>
      <c r="D268" s="5" t="s">
        <v>342</v>
      </c>
      <c r="E268" s="6" t="s">
        <v>689</v>
      </c>
      <c r="F268" s="7">
        <v>32849</v>
      </c>
      <c r="G268" s="10" t="s">
        <v>648</v>
      </c>
      <c r="H268" s="15" t="s">
        <v>651</v>
      </c>
      <c r="I268" s="4">
        <f>MIN(COUNTIFS('Data Family'!A:A,A268,'Data Family'!F:F,"Child")+COUNTIFS('Data Family'!A:A,A268,'Data Family'!F:F,"&lt;&gt;Child",'Data Family'!J:J,"Housewife")+COUNTIFS('Data Family'!A:A,A268,'Data Family'!F:F,"&lt;&gt;Child",'Data Family'!J:J,"Unemployment"),3)</f>
        <v>2</v>
      </c>
      <c r="J268" s="10" t="s">
        <v>791</v>
      </c>
      <c r="K268" s="7" t="s">
        <v>701</v>
      </c>
      <c r="L268" s="7">
        <v>42455</v>
      </c>
      <c r="M268" s="7"/>
      <c r="N268" s="7"/>
      <c r="O268" s="4" t="str">
        <f t="shared" ca="1" si="16"/>
        <v/>
      </c>
      <c r="P268" s="4" t="str">
        <f t="shared" ca="1" si="17"/>
        <v>Active</v>
      </c>
      <c r="Q268" s="4" t="str">
        <f t="shared" si="19"/>
        <v>PKWTT</v>
      </c>
      <c r="R268" s="7" t="s">
        <v>2982</v>
      </c>
      <c r="S268" s="4" t="s">
        <v>2686</v>
      </c>
      <c r="T268" s="4" t="s">
        <v>794</v>
      </c>
      <c r="U268" s="4" t="s">
        <v>2694</v>
      </c>
      <c r="V268" s="4" t="s">
        <v>2621</v>
      </c>
      <c r="W268" s="4" t="s">
        <v>2622</v>
      </c>
      <c r="X268" s="4" t="str">
        <f>_xlfn.XLOOKUP(V268,Reference!$O:$O,Reference!$N:$N,"Tidak Ketemu")</f>
        <v>G06</v>
      </c>
      <c r="Y268" s="4" t="str">
        <f t="shared" si="18"/>
        <v>K/2</v>
      </c>
      <c r="Z268" s="10" t="s">
        <v>724</v>
      </c>
      <c r="AA268" s="10" t="s">
        <v>725</v>
      </c>
      <c r="AB268" s="7" t="s">
        <v>726</v>
      </c>
      <c r="AC268" s="7" t="s">
        <v>3816</v>
      </c>
      <c r="AD268" s="17" t="s">
        <v>727</v>
      </c>
      <c r="AE268" s="6" t="s">
        <v>722</v>
      </c>
      <c r="AF268" s="6" t="s">
        <v>723</v>
      </c>
      <c r="AG268" s="6" t="s">
        <v>656</v>
      </c>
      <c r="AN268" s="4"/>
    </row>
    <row r="269" spans="1:40" x14ac:dyDescent="0.35">
      <c r="A269" s="5">
        <v>201843195</v>
      </c>
      <c r="B269" s="5" t="s">
        <v>1445</v>
      </c>
      <c r="C269" s="5" t="s">
        <v>128</v>
      </c>
      <c r="D269" s="5" t="s">
        <v>439</v>
      </c>
      <c r="E269" s="6" t="s">
        <v>3421</v>
      </c>
      <c r="F269" s="7">
        <v>37988</v>
      </c>
      <c r="G269" s="10" t="s">
        <v>676</v>
      </c>
      <c r="H269" s="15" t="s">
        <v>666</v>
      </c>
      <c r="I269" s="4">
        <f>MIN(COUNTIFS('Data Family'!A:A,A269,'Data Family'!F:F,"Child")+COUNTIFS('Data Family'!A:A,A269,'Data Family'!F:F,"&lt;&gt;Child",'Data Family'!J:J,"Housewife")+COUNTIFS('Data Family'!A:A,A269,'Data Family'!F:F,"&lt;&gt;Child",'Data Family'!J:J,"Unemployment"),3)</f>
        <v>0</v>
      </c>
      <c r="J269" s="10" t="s">
        <v>791</v>
      </c>
      <c r="K269" s="7" t="s">
        <v>677</v>
      </c>
      <c r="L269" s="7">
        <v>45752</v>
      </c>
      <c r="M269" s="7">
        <v>47578</v>
      </c>
      <c r="N269" s="7"/>
      <c r="O269" s="4" t="str">
        <f t="shared" ca="1" si="16"/>
        <v/>
      </c>
      <c r="P269" s="4" t="str">
        <f t="shared" ca="1" si="17"/>
        <v>Active</v>
      </c>
      <c r="Q269" s="4" t="str">
        <f t="shared" si="19"/>
        <v>PKWT</v>
      </c>
      <c r="R269" s="7" t="s">
        <v>2982</v>
      </c>
      <c r="S269" s="4" t="s">
        <v>2693</v>
      </c>
      <c r="T269" s="4" t="s">
        <v>2643</v>
      </c>
      <c r="U269" s="4" t="s">
        <v>2994</v>
      </c>
      <c r="V269" s="4" t="s">
        <v>2640</v>
      </c>
      <c r="W269" s="4" t="s">
        <v>2656</v>
      </c>
      <c r="X269" s="4" t="str">
        <f>_xlfn.XLOOKUP(V269,Reference!$O:$O,Reference!$N:$N,"Tidak Ketemu")</f>
        <v>G12</v>
      </c>
      <c r="Y269" s="4" t="str">
        <f t="shared" si="18"/>
        <v>TK/0</v>
      </c>
      <c r="Z269" s="10" t="s">
        <v>1448</v>
      </c>
      <c r="AA269" s="10" t="s">
        <v>1449</v>
      </c>
      <c r="AB269" s="7" t="s">
        <v>1450</v>
      </c>
      <c r="AC269" s="7" t="s">
        <v>3816</v>
      </c>
      <c r="AD269" s="17" t="s">
        <v>1451</v>
      </c>
      <c r="AE269" s="6" t="s">
        <v>1446</v>
      </c>
      <c r="AF269" s="6" t="s">
        <v>1447</v>
      </c>
      <c r="AG269" s="6" t="s">
        <v>656</v>
      </c>
      <c r="AN269" s="4"/>
    </row>
    <row r="270" spans="1:40" x14ac:dyDescent="0.35">
      <c r="A270" s="5">
        <v>201743005</v>
      </c>
      <c r="B270" s="5" t="s">
        <v>1014</v>
      </c>
      <c r="C270" s="5" t="s">
        <v>67</v>
      </c>
      <c r="D270" s="5" t="s">
        <v>378</v>
      </c>
      <c r="E270" s="6" t="s">
        <v>3446</v>
      </c>
      <c r="F270" s="7">
        <v>38096</v>
      </c>
      <c r="G270" s="10" t="s">
        <v>648</v>
      </c>
      <c r="H270" s="15" t="s">
        <v>666</v>
      </c>
      <c r="I270" s="4">
        <f>MIN(COUNTIFS('Data Family'!A:A,A270,'Data Family'!F:F,"Child")+COUNTIFS('Data Family'!A:A,A270,'Data Family'!F:F,"&lt;&gt;Child",'Data Family'!J:J,"Housewife")+COUNTIFS('Data Family'!A:A,A270,'Data Family'!F:F,"&lt;&gt;Child",'Data Family'!J:J,"Unemployment"),3)</f>
        <v>0</v>
      </c>
      <c r="J270" s="10" t="s">
        <v>791</v>
      </c>
      <c r="K270" s="7" t="s">
        <v>677</v>
      </c>
      <c r="L270" s="7">
        <v>45927</v>
      </c>
      <c r="M270" s="7">
        <v>46292</v>
      </c>
      <c r="N270" s="7"/>
      <c r="O270" s="4" t="str">
        <f t="shared" ca="1" si="16"/>
        <v/>
      </c>
      <c r="P270" s="4" t="str">
        <f t="shared" ca="1" si="17"/>
        <v>Active</v>
      </c>
      <c r="Q270" s="4" t="str">
        <f t="shared" si="19"/>
        <v>PKWT</v>
      </c>
      <c r="R270" s="7" t="s">
        <v>2978</v>
      </c>
      <c r="S270" s="4" t="s">
        <v>2985</v>
      </c>
      <c r="T270" s="4" t="s">
        <v>794</v>
      </c>
      <c r="U270" s="4" t="s">
        <v>2694</v>
      </c>
      <c r="V270" s="4" t="s">
        <v>659</v>
      </c>
      <c r="W270" s="4" t="s">
        <v>2626</v>
      </c>
      <c r="X270" s="4" t="str">
        <f>_xlfn.XLOOKUP(V270,Reference!$O:$O,Reference!$N:$N,"Tidak Ketemu")</f>
        <v>G11</v>
      </c>
      <c r="Y270" s="4" t="str">
        <f t="shared" si="18"/>
        <v>TK/0</v>
      </c>
      <c r="Z270" s="10" t="s">
        <v>1018</v>
      </c>
      <c r="AA270" s="10" t="s">
        <v>1019</v>
      </c>
      <c r="AB270" s="7" t="s">
        <v>1020</v>
      </c>
      <c r="AC270" s="7" t="s">
        <v>3816</v>
      </c>
      <c r="AD270" s="17" t="s">
        <v>1021</v>
      </c>
      <c r="AE270" s="6" t="s">
        <v>1015</v>
      </c>
      <c r="AF270" s="6" t="s">
        <v>1016</v>
      </c>
      <c r="AG270" s="6" t="s">
        <v>731</v>
      </c>
      <c r="AN270" s="4"/>
    </row>
    <row r="271" spans="1:40" x14ac:dyDescent="0.35">
      <c r="A271" s="5">
        <v>202244615</v>
      </c>
      <c r="B271" s="5" t="s">
        <v>842</v>
      </c>
      <c r="C271" s="5" t="s">
        <v>189</v>
      </c>
      <c r="D271" s="5" t="s">
        <v>500</v>
      </c>
      <c r="E271" s="6" t="s">
        <v>3443</v>
      </c>
      <c r="F271" s="7">
        <v>30524</v>
      </c>
      <c r="G271" s="10" t="s">
        <v>676</v>
      </c>
      <c r="H271" s="15" t="s">
        <v>666</v>
      </c>
      <c r="I271" s="4">
        <f>MIN(COUNTIFS('Data Family'!A:A,A271,'Data Family'!F:F,"Child")+COUNTIFS('Data Family'!A:A,A271,'Data Family'!F:F,"&lt;&gt;Child",'Data Family'!J:J,"Housewife")+COUNTIFS('Data Family'!A:A,A271,'Data Family'!F:F,"&lt;&gt;Child",'Data Family'!J:J,"Unemployment"),3)</f>
        <v>0</v>
      </c>
      <c r="J271" s="10" t="s">
        <v>791</v>
      </c>
      <c r="K271" s="7" t="s">
        <v>701</v>
      </c>
      <c r="L271" s="7">
        <v>45345</v>
      </c>
      <c r="M271" s="7">
        <v>46441</v>
      </c>
      <c r="N271" s="7"/>
      <c r="O271" s="4" t="str">
        <f t="shared" ca="1" si="16"/>
        <v/>
      </c>
      <c r="P271" s="4" t="str">
        <f t="shared" ca="1" si="17"/>
        <v>Active</v>
      </c>
      <c r="Q271" s="4" t="str">
        <f t="shared" si="19"/>
        <v>PKWT</v>
      </c>
      <c r="R271" s="7" t="s">
        <v>2982</v>
      </c>
      <c r="S271" s="4" t="s">
        <v>2689</v>
      </c>
      <c r="T271" s="4" t="s">
        <v>2643</v>
      </c>
      <c r="U271" s="4" t="s">
        <v>2994</v>
      </c>
      <c r="V271" s="4" t="s">
        <v>3073</v>
      </c>
      <c r="W271" s="4" t="s">
        <v>2641</v>
      </c>
      <c r="X271" s="4" t="str">
        <f>_xlfn.XLOOKUP(V271,Reference!$O:$O,Reference!$N:$N,"Tidak Ketemu")</f>
        <v>G10</v>
      </c>
      <c r="Y271" s="4" t="str">
        <f t="shared" si="18"/>
        <v>TK/0</v>
      </c>
      <c r="Z271" s="10" t="s">
        <v>1816</v>
      </c>
      <c r="AA271" s="10" t="s">
        <v>1817</v>
      </c>
      <c r="AB271" s="7" t="s">
        <v>1818</v>
      </c>
      <c r="AC271" s="7" t="s">
        <v>3816</v>
      </c>
      <c r="AD271" s="17" t="s">
        <v>1819</v>
      </c>
      <c r="AE271" s="6" t="s">
        <v>1815</v>
      </c>
      <c r="AF271" s="6" t="s">
        <v>844</v>
      </c>
      <c r="AG271" s="6" t="s">
        <v>731</v>
      </c>
      <c r="AN271" s="4"/>
    </row>
    <row r="272" spans="1:40" x14ac:dyDescent="0.35">
      <c r="A272" s="5">
        <v>201742816</v>
      </c>
      <c r="B272" s="5" t="s">
        <v>1820</v>
      </c>
      <c r="C272" s="5" t="s">
        <v>190</v>
      </c>
      <c r="D272" s="5" t="s">
        <v>501</v>
      </c>
      <c r="E272" s="6" t="s">
        <v>3422</v>
      </c>
      <c r="F272" s="7">
        <v>38032</v>
      </c>
      <c r="G272" s="10" t="s">
        <v>648</v>
      </c>
      <c r="H272" s="15" t="s">
        <v>666</v>
      </c>
      <c r="I272" s="4">
        <f>MIN(COUNTIFS('Data Family'!A:A,A272,'Data Family'!F:F,"Child")+COUNTIFS('Data Family'!A:A,A272,'Data Family'!F:F,"&lt;&gt;Child",'Data Family'!J:J,"Housewife")+COUNTIFS('Data Family'!A:A,A272,'Data Family'!F:F,"&lt;&gt;Child",'Data Family'!J:J,"Unemployment"),3)</f>
        <v>0</v>
      </c>
      <c r="J272" s="10" t="s">
        <v>791</v>
      </c>
      <c r="K272" s="7" t="s">
        <v>691</v>
      </c>
      <c r="L272" s="7">
        <v>45373</v>
      </c>
      <c r="M272" s="7">
        <v>47199</v>
      </c>
      <c r="N272" s="7"/>
      <c r="O272" s="4" t="str">
        <f t="shared" ca="1" si="16"/>
        <v/>
      </c>
      <c r="P272" s="4" t="str">
        <f t="shared" ca="1" si="17"/>
        <v>Active</v>
      </c>
      <c r="Q272" s="4" t="str">
        <f t="shared" si="19"/>
        <v>PKWT</v>
      </c>
      <c r="R272" s="7" t="s">
        <v>2978</v>
      </c>
      <c r="S272" s="4" t="s">
        <v>2986</v>
      </c>
      <c r="T272" s="4" t="s">
        <v>794</v>
      </c>
      <c r="U272" s="4" t="s">
        <v>2694</v>
      </c>
      <c r="V272" s="4" t="s">
        <v>670</v>
      </c>
      <c r="W272" s="4" t="s">
        <v>2631</v>
      </c>
      <c r="X272" s="4" t="str">
        <f>_xlfn.XLOOKUP(V272,Reference!$O:$O,Reference!$N:$N,"Tidak Ketemu")</f>
        <v>G13</v>
      </c>
      <c r="Y272" s="4" t="str">
        <f t="shared" si="18"/>
        <v>TK/0</v>
      </c>
      <c r="Z272" s="10" t="s">
        <v>1823</v>
      </c>
      <c r="AA272" s="10" t="s">
        <v>1824</v>
      </c>
      <c r="AB272" s="7" t="s">
        <v>1825</v>
      </c>
      <c r="AC272" s="7" t="s">
        <v>3816</v>
      </c>
      <c r="AD272" s="17" t="s">
        <v>1826</v>
      </c>
      <c r="AE272" s="6" t="s">
        <v>1821</v>
      </c>
      <c r="AF272" s="6" t="s">
        <v>1822</v>
      </c>
      <c r="AG272" s="6" t="s">
        <v>818</v>
      </c>
      <c r="AN272" s="4"/>
    </row>
    <row r="273" spans="1:40" x14ac:dyDescent="0.35">
      <c r="A273" s="5">
        <v>201943679</v>
      </c>
      <c r="B273" s="5" t="s">
        <v>1776</v>
      </c>
      <c r="C273" s="5" t="s">
        <v>182</v>
      </c>
      <c r="D273" s="5" t="s">
        <v>493</v>
      </c>
      <c r="E273" s="6" t="s">
        <v>689</v>
      </c>
      <c r="F273" s="7">
        <v>38242</v>
      </c>
      <c r="G273" s="10" t="s">
        <v>648</v>
      </c>
      <c r="H273" s="15" t="s">
        <v>666</v>
      </c>
      <c r="I273" s="4">
        <f>MIN(COUNTIFS('Data Family'!A:A,A273,'Data Family'!F:F,"Child")+COUNTIFS('Data Family'!A:A,A273,'Data Family'!F:F,"&lt;&gt;Child",'Data Family'!J:J,"Housewife")+COUNTIFS('Data Family'!A:A,A273,'Data Family'!F:F,"&lt;&gt;Child",'Data Family'!J:J,"Unemployment"),3)</f>
        <v>0</v>
      </c>
      <c r="J273" s="10" t="s">
        <v>791</v>
      </c>
      <c r="K273" s="7" t="s">
        <v>691</v>
      </c>
      <c r="L273" s="7">
        <v>45871</v>
      </c>
      <c r="M273" s="7">
        <v>46236</v>
      </c>
      <c r="N273" s="7"/>
      <c r="O273" s="4" t="str">
        <f t="shared" ca="1" si="16"/>
        <v>End of Contract</v>
      </c>
      <c r="P273" s="4" t="str">
        <f t="shared" ca="1" si="17"/>
        <v>Non-Active</v>
      </c>
      <c r="Q273" s="4" t="str">
        <f t="shared" si="19"/>
        <v>PKWT</v>
      </c>
      <c r="R273" s="7" t="s">
        <v>2978</v>
      </c>
      <c r="S273" s="4" t="s">
        <v>2986</v>
      </c>
      <c r="T273" s="4" t="s">
        <v>794</v>
      </c>
      <c r="U273" s="4" t="s">
        <v>2694</v>
      </c>
      <c r="V273" s="4" t="s">
        <v>670</v>
      </c>
      <c r="W273" s="4" t="s">
        <v>2631</v>
      </c>
      <c r="X273" s="4" t="str">
        <f>_xlfn.XLOOKUP(V273,Reference!$O:$O,Reference!$N:$N,"Tidak Ketemu")</f>
        <v>G13</v>
      </c>
      <c r="Y273" s="4" t="str">
        <f t="shared" si="18"/>
        <v>TK/0</v>
      </c>
      <c r="Z273" s="10" t="s">
        <v>1779</v>
      </c>
      <c r="AA273" s="10" t="s">
        <v>1780</v>
      </c>
      <c r="AB273" s="7" t="s">
        <v>1781</v>
      </c>
      <c r="AC273" s="7" t="s">
        <v>3816</v>
      </c>
      <c r="AD273" s="17" t="s">
        <v>1782</v>
      </c>
      <c r="AE273" s="6" t="s">
        <v>1777</v>
      </c>
      <c r="AF273" s="6" t="s">
        <v>1778</v>
      </c>
      <c r="AG273" s="6" t="s">
        <v>731</v>
      </c>
      <c r="AN273" s="4"/>
    </row>
    <row r="274" spans="1:40" x14ac:dyDescent="0.35">
      <c r="A274" s="5">
        <v>202545846</v>
      </c>
      <c r="B274" s="5" t="s">
        <v>1854</v>
      </c>
      <c r="C274" s="5" t="s">
        <v>196</v>
      </c>
      <c r="D274" s="5" t="s">
        <v>507</v>
      </c>
      <c r="E274" s="6" t="s">
        <v>3429</v>
      </c>
      <c r="F274" s="7">
        <v>30940</v>
      </c>
      <c r="G274" s="10" t="s">
        <v>676</v>
      </c>
      <c r="H274" s="15" t="s">
        <v>651</v>
      </c>
      <c r="I274" s="4">
        <f>MIN(COUNTIFS('Data Family'!A:A,A274,'Data Family'!F:F,"Child")+COUNTIFS('Data Family'!A:A,A274,'Data Family'!F:F,"&lt;&gt;Child",'Data Family'!J:J,"Housewife")+COUNTIFS('Data Family'!A:A,A274,'Data Family'!F:F,"&lt;&gt;Child",'Data Family'!J:J,"Unemployment"),3)</f>
        <v>0</v>
      </c>
      <c r="J274" s="10" t="s">
        <v>791</v>
      </c>
      <c r="K274" s="7" t="s">
        <v>652</v>
      </c>
      <c r="L274" s="7">
        <v>43289</v>
      </c>
      <c r="M274" s="7"/>
      <c r="N274" s="7"/>
      <c r="O274" s="4" t="str">
        <f t="shared" ca="1" si="16"/>
        <v/>
      </c>
      <c r="P274" s="4" t="str">
        <f t="shared" ca="1" si="17"/>
        <v>Active</v>
      </c>
      <c r="Q274" s="4" t="str">
        <f t="shared" si="19"/>
        <v>PKWTT</v>
      </c>
      <c r="R274" s="7" t="s">
        <v>2982</v>
      </c>
      <c r="S274" s="4" t="s">
        <v>2693</v>
      </c>
      <c r="T274" s="4" t="s">
        <v>794</v>
      </c>
      <c r="U274" s="4" t="s">
        <v>2694</v>
      </c>
      <c r="V274" s="4" t="s">
        <v>706</v>
      </c>
      <c r="W274" s="4" t="s">
        <v>2625</v>
      </c>
      <c r="X274" s="4" t="str">
        <f>_xlfn.XLOOKUP(V274,Reference!$O:$O,Reference!$N:$N,"Tidak Ketemu")</f>
        <v>G08</v>
      </c>
      <c r="Y274" s="4" t="str">
        <f t="shared" si="18"/>
        <v>TK/0</v>
      </c>
      <c r="Z274" s="10" t="s">
        <v>1857</v>
      </c>
      <c r="AA274" s="10" t="s">
        <v>1858</v>
      </c>
      <c r="AB274" s="7" t="s">
        <v>1859</v>
      </c>
      <c r="AC274" s="7" t="s">
        <v>3816</v>
      </c>
      <c r="AD274" s="17" t="s">
        <v>1860</v>
      </c>
      <c r="AE274" s="6" t="s">
        <v>1855</v>
      </c>
      <c r="AF274" s="6" t="s">
        <v>1856</v>
      </c>
      <c r="AG274" s="6" t="s">
        <v>656</v>
      </c>
      <c r="AN274" s="4"/>
    </row>
    <row r="275" spans="1:40" x14ac:dyDescent="0.35">
      <c r="A275" s="5">
        <v>201542261</v>
      </c>
      <c r="B275" s="5" t="s">
        <v>1287</v>
      </c>
      <c r="C275" s="5" t="s">
        <v>221</v>
      </c>
      <c r="D275" s="5" t="s">
        <v>532</v>
      </c>
      <c r="E275" s="6" t="s">
        <v>3419</v>
      </c>
      <c r="F275" s="7">
        <v>38232</v>
      </c>
      <c r="G275" s="10" t="s">
        <v>676</v>
      </c>
      <c r="H275" s="15" t="s">
        <v>666</v>
      </c>
      <c r="I275" s="4">
        <f>MIN(COUNTIFS('Data Family'!A:A,A275,'Data Family'!F:F,"Child")+COUNTIFS('Data Family'!A:A,A275,'Data Family'!F:F,"&lt;&gt;Child",'Data Family'!J:J,"Housewife")+COUNTIFS('Data Family'!A:A,A275,'Data Family'!F:F,"&lt;&gt;Child",'Data Family'!J:J,"Unemployment"),3)</f>
        <v>0</v>
      </c>
      <c r="J275" s="10" t="s">
        <v>791</v>
      </c>
      <c r="K275" s="7" t="s">
        <v>677</v>
      </c>
      <c r="L275" s="7">
        <v>45914</v>
      </c>
      <c r="M275" s="7">
        <v>46279</v>
      </c>
      <c r="N275" s="7"/>
      <c r="O275" s="4" t="str">
        <f t="shared" ca="1" si="16"/>
        <v/>
      </c>
      <c r="P275" s="4" t="str">
        <f t="shared" ca="1" si="17"/>
        <v>Active</v>
      </c>
      <c r="Q275" s="4" t="str">
        <f t="shared" si="19"/>
        <v>PKWT</v>
      </c>
      <c r="R275" s="7" t="s">
        <v>2980</v>
      </c>
      <c r="S275" s="4" t="s">
        <v>2989</v>
      </c>
      <c r="T275" s="4" t="s">
        <v>794</v>
      </c>
      <c r="U275" s="4" t="s">
        <v>2694</v>
      </c>
      <c r="V275" s="4" t="s">
        <v>2640</v>
      </c>
      <c r="W275" s="4" t="s">
        <v>3051</v>
      </c>
      <c r="X275" s="4" t="str">
        <f>_xlfn.XLOOKUP(V275,Reference!$O:$O,Reference!$N:$N,"Tidak Ketemu")</f>
        <v>G12</v>
      </c>
      <c r="Y275" s="4" t="str">
        <f t="shared" si="18"/>
        <v>TK/0</v>
      </c>
      <c r="Z275" s="10" t="s">
        <v>2000</v>
      </c>
      <c r="AA275" s="10" t="s">
        <v>2001</v>
      </c>
      <c r="AB275" s="7" t="s">
        <v>2002</v>
      </c>
      <c r="AC275" s="7" t="s">
        <v>3816</v>
      </c>
      <c r="AD275" s="17" t="s">
        <v>2003</v>
      </c>
      <c r="AE275" s="6" t="s">
        <v>1999</v>
      </c>
      <c r="AF275" s="6" t="s">
        <v>1289</v>
      </c>
      <c r="AG275" s="6" t="s">
        <v>656</v>
      </c>
      <c r="AN275" s="4"/>
    </row>
    <row r="276" spans="1:40" x14ac:dyDescent="0.35">
      <c r="A276" s="5">
        <v>201843326</v>
      </c>
      <c r="B276" s="5" t="s">
        <v>2141</v>
      </c>
      <c r="C276" s="5" t="s">
        <v>247</v>
      </c>
      <c r="D276" s="5" t="s">
        <v>558</v>
      </c>
      <c r="E276" s="6" t="s">
        <v>3430</v>
      </c>
      <c r="F276" s="7">
        <v>38283</v>
      </c>
      <c r="G276" s="10" t="s">
        <v>676</v>
      </c>
      <c r="H276" s="15" t="s">
        <v>666</v>
      </c>
      <c r="I276" s="4">
        <f>MIN(COUNTIFS('Data Family'!A:A,A276,'Data Family'!F:F,"Child")+COUNTIFS('Data Family'!A:A,A276,'Data Family'!F:F,"&lt;&gt;Child",'Data Family'!J:J,"Housewife")+COUNTIFS('Data Family'!A:A,A276,'Data Family'!F:F,"&lt;&gt;Child",'Data Family'!J:J,"Unemployment"),3)</f>
        <v>0</v>
      </c>
      <c r="J276" s="10" t="s">
        <v>791</v>
      </c>
      <c r="K276" s="7" t="s">
        <v>691</v>
      </c>
      <c r="L276" s="7">
        <v>45883</v>
      </c>
      <c r="M276" s="7">
        <v>46613</v>
      </c>
      <c r="N276" s="7"/>
      <c r="O276" s="4" t="str">
        <f t="shared" ca="1" si="16"/>
        <v/>
      </c>
      <c r="P276" s="4" t="str">
        <f t="shared" ca="1" si="17"/>
        <v>Active</v>
      </c>
      <c r="Q276" s="4" t="str">
        <f t="shared" si="19"/>
        <v>PKWT</v>
      </c>
      <c r="R276" s="7" t="s">
        <v>2978</v>
      </c>
      <c r="S276" s="4" t="s">
        <v>2991</v>
      </c>
      <c r="T276" s="4" t="s">
        <v>794</v>
      </c>
      <c r="U276" s="4" t="s">
        <v>2694</v>
      </c>
      <c r="V276" s="4" t="s">
        <v>2640</v>
      </c>
      <c r="W276" s="4" t="s">
        <v>3051</v>
      </c>
      <c r="X276" s="4" t="str">
        <f>_xlfn.XLOOKUP(V276,Reference!$O:$O,Reference!$N:$N,"Tidak Ketemu")</f>
        <v>G12</v>
      </c>
      <c r="Y276" s="4" t="str">
        <f t="shared" si="18"/>
        <v>TK/0</v>
      </c>
      <c r="Z276" s="10" t="s">
        <v>2144</v>
      </c>
      <c r="AA276" s="10" t="s">
        <v>2145</v>
      </c>
      <c r="AB276" s="7" t="s">
        <v>2146</v>
      </c>
      <c r="AC276" s="7" t="s">
        <v>3816</v>
      </c>
      <c r="AD276" s="17" t="s">
        <v>2147</v>
      </c>
      <c r="AE276" s="6" t="s">
        <v>2142</v>
      </c>
      <c r="AF276" s="6" t="s">
        <v>2143</v>
      </c>
      <c r="AG276" s="6" t="s">
        <v>704</v>
      </c>
      <c r="AN276" s="4"/>
    </row>
    <row r="277" spans="1:40" x14ac:dyDescent="0.35">
      <c r="A277" s="5">
        <v>201642513</v>
      </c>
      <c r="B277" s="5" t="s">
        <v>2194</v>
      </c>
      <c r="C277" s="5" t="s">
        <v>257</v>
      </c>
      <c r="D277" s="5" t="s">
        <v>568</v>
      </c>
      <c r="E277" s="6" t="s">
        <v>3443</v>
      </c>
      <c r="F277" s="7">
        <v>31102</v>
      </c>
      <c r="G277" s="10" t="s">
        <v>648</v>
      </c>
      <c r="H277" s="15" t="s">
        <v>666</v>
      </c>
      <c r="I277" s="4">
        <f>MIN(COUNTIFS('Data Family'!A:A,A277,'Data Family'!F:F,"Child")+COUNTIFS('Data Family'!A:A,A277,'Data Family'!F:F,"&lt;&gt;Child",'Data Family'!J:J,"Housewife")+COUNTIFS('Data Family'!A:A,A277,'Data Family'!F:F,"&lt;&gt;Child",'Data Family'!J:J,"Unemployment"),3)</f>
        <v>0</v>
      </c>
      <c r="J277" s="10" t="s">
        <v>791</v>
      </c>
      <c r="K277" s="7" t="s">
        <v>701</v>
      </c>
      <c r="L277" s="7">
        <v>46165</v>
      </c>
      <c r="M277" s="7">
        <v>46896</v>
      </c>
      <c r="N277" s="7"/>
      <c r="O277" s="4" t="str">
        <f t="shared" ca="1" si="16"/>
        <v/>
      </c>
      <c r="P277" s="4" t="str">
        <f t="shared" ca="1" si="17"/>
        <v>Active</v>
      </c>
      <c r="Q277" s="4" t="str">
        <f t="shared" si="19"/>
        <v>PKWT</v>
      </c>
      <c r="R277" s="7" t="s">
        <v>2980</v>
      </c>
      <c r="S277" s="4" t="s">
        <v>2986</v>
      </c>
      <c r="T277" s="4" t="s">
        <v>794</v>
      </c>
      <c r="U277" s="4" t="s">
        <v>2694</v>
      </c>
      <c r="V277" s="4" t="s">
        <v>670</v>
      </c>
      <c r="W277" s="4" t="s">
        <v>2631</v>
      </c>
      <c r="X277" s="4" t="str">
        <f>_xlfn.XLOOKUP(V277,Reference!$O:$O,Reference!$N:$N,"Tidak Ketemu")</f>
        <v>G13</v>
      </c>
      <c r="Y277" s="4" t="str">
        <f t="shared" si="18"/>
        <v>TK/0</v>
      </c>
      <c r="Z277" s="10" t="s">
        <v>2197</v>
      </c>
      <c r="AA277" s="10" t="s">
        <v>2198</v>
      </c>
      <c r="AB277" s="7" t="s">
        <v>2199</v>
      </c>
      <c r="AC277" s="7" t="s">
        <v>3816</v>
      </c>
      <c r="AD277" s="17" t="s">
        <v>2200</v>
      </c>
      <c r="AE277" s="6" t="s">
        <v>2195</v>
      </c>
      <c r="AF277" s="6" t="s">
        <v>2196</v>
      </c>
      <c r="AG277" s="6" t="s">
        <v>680</v>
      </c>
      <c r="AN277" s="4"/>
    </row>
    <row r="278" spans="1:40" x14ac:dyDescent="0.35">
      <c r="A278" s="5">
        <v>201743044</v>
      </c>
      <c r="B278" s="5" t="s">
        <v>872</v>
      </c>
      <c r="C278" s="5" t="s">
        <v>265</v>
      </c>
      <c r="D278" s="5" t="s">
        <v>576</v>
      </c>
      <c r="E278" s="6" t="s">
        <v>3440</v>
      </c>
      <c r="F278" s="7">
        <v>38253</v>
      </c>
      <c r="G278" s="10" t="s">
        <v>648</v>
      </c>
      <c r="H278" s="15" t="s">
        <v>666</v>
      </c>
      <c r="I278" s="4">
        <f>MIN(COUNTIFS('Data Family'!A:A,A278,'Data Family'!F:F,"Child")+COUNTIFS('Data Family'!A:A,A278,'Data Family'!F:F,"&lt;&gt;Child",'Data Family'!J:J,"Housewife")+COUNTIFS('Data Family'!A:A,A278,'Data Family'!F:F,"&lt;&gt;Child",'Data Family'!J:J,"Unemployment"),3)</f>
        <v>0</v>
      </c>
      <c r="J278" s="10" t="s">
        <v>791</v>
      </c>
      <c r="K278" s="7" t="s">
        <v>677</v>
      </c>
      <c r="L278" s="7">
        <v>45966</v>
      </c>
      <c r="M278" s="7">
        <v>46696</v>
      </c>
      <c r="N278" s="7"/>
      <c r="O278" s="4" t="str">
        <f t="shared" ca="1" si="16"/>
        <v/>
      </c>
      <c r="P278" s="4" t="str">
        <f t="shared" ca="1" si="17"/>
        <v>Active</v>
      </c>
      <c r="Q278" s="4" t="str">
        <f t="shared" si="19"/>
        <v>PKWT</v>
      </c>
      <c r="R278" s="7" t="s">
        <v>2980</v>
      </c>
      <c r="S278" s="4" t="s">
        <v>2986</v>
      </c>
      <c r="T278" s="4" t="s">
        <v>794</v>
      </c>
      <c r="U278" s="4" t="s">
        <v>2694</v>
      </c>
      <c r="V278" s="4" t="s">
        <v>670</v>
      </c>
      <c r="W278" s="4" t="s">
        <v>2631</v>
      </c>
      <c r="X278" s="4" t="str">
        <f>_xlfn.XLOOKUP(V278,Reference!$O:$O,Reference!$N:$N,"Tidak Ketemu")</f>
        <v>G13</v>
      </c>
      <c r="Y278" s="4" t="str">
        <f t="shared" si="18"/>
        <v>TK/0</v>
      </c>
      <c r="Z278" s="10" t="s">
        <v>2245</v>
      </c>
      <c r="AA278" s="10" t="s">
        <v>2246</v>
      </c>
      <c r="AB278" s="7" t="s">
        <v>2247</v>
      </c>
      <c r="AC278" s="7" t="s">
        <v>3816</v>
      </c>
      <c r="AD278" s="17" t="s">
        <v>2248</v>
      </c>
      <c r="AE278" s="6" t="s">
        <v>2244</v>
      </c>
      <c r="AF278" s="6" t="s">
        <v>874</v>
      </c>
      <c r="AG278" s="6" t="s">
        <v>656</v>
      </c>
      <c r="AN278" s="4"/>
    </row>
    <row r="279" spans="1:40" x14ac:dyDescent="0.35">
      <c r="A279" s="5">
        <v>201642683</v>
      </c>
      <c r="B279" s="5" t="s">
        <v>1750</v>
      </c>
      <c r="C279" s="5" t="s">
        <v>279</v>
      </c>
      <c r="D279" s="5" t="s">
        <v>590</v>
      </c>
      <c r="E279" s="6" t="s">
        <v>3443</v>
      </c>
      <c r="F279" s="7">
        <v>31182</v>
      </c>
      <c r="G279" s="10" t="s">
        <v>648</v>
      </c>
      <c r="H279" s="15" t="s">
        <v>666</v>
      </c>
      <c r="I279" s="4">
        <f>MIN(COUNTIFS('Data Family'!A:A,A279,'Data Family'!F:F,"Child")+COUNTIFS('Data Family'!A:A,A279,'Data Family'!F:F,"&lt;&gt;Child",'Data Family'!J:J,"Housewife")+COUNTIFS('Data Family'!A:A,A279,'Data Family'!F:F,"&lt;&gt;Child",'Data Family'!J:J,"Unemployment"),3)</f>
        <v>0</v>
      </c>
      <c r="J279" s="10" t="s">
        <v>791</v>
      </c>
      <c r="K279" s="7" t="s">
        <v>691</v>
      </c>
      <c r="L279" s="7">
        <v>45970</v>
      </c>
      <c r="M279" s="7">
        <v>46335</v>
      </c>
      <c r="N279" s="7"/>
      <c r="O279" s="4" t="str">
        <f t="shared" ca="1" si="16"/>
        <v/>
      </c>
      <c r="P279" s="4" t="str">
        <f t="shared" ca="1" si="17"/>
        <v>Active</v>
      </c>
      <c r="Q279" s="4" t="str">
        <f t="shared" si="19"/>
        <v>PKWT</v>
      </c>
      <c r="R279" s="7" t="s">
        <v>2980</v>
      </c>
      <c r="S279" s="4" t="s">
        <v>2986</v>
      </c>
      <c r="T279" s="4" t="s">
        <v>794</v>
      </c>
      <c r="U279" s="4" t="s">
        <v>2694</v>
      </c>
      <c r="V279" s="4" t="s">
        <v>670</v>
      </c>
      <c r="W279" s="4" t="s">
        <v>2631</v>
      </c>
      <c r="X279" s="4" t="str">
        <f>_xlfn.XLOOKUP(V279,Reference!$O:$O,Reference!$N:$N,"Tidak Ketemu")</f>
        <v>G13</v>
      </c>
      <c r="Y279" s="4" t="str">
        <f t="shared" si="18"/>
        <v>TK/0</v>
      </c>
      <c r="Z279" s="10" t="s">
        <v>2317</v>
      </c>
      <c r="AA279" s="10" t="s">
        <v>2318</v>
      </c>
      <c r="AB279" s="7" t="s">
        <v>2319</v>
      </c>
      <c r="AC279" s="7" t="s">
        <v>3816</v>
      </c>
      <c r="AD279" s="17" t="s">
        <v>2320</v>
      </c>
      <c r="AE279" s="6" t="s">
        <v>2316</v>
      </c>
      <c r="AF279" s="6" t="s">
        <v>1751</v>
      </c>
      <c r="AG279" s="6" t="s">
        <v>656</v>
      </c>
      <c r="AN279" s="4"/>
    </row>
    <row r="280" spans="1:40" x14ac:dyDescent="0.35">
      <c r="A280" s="5">
        <v>201642715</v>
      </c>
      <c r="B280" s="5" t="s">
        <v>1069</v>
      </c>
      <c r="C280" s="5" t="s">
        <v>298</v>
      </c>
      <c r="D280" s="5" t="s">
        <v>609</v>
      </c>
      <c r="E280" s="6" t="s">
        <v>3422</v>
      </c>
      <c r="F280" s="7">
        <v>31220</v>
      </c>
      <c r="G280" s="10" t="s">
        <v>676</v>
      </c>
      <c r="H280" s="15" t="s">
        <v>666</v>
      </c>
      <c r="I280" s="4">
        <f>MIN(COUNTIFS('Data Family'!A:A,A280,'Data Family'!F:F,"Child")+COUNTIFS('Data Family'!A:A,A280,'Data Family'!F:F,"&lt;&gt;Child",'Data Family'!J:J,"Housewife")+COUNTIFS('Data Family'!A:A,A280,'Data Family'!F:F,"&lt;&gt;Child",'Data Family'!J:J,"Unemployment"),3)</f>
        <v>0</v>
      </c>
      <c r="J280" s="10" t="s">
        <v>791</v>
      </c>
      <c r="K280" s="7" t="s">
        <v>691</v>
      </c>
      <c r="L280" s="7">
        <v>46002</v>
      </c>
      <c r="M280" s="7">
        <v>46732</v>
      </c>
      <c r="N280" s="7"/>
      <c r="O280" s="4" t="str">
        <f t="shared" ca="1" si="16"/>
        <v/>
      </c>
      <c r="P280" s="4" t="str">
        <f t="shared" ca="1" si="17"/>
        <v>Active</v>
      </c>
      <c r="Q280" s="4" t="str">
        <f t="shared" si="19"/>
        <v>PKWT</v>
      </c>
      <c r="R280" s="7" t="s">
        <v>2978</v>
      </c>
      <c r="S280" s="4" t="s">
        <v>2991</v>
      </c>
      <c r="T280" s="4" t="s">
        <v>794</v>
      </c>
      <c r="U280" s="4" t="s">
        <v>2694</v>
      </c>
      <c r="V280" s="4" t="s">
        <v>2640</v>
      </c>
      <c r="W280" s="4" t="s">
        <v>3051</v>
      </c>
      <c r="X280" s="4" t="str">
        <f>_xlfn.XLOOKUP(V280,Reference!$O:$O,Reference!$N:$N,"Tidak Ketemu")</f>
        <v>G12</v>
      </c>
      <c r="Y280" s="4" t="str">
        <f t="shared" si="18"/>
        <v>TK/0</v>
      </c>
      <c r="Z280" s="10" t="s">
        <v>2420</v>
      </c>
      <c r="AA280" s="10" t="s">
        <v>2421</v>
      </c>
      <c r="AB280" s="7" t="s">
        <v>2422</v>
      </c>
      <c r="AC280" s="7" t="s">
        <v>3816</v>
      </c>
      <c r="AD280" s="17" t="s">
        <v>2423</v>
      </c>
      <c r="AE280" s="6" t="s">
        <v>2419</v>
      </c>
      <c r="AF280" s="6" t="s">
        <v>1071</v>
      </c>
      <c r="AG280" s="6" t="s">
        <v>694</v>
      </c>
      <c r="AN280" s="4"/>
    </row>
    <row r="281" spans="1:40" x14ac:dyDescent="0.35">
      <c r="A281" s="5">
        <v>202044015</v>
      </c>
      <c r="B281" s="5" t="s">
        <v>1192</v>
      </c>
      <c r="C281" s="5" t="s">
        <v>325</v>
      </c>
      <c r="D281" s="5" t="s">
        <v>636</v>
      </c>
      <c r="E281" s="6" t="s">
        <v>3430</v>
      </c>
      <c r="F281" s="7">
        <v>31163</v>
      </c>
      <c r="G281" s="10" t="s">
        <v>648</v>
      </c>
      <c r="H281" s="15" t="s">
        <v>651</v>
      </c>
      <c r="I281" s="4">
        <f>MIN(COUNTIFS('Data Family'!A:A,A281,'Data Family'!F:F,"Child")+COUNTIFS('Data Family'!A:A,A281,'Data Family'!F:F,"&lt;&gt;Child",'Data Family'!J:J,"Housewife")+COUNTIFS('Data Family'!A:A,A281,'Data Family'!F:F,"&lt;&gt;Child",'Data Family'!J:J,"Unemployment"),3)</f>
        <v>0</v>
      </c>
      <c r="J281" s="10" t="s">
        <v>791</v>
      </c>
      <c r="K281" s="7" t="s">
        <v>701</v>
      </c>
      <c r="L281" s="7">
        <v>44015</v>
      </c>
      <c r="M281" s="7"/>
      <c r="N281" s="7"/>
      <c r="O281" s="4" t="str">
        <f t="shared" ca="1" si="16"/>
        <v/>
      </c>
      <c r="P281" s="4" t="str">
        <f t="shared" ca="1" si="17"/>
        <v>Active</v>
      </c>
      <c r="Q281" s="4" t="str">
        <f t="shared" si="19"/>
        <v>PKWTT</v>
      </c>
      <c r="R281" s="7" t="s">
        <v>2980</v>
      </c>
      <c r="S281" s="4" t="s">
        <v>2986</v>
      </c>
      <c r="T281" s="4" t="s">
        <v>794</v>
      </c>
      <c r="U281" s="4" t="s">
        <v>2694</v>
      </c>
      <c r="V281" s="4" t="s">
        <v>659</v>
      </c>
      <c r="W281" s="4" t="s">
        <v>2626</v>
      </c>
      <c r="X281" s="4" t="str">
        <f>_xlfn.XLOOKUP(V281,Reference!$O:$O,Reference!$N:$N,"Tidak Ketemu")</f>
        <v>G11</v>
      </c>
      <c r="Y281" s="4" t="str">
        <f t="shared" si="18"/>
        <v>K/0</v>
      </c>
      <c r="Z281" s="10" t="s">
        <v>2563</v>
      </c>
      <c r="AA281" s="10" t="s">
        <v>2564</v>
      </c>
      <c r="AB281" s="7" t="s">
        <v>2565</v>
      </c>
      <c r="AC281" s="7" t="s">
        <v>3816</v>
      </c>
      <c r="AD281" s="17" t="s">
        <v>2566</v>
      </c>
      <c r="AE281" s="6" t="s">
        <v>2562</v>
      </c>
      <c r="AF281" s="6" t="s">
        <v>1194</v>
      </c>
      <c r="AG281" s="6" t="s">
        <v>704</v>
      </c>
      <c r="AN281" s="4"/>
    </row>
    <row r="282" spans="1:40" x14ac:dyDescent="0.35">
      <c r="A282" s="5">
        <v>202445397</v>
      </c>
      <c r="B282" s="5" t="s">
        <v>937</v>
      </c>
      <c r="C282" s="5" t="s">
        <v>57</v>
      </c>
      <c r="D282" s="5" t="s">
        <v>368</v>
      </c>
      <c r="E282" s="6" t="s">
        <v>3447</v>
      </c>
      <c r="F282" s="7">
        <v>31452</v>
      </c>
      <c r="G282" s="10" t="s">
        <v>676</v>
      </c>
      <c r="H282" s="15" t="s">
        <v>666</v>
      </c>
      <c r="I282" s="4">
        <f>MIN(COUNTIFS('Data Family'!A:A,A282,'Data Family'!F:F,"Child")+COUNTIFS('Data Family'!A:A,A282,'Data Family'!F:F,"&lt;&gt;Child",'Data Family'!J:J,"Housewife")+COUNTIFS('Data Family'!A:A,A282,'Data Family'!F:F,"&lt;&gt;Child",'Data Family'!J:J,"Unemployment"),3)</f>
        <v>0</v>
      </c>
      <c r="J282" s="10" t="s">
        <v>791</v>
      </c>
      <c r="K282" s="7" t="s">
        <v>691</v>
      </c>
      <c r="L282" s="7">
        <v>45397</v>
      </c>
      <c r="M282" s="7">
        <v>46492</v>
      </c>
      <c r="N282" s="7"/>
      <c r="O282" s="4" t="str">
        <f t="shared" ca="1" si="16"/>
        <v/>
      </c>
      <c r="P282" s="4" t="str">
        <f t="shared" ca="1" si="17"/>
        <v>Active</v>
      </c>
      <c r="Q282" s="4" t="str">
        <f t="shared" si="19"/>
        <v>PKWT</v>
      </c>
      <c r="R282" s="7" t="s">
        <v>2981</v>
      </c>
      <c r="S282" s="4" t="s">
        <v>2692</v>
      </c>
      <c r="T282" s="4" t="s">
        <v>2643</v>
      </c>
      <c r="U282" s="4" t="s">
        <v>2994</v>
      </c>
      <c r="V282" s="4" t="s">
        <v>3073</v>
      </c>
      <c r="W282" s="4" t="s">
        <v>2641</v>
      </c>
      <c r="X282" s="4" t="str">
        <f>_xlfn.XLOOKUP(V282,Reference!$O:$O,Reference!$N:$N,"Tidak Ketemu")</f>
        <v>G10</v>
      </c>
      <c r="Y282" s="4" t="str">
        <f t="shared" si="18"/>
        <v>TK/0</v>
      </c>
      <c r="Z282" s="10" t="s">
        <v>940</v>
      </c>
      <c r="AA282" s="10" t="s">
        <v>941</v>
      </c>
      <c r="AB282" s="7" t="s">
        <v>942</v>
      </c>
      <c r="AC282" s="7" t="s">
        <v>3816</v>
      </c>
      <c r="AD282" s="17" t="s">
        <v>943</v>
      </c>
      <c r="AE282" s="6" t="s">
        <v>938</v>
      </c>
      <c r="AF282" s="6" t="s">
        <v>939</v>
      </c>
      <c r="AG282" s="6" t="s">
        <v>818</v>
      </c>
      <c r="AN282" s="4"/>
    </row>
    <row r="283" spans="1:40" x14ac:dyDescent="0.35">
      <c r="A283" s="5">
        <v>201642468</v>
      </c>
      <c r="B283" s="5" t="s">
        <v>1313</v>
      </c>
      <c r="C283" s="5" t="s">
        <v>108</v>
      </c>
      <c r="D283" s="5" t="s">
        <v>419</v>
      </c>
      <c r="E283" s="6" t="s">
        <v>3440</v>
      </c>
      <c r="F283" s="7">
        <v>31471</v>
      </c>
      <c r="G283" s="10" t="s">
        <v>648</v>
      </c>
      <c r="H283" s="15" t="s">
        <v>666</v>
      </c>
      <c r="I283" s="4">
        <f>MIN(COUNTIFS('Data Family'!A:A,A283,'Data Family'!F:F,"Child")+COUNTIFS('Data Family'!A:A,A283,'Data Family'!F:F,"&lt;&gt;Child",'Data Family'!J:J,"Housewife")+COUNTIFS('Data Family'!A:A,A283,'Data Family'!F:F,"&lt;&gt;Child",'Data Family'!J:J,"Unemployment"),3)</f>
        <v>0</v>
      </c>
      <c r="J283" s="10" t="s">
        <v>791</v>
      </c>
      <c r="K283" s="7" t="s">
        <v>652</v>
      </c>
      <c r="L283" s="7">
        <v>46120</v>
      </c>
      <c r="M283" s="7">
        <v>47946</v>
      </c>
      <c r="N283" s="7"/>
      <c r="O283" s="4" t="str">
        <f t="shared" ca="1" si="16"/>
        <v/>
      </c>
      <c r="P283" s="4" t="str">
        <f t="shared" ca="1" si="17"/>
        <v>Active</v>
      </c>
      <c r="Q283" s="4" t="str">
        <f t="shared" si="19"/>
        <v>PKWT</v>
      </c>
      <c r="R283" s="7" t="s">
        <v>2980</v>
      </c>
      <c r="S283" s="4" t="s">
        <v>2987</v>
      </c>
      <c r="T283" s="4" t="s">
        <v>794</v>
      </c>
      <c r="U283" s="4" t="s">
        <v>2694</v>
      </c>
      <c r="V283" s="4" t="s">
        <v>670</v>
      </c>
      <c r="W283" s="4" t="s">
        <v>2632</v>
      </c>
      <c r="X283" s="4" t="str">
        <f>_xlfn.XLOOKUP(V283,Reference!$O:$O,Reference!$N:$N,"Tidak Ketemu")</f>
        <v>G13</v>
      </c>
      <c r="Y283" s="4" t="str">
        <f t="shared" si="18"/>
        <v>TK/0</v>
      </c>
      <c r="Z283" s="10" t="s">
        <v>1316</v>
      </c>
      <c r="AA283" s="10" t="s">
        <v>1317</v>
      </c>
      <c r="AB283" s="7" t="s">
        <v>1318</v>
      </c>
      <c r="AC283" s="7" t="s">
        <v>3816</v>
      </c>
      <c r="AD283" s="17" t="s">
        <v>1319</v>
      </c>
      <c r="AE283" s="6" t="s">
        <v>1314</v>
      </c>
      <c r="AF283" s="6" t="s">
        <v>1315</v>
      </c>
      <c r="AG283" s="6" t="s">
        <v>704</v>
      </c>
      <c r="AN283" s="4"/>
    </row>
    <row r="284" spans="1:40" x14ac:dyDescent="0.35">
      <c r="A284" s="5">
        <v>202044125</v>
      </c>
      <c r="B284" s="5" t="s">
        <v>1788</v>
      </c>
      <c r="C284" s="5" t="s">
        <v>212</v>
      </c>
      <c r="D284" s="5" t="s">
        <v>523</v>
      </c>
      <c r="E284" s="6" t="s">
        <v>3430</v>
      </c>
      <c r="F284" s="7">
        <v>31279</v>
      </c>
      <c r="G284" s="10" t="s">
        <v>676</v>
      </c>
      <c r="H284" s="15" t="s">
        <v>666</v>
      </c>
      <c r="I284" s="4">
        <f>MIN(COUNTIFS('Data Family'!A:A,A284,'Data Family'!F:F,"Child")+COUNTIFS('Data Family'!A:A,A284,'Data Family'!F:F,"&lt;&gt;Child",'Data Family'!J:J,"Housewife")+COUNTIFS('Data Family'!A:A,A284,'Data Family'!F:F,"&lt;&gt;Child",'Data Family'!J:J,"Unemployment"),3)</f>
        <v>0</v>
      </c>
      <c r="J284" s="10" t="s">
        <v>791</v>
      </c>
      <c r="K284" s="7" t="s">
        <v>691</v>
      </c>
      <c r="L284" s="7">
        <v>45951</v>
      </c>
      <c r="M284" s="7">
        <v>47047</v>
      </c>
      <c r="N284" s="7"/>
      <c r="O284" s="4" t="str">
        <f t="shared" ca="1" si="16"/>
        <v/>
      </c>
      <c r="P284" s="4" t="str">
        <f t="shared" ca="1" si="17"/>
        <v>Active</v>
      </c>
      <c r="Q284" s="4" t="str">
        <f t="shared" si="19"/>
        <v>PKWT</v>
      </c>
      <c r="R284" s="7" t="s">
        <v>2981</v>
      </c>
      <c r="S284" s="4" t="s">
        <v>2692</v>
      </c>
      <c r="T284" s="4" t="s">
        <v>2643</v>
      </c>
      <c r="U284" s="4" t="s">
        <v>2994</v>
      </c>
      <c r="V284" s="4" t="s">
        <v>659</v>
      </c>
      <c r="W284" s="4" t="s">
        <v>2655</v>
      </c>
      <c r="X284" s="4" t="str">
        <f>_xlfn.XLOOKUP(V284,Reference!$O:$O,Reference!$N:$N,"Tidak Ketemu")</f>
        <v>G11</v>
      </c>
      <c r="Y284" s="4" t="str">
        <f t="shared" si="18"/>
        <v>TK/0</v>
      </c>
      <c r="Z284" s="10" t="s">
        <v>1951</v>
      </c>
      <c r="AA284" s="10" t="s">
        <v>1952</v>
      </c>
      <c r="AB284" s="7" t="s">
        <v>1953</v>
      </c>
      <c r="AC284" s="7" t="s">
        <v>3816</v>
      </c>
      <c r="AD284" s="17" t="s">
        <v>1954</v>
      </c>
      <c r="AE284" s="6" t="s">
        <v>1950</v>
      </c>
      <c r="AF284" s="6" t="s">
        <v>1790</v>
      </c>
      <c r="AG284" s="6" t="s">
        <v>656</v>
      </c>
      <c r="AN284" s="4"/>
    </row>
    <row r="285" spans="1:40" x14ac:dyDescent="0.35">
      <c r="A285" s="5">
        <v>202144470</v>
      </c>
      <c r="B285" s="5" t="s">
        <v>1160</v>
      </c>
      <c r="C285" s="5" t="s">
        <v>87</v>
      </c>
      <c r="D285" s="5" t="s">
        <v>398</v>
      </c>
      <c r="E285" s="6" t="s">
        <v>689</v>
      </c>
      <c r="F285" s="7">
        <v>33535</v>
      </c>
      <c r="G285" s="10" t="s">
        <v>648</v>
      </c>
      <c r="H285" s="15" t="s">
        <v>2678</v>
      </c>
      <c r="I285" s="4">
        <f>MIN(COUNTIFS('Data Family'!A:A,A285,'Data Family'!F:F,"Child")+COUNTIFS('Data Family'!A:A,A285,'Data Family'!F:F,"&lt;&gt;Child",'Data Family'!J:J,"Housewife")+COUNTIFS('Data Family'!A:A,A285,'Data Family'!F:F,"&lt;&gt;Child",'Data Family'!J:J,"Unemployment"),3)</f>
        <v>1</v>
      </c>
      <c r="J285" s="10" t="s">
        <v>791</v>
      </c>
      <c r="K285" s="7" t="s">
        <v>701</v>
      </c>
      <c r="L285" s="7">
        <v>44470</v>
      </c>
      <c r="M285" s="7">
        <v>46357</v>
      </c>
      <c r="N285" s="7"/>
      <c r="O285" s="4" t="str">
        <f t="shared" ca="1" si="16"/>
        <v/>
      </c>
      <c r="P285" s="4" t="str">
        <f t="shared" ca="1" si="17"/>
        <v>Active</v>
      </c>
      <c r="Q285" s="4" t="str">
        <f t="shared" si="19"/>
        <v>PKWT</v>
      </c>
      <c r="R285" s="7" t="s">
        <v>2980</v>
      </c>
      <c r="S285" s="4" t="s">
        <v>2687</v>
      </c>
      <c r="T285" s="4" t="s">
        <v>794</v>
      </c>
      <c r="U285" s="4" t="s">
        <v>2694</v>
      </c>
      <c r="V285" s="4" t="s">
        <v>670</v>
      </c>
      <c r="W285" s="4" t="s">
        <v>2632</v>
      </c>
      <c r="X285" s="4" t="str">
        <f>_xlfn.XLOOKUP(V285,Reference!$O:$O,Reference!$N:$N,"Tidak Ketemu")</f>
        <v>G13</v>
      </c>
      <c r="Y285" s="4" t="str">
        <f t="shared" si="18"/>
        <v>TK/1</v>
      </c>
      <c r="Z285" s="10" t="s">
        <v>1163</v>
      </c>
      <c r="AA285" s="10" t="s">
        <v>1164</v>
      </c>
      <c r="AB285" s="7" t="s">
        <v>1165</v>
      </c>
      <c r="AC285" s="7" t="s">
        <v>3816</v>
      </c>
      <c r="AD285" s="17" t="s">
        <v>1166</v>
      </c>
      <c r="AE285" s="6" t="s">
        <v>1161</v>
      </c>
      <c r="AF285" s="6" t="s">
        <v>1162</v>
      </c>
      <c r="AG285" s="6" t="s">
        <v>656</v>
      </c>
      <c r="AN285" s="4"/>
    </row>
    <row r="286" spans="1:40" x14ac:dyDescent="0.35">
      <c r="A286" s="5">
        <v>201642544</v>
      </c>
      <c r="B286" s="5" t="s">
        <v>1219</v>
      </c>
      <c r="C286" s="5" t="s">
        <v>94</v>
      </c>
      <c r="D286" s="5" t="s">
        <v>405</v>
      </c>
      <c r="E286" s="6" t="s">
        <v>689</v>
      </c>
      <c r="F286" s="7">
        <v>34160</v>
      </c>
      <c r="G286" s="10" t="s">
        <v>648</v>
      </c>
      <c r="H286" s="15" t="s">
        <v>2678</v>
      </c>
      <c r="I286" s="4">
        <f>MIN(COUNTIFS('Data Family'!A:A,A286,'Data Family'!F:F,"Child")+COUNTIFS('Data Family'!A:A,A286,'Data Family'!F:F,"&lt;&gt;Child",'Data Family'!J:J,"Housewife")+COUNTIFS('Data Family'!A:A,A286,'Data Family'!F:F,"&lt;&gt;Child",'Data Family'!J:J,"Unemployment"),3)</f>
        <v>1</v>
      </c>
      <c r="J286" s="10" t="s">
        <v>791</v>
      </c>
      <c r="K286" s="7" t="s">
        <v>652</v>
      </c>
      <c r="L286" s="7">
        <v>45466</v>
      </c>
      <c r="M286" s="7">
        <v>47292</v>
      </c>
      <c r="N286" s="7"/>
      <c r="O286" s="4" t="str">
        <f t="shared" ca="1" si="16"/>
        <v/>
      </c>
      <c r="P286" s="4" t="str">
        <f t="shared" ca="1" si="17"/>
        <v>Active</v>
      </c>
      <c r="Q286" s="4" t="str">
        <f t="shared" si="19"/>
        <v>PKWT</v>
      </c>
      <c r="R286" s="7" t="s">
        <v>2980</v>
      </c>
      <c r="S286" s="4" t="s">
        <v>2986</v>
      </c>
      <c r="T286" s="4" t="s">
        <v>794</v>
      </c>
      <c r="U286" s="4" t="s">
        <v>2694</v>
      </c>
      <c r="V286" s="4" t="s">
        <v>670</v>
      </c>
      <c r="W286" s="4" t="s">
        <v>2631</v>
      </c>
      <c r="X286" s="4" t="str">
        <f>_xlfn.XLOOKUP(V286,Reference!$O:$O,Reference!$N:$N,"Tidak Ketemu")</f>
        <v>G13</v>
      </c>
      <c r="Y286" s="4" t="str">
        <f t="shared" si="18"/>
        <v>TK/1</v>
      </c>
      <c r="Z286" s="10" t="s">
        <v>1222</v>
      </c>
      <c r="AA286" s="10" t="s">
        <v>1223</v>
      </c>
      <c r="AB286" s="7" t="s">
        <v>1224</v>
      </c>
      <c r="AC286" s="7" t="s">
        <v>3816</v>
      </c>
      <c r="AD286" s="17" t="s">
        <v>1225</v>
      </c>
      <c r="AE286" s="6" t="s">
        <v>1220</v>
      </c>
      <c r="AF286" s="6" t="s">
        <v>1221</v>
      </c>
      <c r="AG286" s="6" t="s">
        <v>680</v>
      </c>
      <c r="AN286" s="4"/>
    </row>
    <row r="287" spans="1:40" x14ac:dyDescent="0.35">
      <c r="A287" s="5">
        <v>201642373</v>
      </c>
      <c r="B287" s="5" t="s">
        <v>3052</v>
      </c>
      <c r="C287" s="5" t="s">
        <v>97</v>
      </c>
      <c r="D287" s="5" t="s">
        <v>408</v>
      </c>
      <c r="E287" s="6" t="s">
        <v>689</v>
      </c>
      <c r="F287" s="7">
        <v>35773</v>
      </c>
      <c r="G287" s="10" t="s">
        <v>648</v>
      </c>
      <c r="H287" s="15" t="s">
        <v>2678</v>
      </c>
      <c r="I287" s="4">
        <f>MIN(COUNTIFS('Data Family'!A:A,A287,'Data Family'!F:F,"Child")+COUNTIFS('Data Family'!A:A,A287,'Data Family'!F:F,"&lt;&gt;Child",'Data Family'!J:J,"Housewife")+COUNTIFS('Data Family'!A:A,A287,'Data Family'!F:F,"&lt;&gt;Child",'Data Family'!J:J,"Unemployment"),3)</f>
        <v>1</v>
      </c>
      <c r="J287" s="10" t="s">
        <v>791</v>
      </c>
      <c r="K287" s="7" t="s">
        <v>701</v>
      </c>
      <c r="L287" s="7">
        <v>44565</v>
      </c>
      <c r="M287" s="7">
        <v>46391</v>
      </c>
      <c r="N287" s="7"/>
      <c r="O287" s="4" t="str">
        <f t="shared" ca="1" si="16"/>
        <v/>
      </c>
      <c r="P287" s="4" t="str">
        <f t="shared" ca="1" si="17"/>
        <v>Active</v>
      </c>
      <c r="Q287" s="4" t="str">
        <f t="shared" si="19"/>
        <v>PKWT</v>
      </c>
      <c r="R287" s="7" t="s">
        <v>2980</v>
      </c>
      <c r="S287" s="4" t="s">
        <v>2991</v>
      </c>
      <c r="T287" s="4" t="s">
        <v>794</v>
      </c>
      <c r="U287" s="4" t="s">
        <v>2694</v>
      </c>
      <c r="V287" s="4" t="s">
        <v>2640</v>
      </c>
      <c r="W287" s="4" t="s">
        <v>3051</v>
      </c>
      <c r="X287" s="4" t="str">
        <f>_xlfn.XLOOKUP(V287,Reference!$O:$O,Reference!$N:$N,"Tidak Ketemu")</f>
        <v>G12</v>
      </c>
      <c r="Y287" s="4" t="str">
        <f t="shared" si="18"/>
        <v>TK/1</v>
      </c>
      <c r="Z287" s="10" t="s">
        <v>1241</v>
      </c>
      <c r="AA287" s="10" t="s">
        <v>1242</v>
      </c>
      <c r="AB287" s="7" t="s">
        <v>1243</v>
      </c>
      <c r="AC287" s="7" t="s">
        <v>3816</v>
      </c>
      <c r="AD287" s="17" t="s">
        <v>1244</v>
      </c>
      <c r="AE287" s="6" t="s">
        <v>1239</v>
      </c>
      <c r="AF287" s="6" t="s">
        <v>1240</v>
      </c>
      <c r="AG287" s="6" t="s">
        <v>731</v>
      </c>
      <c r="AN287" s="4"/>
    </row>
    <row r="288" spans="1:40" x14ac:dyDescent="0.35">
      <c r="A288" s="5">
        <v>202043922</v>
      </c>
      <c r="B288" s="5" t="s">
        <v>974</v>
      </c>
      <c r="C288" s="5" t="s">
        <v>62</v>
      </c>
      <c r="D288" s="5" t="s">
        <v>373</v>
      </c>
      <c r="E288" s="6" t="s">
        <v>3435</v>
      </c>
      <c r="F288" s="7">
        <v>33569</v>
      </c>
      <c r="G288" s="10" t="s">
        <v>648</v>
      </c>
      <c r="H288" s="15" t="s">
        <v>651</v>
      </c>
      <c r="I288" s="4">
        <f>MIN(COUNTIFS('Data Family'!A:A,A288,'Data Family'!F:F,"Child")+COUNTIFS('Data Family'!A:A,A288,'Data Family'!F:F,"&lt;&gt;Child",'Data Family'!J:J,"Housewife")+COUNTIFS('Data Family'!A:A,A288,'Data Family'!F:F,"&lt;&gt;Child",'Data Family'!J:J,"Unemployment"),3)</f>
        <v>1</v>
      </c>
      <c r="J288" s="10" t="s">
        <v>791</v>
      </c>
      <c r="K288" s="7" t="s">
        <v>701</v>
      </c>
      <c r="L288" s="7">
        <v>43922</v>
      </c>
      <c r="M288" s="7"/>
      <c r="N288" s="7"/>
      <c r="O288" s="4" t="str">
        <f t="shared" ca="1" si="16"/>
        <v/>
      </c>
      <c r="P288" s="4" t="str">
        <f t="shared" ca="1" si="17"/>
        <v>Active</v>
      </c>
      <c r="Q288" s="4" t="str">
        <f t="shared" si="19"/>
        <v>PKWTT</v>
      </c>
      <c r="R288" s="7" t="s">
        <v>2980</v>
      </c>
      <c r="S288" s="4" t="s">
        <v>2986</v>
      </c>
      <c r="T288" s="4" t="s">
        <v>794</v>
      </c>
      <c r="U288" s="4" t="s">
        <v>2694</v>
      </c>
      <c r="V288" s="4" t="s">
        <v>670</v>
      </c>
      <c r="W288" s="4" t="s">
        <v>2632</v>
      </c>
      <c r="X288" s="4" t="str">
        <f>_xlfn.XLOOKUP(V288,Reference!$O:$O,Reference!$N:$N,"Tidak Ketemu")</f>
        <v>G13</v>
      </c>
      <c r="Y288" s="4" t="str">
        <f t="shared" si="18"/>
        <v>K/1</v>
      </c>
      <c r="Z288" s="10" t="s">
        <v>977</v>
      </c>
      <c r="AA288" s="10" t="s">
        <v>978</v>
      </c>
      <c r="AB288" s="7" t="s">
        <v>979</v>
      </c>
      <c r="AC288" s="7" t="s">
        <v>3816</v>
      </c>
      <c r="AD288" s="17" t="s">
        <v>980</v>
      </c>
      <c r="AE288" s="6" t="s">
        <v>975</v>
      </c>
      <c r="AF288" s="6" t="s">
        <v>976</v>
      </c>
      <c r="AG288" s="6" t="s">
        <v>694</v>
      </c>
      <c r="AN288" s="4"/>
    </row>
    <row r="289" spans="1:40" x14ac:dyDescent="0.35">
      <c r="A289" s="5">
        <v>201843391</v>
      </c>
      <c r="B289" s="5" t="s">
        <v>1192</v>
      </c>
      <c r="C289" s="5" t="s">
        <v>217</v>
      </c>
      <c r="D289" s="5" t="s">
        <v>528</v>
      </c>
      <c r="E289" s="6" t="s">
        <v>689</v>
      </c>
      <c r="F289" s="7">
        <v>30486</v>
      </c>
      <c r="G289" s="10" t="s">
        <v>648</v>
      </c>
      <c r="H289" s="15" t="s">
        <v>651</v>
      </c>
      <c r="I289" s="4">
        <f>MIN(COUNTIFS('Data Family'!A:A,A289,'Data Family'!F:F,"Child")+COUNTIFS('Data Family'!A:A,A289,'Data Family'!F:F,"&lt;&gt;Child",'Data Family'!J:J,"Housewife")+COUNTIFS('Data Family'!A:A,A289,'Data Family'!F:F,"&lt;&gt;Child",'Data Family'!J:J,"Unemployment"),3)</f>
        <v>2</v>
      </c>
      <c r="J289" s="10" t="s">
        <v>791</v>
      </c>
      <c r="K289" s="7" t="s">
        <v>677</v>
      </c>
      <c r="L289" s="7">
        <v>44122</v>
      </c>
      <c r="M289" s="7"/>
      <c r="N289" s="7"/>
      <c r="O289" s="4" t="str">
        <f t="shared" ca="1" si="16"/>
        <v/>
      </c>
      <c r="P289" s="4" t="str">
        <f t="shared" ca="1" si="17"/>
        <v>Active</v>
      </c>
      <c r="Q289" s="4" t="str">
        <f t="shared" si="19"/>
        <v>PKWTT</v>
      </c>
      <c r="R289" s="7" t="s">
        <v>2980</v>
      </c>
      <c r="S289" s="4" t="s">
        <v>2986</v>
      </c>
      <c r="T289" s="4" t="s">
        <v>794</v>
      </c>
      <c r="U289" s="4" t="s">
        <v>2694</v>
      </c>
      <c r="V289" s="4" t="s">
        <v>670</v>
      </c>
      <c r="W289" s="4" t="s">
        <v>2632</v>
      </c>
      <c r="X289" s="4" t="str">
        <f>_xlfn.XLOOKUP(V289,Reference!$O:$O,Reference!$N:$N,"Tidak Ketemu")</f>
        <v>G13</v>
      </c>
      <c r="Y289" s="4" t="str">
        <f t="shared" si="18"/>
        <v>K/2</v>
      </c>
      <c r="Z289" s="10" t="s">
        <v>1980</v>
      </c>
      <c r="AA289" s="10" t="s">
        <v>1981</v>
      </c>
      <c r="AB289" s="7" t="s">
        <v>1982</v>
      </c>
      <c r="AC289" s="7" t="s">
        <v>3816</v>
      </c>
      <c r="AD289" s="17" t="s">
        <v>1983</v>
      </c>
      <c r="AE289" s="6" t="s">
        <v>1979</v>
      </c>
      <c r="AF289" s="6" t="s">
        <v>1194</v>
      </c>
      <c r="AG289" s="6" t="s">
        <v>656</v>
      </c>
      <c r="AN289" s="4"/>
    </row>
    <row r="290" spans="1:40" x14ac:dyDescent="0.35">
      <c r="A290" s="5">
        <v>201843144</v>
      </c>
      <c r="B290" s="5" t="s">
        <v>3083</v>
      </c>
      <c r="C290" s="5" t="s">
        <v>27</v>
      </c>
      <c r="D290" s="5" t="s">
        <v>338</v>
      </c>
      <c r="E290" s="6" t="s">
        <v>3450</v>
      </c>
      <c r="F290" s="7">
        <v>35098</v>
      </c>
      <c r="G290" s="10" t="s">
        <v>648</v>
      </c>
      <c r="H290" s="15" t="s">
        <v>666</v>
      </c>
      <c r="I290" s="4">
        <f>MIN(COUNTIFS('Data Family'!A:A,A290,'Data Family'!F:F,"Child")+COUNTIFS('Data Family'!A:A,A290,'Data Family'!F:F,"&lt;&gt;Child",'Data Family'!J:J,"Housewife")+COUNTIFS('Data Family'!A:A,A290,'Data Family'!F:F,"&lt;&gt;Child",'Data Family'!J:J,"Unemployment"),3)</f>
        <v>0</v>
      </c>
      <c r="J290" s="10" t="s">
        <v>791</v>
      </c>
      <c r="K290" s="7" t="s">
        <v>691</v>
      </c>
      <c r="L290" s="7">
        <v>46066</v>
      </c>
      <c r="M290" s="7">
        <v>47892</v>
      </c>
      <c r="N290" s="7"/>
      <c r="O290" s="4" t="str">
        <f t="shared" ca="1" si="16"/>
        <v/>
      </c>
      <c r="P290" s="4" t="str">
        <f t="shared" ca="1" si="17"/>
        <v>Active</v>
      </c>
      <c r="Q290" s="4" t="str">
        <f t="shared" si="19"/>
        <v>PKWT</v>
      </c>
      <c r="R290" s="7" t="s">
        <v>2980</v>
      </c>
      <c r="S290" s="4" t="s">
        <v>2986</v>
      </c>
      <c r="T290" s="4" t="s">
        <v>794</v>
      </c>
      <c r="U290" s="4" t="s">
        <v>2694</v>
      </c>
      <c r="V290" s="4" t="s">
        <v>670</v>
      </c>
      <c r="W290" s="4" t="s">
        <v>2631</v>
      </c>
      <c r="X290" s="4" t="str">
        <f>_xlfn.XLOOKUP(V290,Reference!$O:$O,Reference!$N:$N,"Tidak Ketemu")</f>
        <v>G13</v>
      </c>
      <c r="Y290" s="4" t="str">
        <f t="shared" si="18"/>
        <v>TK/0</v>
      </c>
      <c r="Z290" s="10" t="s">
        <v>684</v>
      </c>
      <c r="AA290" s="10" t="s">
        <v>685</v>
      </c>
      <c r="AB290" s="7" t="s">
        <v>686</v>
      </c>
      <c r="AC290" s="7" t="s">
        <v>3816</v>
      </c>
      <c r="AD290" s="17" t="s">
        <v>687</v>
      </c>
      <c r="AE290" s="6" t="s">
        <v>678</v>
      </c>
      <c r="AF290" s="6" t="s">
        <v>679</v>
      </c>
      <c r="AG290" s="6" t="s">
        <v>680</v>
      </c>
      <c r="AN290" s="4"/>
    </row>
    <row r="291" spans="1:40" x14ac:dyDescent="0.35">
      <c r="A291" s="5">
        <v>202144282</v>
      </c>
      <c r="B291" s="5" t="s">
        <v>3084</v>
      </c>
      <c r="C291" s="5" t="s">
        <v>56</v>
      </c>
      <c r="D291" s="5" t="s">
        <v>367</v>
      </c>
      <c r="E291" s="6" t="s">
        <v>3450</v>
      </c>
      <c r="F291" s="7">
        <v>36071</v>
      </c>
      <c r="G291" s="10" t="s">
        <v>648</v>
      </c>
      <c r="H291" s="15" t="s">
        <v>666</v>
      </c>
      <c r="I291" s="4">
        <f>MIN(COUNTIFS('Data Family'!A:A,A291,'Data Family'!F:F,"Child")+COUNTIFS('Data Family'!A:A,A291,'Data Family'!F:F,"&lt;&gt;Child",'Data Family'!J:J,"Housewife")+COUNTIFS('Data Family'!A:A,A291,'Data Family'!F:F,"&lt;&gt;Child",'Data Family'!J:J,"Unemployment"),3)</f>
        <v>0</v>
      </c>
      <c r="J291" s="10" t="s">
        <v>791</v>
      </c>
      <c r="K291" s="7" t="s">
        <v>691</v>
      </c>
      <c r="L291" s="7">
        <v>45378</v>
      </c>
      <c r="M291" s="7">
        <v>46473</v>
      </c>
      <c r="N291" s="7"/>
      <c r="O291" s="4" t="str">
        <f t="shared" ca="1" si="16"/>
        <v/>
      </c>
      <c r="P291" s="4" t="str">
        <f t="shared" ca="1" si="17"/>
        <v>Active</v>
      </c>
      <c r="Q291" s="4" t="str">
        <f t="shared" si="19"/>
        <v>PKWT</v>
      </c>
      <c r="R291" s="7" t="s">
        <v>2980</v>
      </c>
      <c r="S291" s="4" t="s">
        <v>2985</v>
      </c>
      <c r="T291" s="4" t="s">
        <v>794</v>
      </c>
      <c r="U291" s="4" t="s">
        <v>2694</v>
      </c>
      <c r="V291" s="4" t="s">
        <v>670</v>
      </c>
      <c r="W291" s="4" t="s">
        <v>2631</v>
      </c>
      <c r="X291" s="4" t="str">
        <f>_xlfn.XLOOKUP(V291,Reference!$O:$O,Reference!$N:$N,"Tidak Ketemu")</f>
        <v>G13</v>
      </c>
      <c r="Y291" s="4" t="str">
        <f t="shared" si="18"/>
        <v>TK/0</v>
      </c>
      <c r="Z291" s="10" t="s">
        <v>931</v>
      </c>
      <c r="AA291" s="10" t="s">
        <v>932</v>
      </c>
      <c r="AB291" s="7" t="s">
        <v>933</v>
      </c>
      <c r="AC291" s="7" t="s">
        <v>3816</v>
      </c>
      <c r="AD291" s="17" t="s">
        <v>934</v>
      </c>
      <c r="AE291" s="6" t="s">
        <v>930</v>
      </c>
      <c r="AF291" s="6" t="s">
        <v>679</v>
      </c>
      <c r="AG291" s="6" t="s">
        <v>656</v>
      </c>
      <c r="AN291" s="4"/>
    </row>
    <row r="292" spans="1:40" x14ac:dyDescent="0.35">
      <c r="A292" s="5">
        <v>201642692</v>
      </c>
      <c r="B292" s="5" t="s">
        <v>3085</v>
      </c>
      <c r="C292" s="5" t="s">
        <v>63</v>
      </c>
      <c r="D292" s="5" t="s">
        <v>374</v>
      </c>
      <c r="E292" s="6" t="s">
        <v>3450</v>
      </c>
      <c r="F292" s="7">
        <v>36060</v>
      </c>
      <c r="G292" s="10" t="s">
        <v>648</v>
      </c>
      <c r="H292" s="15" t="s">
        <v>666</v>
      </c>
      <c r="I292" s="4">
        <f>MIN(COUNTIFS('Data Family'!A:A,A292,'Data Family'!F:F,"Child")+COUNTIFS('Data Family'!A:A,A292,'Data Family'!F:F,"&lt;&gt;Child",'Data Family'!J:J,"Housewife")+COUNTIFS('Data Family'!A:A,A292,'Data Family'!F:F,"&lt;&gt;Child",'Data Family'!J:J,"Unemployment"),3)</f>
        <v>0</v>
      </c>
      <c r="J292" s="10" t="s">
        <v>791</v>
      </c>
      <c r="K292" s="7" t="s">
        <v>691</v>
      </c>
      <c r="L292" s="7">
        <v>45979</v>
      </c>
      <c r="M292" s="7">
        <v>47805</v>
      </c>
      <c r="N292" s="7"/>
      <c r="O292" s="4" t="str">
        <f t="shared" ca="1" si="16"/>
        <v/>
      </c>
      <c r="P292" s="4" t="str">
        <f t="shared" ca="1" si="17"/>
        <v>Active</v>
      </c>
      <c r="Q292" s="4" t="str">
        <f t="shared" si="19"/>
        <v>PKWT</v>
      </c>
      <c r="R292" s="7" t="s">
        <v>2980</v>
      </c>
      <c r="S292" s="4" t="s">
        <v>2687</v>
      </c>
      <c r="T292" s="4" t="s">
        <v>794</v>
      </c>
      <c r="U292" s="4" t="s">
        <v>2694</v>
      </c>
      <c r="V292" s="4" t="s">
        <v>670</v>
      </c>
      <c r="W292" s="4" t="s">
        <v>2631</v>
      </c>
      <c r="X292" s="4" t="str">
        <f>_xlfn.XLOOKUP(V292,Reference!$O:$O,Reference!$N:$N,"Tidak Ketemu")</f>
        <v>G13</v>
      </c>
      <c r="Y292" s="4" t="str">
        <f t="shared" si="18"/>
        <v>TK/0</v>
      </c>
      <c r="Z292" s="10" t="s">
        <v>984</v>
      </c>
      <c r="AA292" s="10" t="s">
        <v>985</v>
      </c>
      <c r="AB292" s="7" t="s">
        <v>986</v>
      </c>
      <c r="AC292" s="7" t="s">
        <v>3816</v>
      </c>
      <c r="AD292" s="17" t="s">
        <v>987</v>
      </c>
      <c r="AE292" s="6" t="s">
        <v>982</v>
      </c>
      <c r="AF292" s="6" t="s">
        <v>983</v>
      </c>
      <c r="AG292" s="6" t="s">
        <v>656</v>
      </c>
      <c r="AN292" s="4"/>
    </row>
    <row r="293" spans="1:40" x14ac:dyDescent="0.35">
      <c r="A293" s="5">
        <v>202144512</v>
      </c>
      <c r="B293" s="5" t="s">
        <v>3086</v>
      </c>
      <c r="C293" s="5" t="s">
        <v>74</v>
      </c>
      <c r="D293" s="5" t="s">
        <v>385</v>
      </c>
      <c r="E293" s="6" t="s">
        <v>689</v>
      </c>
      <c r="F293" s="7">
        <v>36291</v>
      </c>
      <c r="G293" s="10" t="s">
        <v>648</v>
      </c>
      <c r="H293" s="15" t="s">
        <v>666</v>
      </c>
      <c r="I293" s="4">
        <f>MIN(COUNTIFS('Data Family'!A:A,A293,'Data Family'!F:F,"Child")+COUNTIFS('Data Family'!A:A,A293,'Data Family'!F:F,"&lt;&gt;Child",'Data Family'!J:J,"Housewife")+COUNTIFS('Data Family'!A:A,A293,'Data Family'!F:F,"&lt;&gt;Child",'Data Family'!J:J,"Unemployment"),3)</f>
        <v>0</v>
      </c>
      <c r="J293" s="10" t="s">
        <v>791</v>
      </c>
      <c r="K293" s="7" t="s">
        <v>691</v>
      </c>
      <c r="L293" s="7">
        <v>45608</v>
      </c>
      <c r="M293" s="7">
        <v>47434</v>
      </c>
      <c r="N293" s="7"/>
      <c r="O293" s="4" t="str">
        <f t="shared" ca="1" si="16"/>
        <v/>
      </c>
      <c r="P293" s="4" t="str">
        <f t="shared" ca="1" si="17"/>
        <v>Active</v>
      </c>
      <c r="Q293" s="4" t="str">
        <f t="shared" si="19"/>
        <v>PKWT</v>
      </c>
      <c r="R293" s="7" t="s">
        <v>2980</v>
      </c>
      <c r="S293" s="4" t="s">
        <v>2986</v>
      </c>
      <c r="T293" s="4" t="s">
        <v>794</v>
      </c>
      <c r="U293" s="4" t="s">
        <v>2694</v>
      </c>
      <c r="V293" s="4" t="s">
        <v>670</v>
      </c>
      <c r="W293" s="4" t="s">
        <v>2631</v>
      </c>
      <c r="X293" s="4" t="str">
        <f>_xlfn.XLOOKUP(V293,Reference!$O:$O,Reference!$N:$N,"Tidak Ketemu")</f>
        <v>G13</v>
      </c>
      <c r="Y293" s="4" t="str">
        <f t="shared" si="18"/>
        <v>TK/0</v>
      </c>
      <c r="Z293" s="10" t="s">
        <v>1072</v>
      </c>
      <c r="AA293" s="10" t="s">
        <v>1073</v>
      </c>
      <c r="AB293" s="7" t="s">
        <v>1074</v>
      </c>
      <c r="AC293" s="7" t="s">
        <v>3816</v>
      </c>
      <c r="AD293" s="17" t="s">
        <v>1075</v>
      </c>
      <c r="AE293" s="6" t="s">
        <v>1070</v>
      </c>
      <c r="AF293" s="6" t="s">
        <v>1071</v>
      </c>
      <c r="AG293" s="6" t="s">
        <v>680</v>
      </c>
      <c r="AN293" s="4"/>
    </row>
    <row r="294" spans="1:40" x14ac:dyDescent="0.35">
      <c r="A294" s="5">
        <v>201843242</v>
      </c>
      <c r="B294" s="5" t="s">
        <v>3087</v>
      </c>
      <c r="C294" s="5" t="s">
        <v>200</v>
      </c>
      <c r="D294" s="5" t="s">
        <v>511</v>
      </c>
      <c r="E294" s="6" t="s">
        <v>689</v>
      </c>
      <c r="F294" s="7">
        <v>36335</v>
      </c>
      <c r="G294" s="10" t="s">
        <v>648</v>
      </c>
      <c r="H294" s="15" t="s">
        <v>666</v>
      </c>
      <c r="I294" s="4">
        <f>MIN(COUNTIFS('Data Family'!A:A,A294,'Data Family'!F:F,"Child")+COUNTIFS('Data Family'!A:A,A294,'Data Family'!F:F,"&lt;&gt;Child",'Data Family'!J:J,"Housewife")+COUNTIFS('Data Family'!A:A,A294,'Data Family'!F:F,"&lt;&gt;Child",'Data Family'!J:J,"Unemployment"),3)</f>
        <v>0</v>
      </c>
      <c r="J294" s="10" t="s">
        <v>791</v>
      </c>
      <c r="K294" s="7" t="s">
        <v>691</v>
      </c>
      <c r="L294" s="7">
        <v>45068</v>
      </c>
      <c r="M294" s="7">
        <v>46895</v>
      </c>
      <c r="N294" s="7"/>
      <c r="O294" s="4" t="str">
        <f t="shared" ca="1" si="16"/>
        <v/>
      </c>
      <c r="P294" s="4" t="str">
        <f t="shared" ca="1" si="17"/>
        <v>Active</v>
      </c>
      <c r="Q294" s="4" t="str">
        <f t="shared" si="19"/>
        <v>PKWT</v>
      </c>
      <c r="R294" s="7" t="s">
        <v>2980</v>
      </c>
      <c r="S294" s="4" t="s">
        <v>2987</v>
      </c>
      <c r="T294" s="4" t="s">
        <v>794</v>
      </c>
      <c r="U294" s="4" t="s">
        <v>2694</v>
      </c>
      <c r="V294" s="4" t="s">
        <v>670</v>
      </c>
      <c r="W294" s="4" t="s">
        <v>2631</v>
      </c>
      <c r="X294" s="4" t="str">
        <f>_xlfn.XLOOKUP(V294,Reference!$O:$O,Reference!$N:$N,"Tidak Ketemu")</f>
        <v>G13</v>
      </c>
      <c r="Y294" s="4" t="str">
        <f t="shared" si="18"/>
        <v>TK/0</v>
      </c>
      <c r="Z294" s="10" t="s">
        <v>1881</v>
      </c>
      <c r="AA294" s="10" t="s">
        <v>1882</v>
      </c>
      <c r="AB294" s="7" t="s">
        <v>1883</v>
      </c>
      <c r="AC294" s="7" t="s">
        <v>3816</v>
      </c>
      <c r="AD294" s="17" t="s">
        <v>1884</v>
      </c>
      <c r="AE294" s="6" t="s">
        <v>1879</v>
      </c>
      <c r="AF294" s="6" t="s">
        <v>1880</v>
      </c>
      <c r="AG294" s="6" t="s">
        <v>694</v>
      </c>
      <c r="AN294" s="4"/>
    </row>
    <row r="295" spans="1:40" x14ac:dyDescent="0.35">
      <c r="A295" s="5">
        <v>202545910</v>
      </c>
      <c r="B295" s="5" t="s">
        <v>3088</v>
      </c>
      <c r="C295" s="5" t="s">
        <v>238</v>
      </c>
      <c r="D295" s="5" t="s">
        <v>549</v>
      </c>
      <c r="E295" s="6" t="s">
        <v>809</v>
      </c>
      <c r="F295" s="7">
        <v>36353</v>
      </c>
      <c r="G295" s="10" t="s">
        <v>648</v>
      </c>
      <c r="H295" s="15" t="s">
        <v>666</v>
      </c>
      <c r="I295" s="4">
        <f>MIN(COUNTIFS('Data Family'!A:A,A295,'Data Family'!F:F,"Child")+COUNTIFS('Data Family'!A:A,A295,'Data Family'!F:F,"&lt;&gt;Child",'Data Family'!J:J,"Housewife")+COUNTIFS('Data Family'!A:A,A295,'Data Family'!F:F,"&lt;&gt;Child",'Data Family'!J:J,"Unemployment"),3)</f>
        <v>0</v>
      </c>
      <c r="J295" s="10" t="s">
        <v>791</v>
      </c>
      <c r="K295" s="7" t="s">
        <v>691</v>
      </c>
      <c r="L295" s="7">
        <v>45910</v>
      </c>
      <c r="M295" s="7">
        <v>46640</v>
      </c>
      <c r="N295" s="7"/>
      <c r="O295" s="4" t="str">
        <f t="shared" ca="1" si="16"/>
        <v/>
      </c>
      <c r="P295" s="4" t="str">
        <f t="shared" ca="1" si="17"/>
        <v>Active</v>
      </c>
      <c r="Q295" s="4" t="str">
        <f t="shared" si="19"/>
        <v>PKWT</v>
      </c>
      <c r="R295" s="7" t="s">
        <v>2980</v>
      </c>
      <c r="S295" s="4" t="s">
        <v>2986</v>
      </c>
      <c r="T295" s="4" t="s">
        <v>794</v>
      </c>
      <c r="U295" s="4" t="s">
        <v>2694</v>
      </c>
      <c r="V295" s="4" t="s">
        <v>670</v>
      </c>
      <c r="W295" s="4" t="s">
        <v>2631</v>
      </c>
      <c r="X295" s="4" t="str">
        <f>_xlfn.XLOOKUP(V295,Reference!$O:$O,Reference!$N:$N,"Tidak Ketemu")</f>
        <v>G13</v>
      </c>
      <c r="Y295" s="4" t="str">
        <f t="shared" si="18"/>
        <v>TK/0</v>
      </c>
      <c r="Z295" s="10" t="s">
        <v>2097</v>
      </c>
      <c r="AA295" s="10" t="s">
        <v>2098</v>
      </c>
      <c r="AB295" s="7" t="s">
        <v>2099</v>
      </c>
      <c r="AC295" s="7" t="s">
        <v>3816</v>
      </c>
      <c r="AD295" s="17" t="s">
        <v>2100</v>
      </c>
      <c r="AE295" s="6" t="s">
        <v>2096</v>
      </c>
      <c r="AF295" s="6" t="s">
        <v>2054</v>
      </c>
      <c r="AG295" s="6" t="s">
        <v>704</v>
      </c>
      <c r="AN295" s="4"/>
    </row>
    <row r="296" spans="1:40" x14ac:dyDescent="0.35">
      <c r="A296" s="5">
        <v>202044080</v>
      </c>
      <c r="B296" s="5" t="s">
        <v>967</v>
      </c>
      <c r="C296" s="5" t="s">
        <v>213</v>
      </c>
      <c r="D296" s="5" t="s">
        <v>524</v>
      </c>
      <c r="E296" s="6" t="s">
        <v>664</v>
      </c>
      <c r="F296" s="7">
        <v>33129</v>
      </c>
      <c r="G296" s="10" t="s">
        <v>648</v>
      </c>
      <c r="H296" s="15" t="s">
        <v>651</v>
      </c>
      <c r="I296" s="4">
        <f>MIN(COUNTIFS('Data Family'!A:A,A296,'Data Family'!F:F,"Child")+COUNTIFS('Data Family'!A:A,A296,'Data Family'!F:F,"&lt;&gt;Child",'Data Family'!J:J,"Housewife")+COUNTIFS('Data Family'!A:A,A296,'Data Family'!F:F,"&lt;&gt;Child",'Data Family'!J:J,"Unemployment"),3)</f>
        <v>1</v>
      </c>
      <c r="J296" s="10" t="s">
        <v>791</v>
      </c>
      <c r="K296" s="7" t="s">
        <v>677</v>
      </c>
      <c r="L296" s="7">
        <v>44080</v>
      </c>
      <c r="M296" s="7"/>
      <c r="N296" s="7"/>
      <c r="O296" s="4" t="str">
        <f t="shared" ca="1" si="16"/>
        <v/>
      </c>
      <c r="P296" s="4" t="str">
        <f t="shared" ca="1" si="17"/>
        <v>Active</v>
      </c>
      <c r="Q296" s="4" t="str">
        <f t="shared" si="19"/>
        <v>PKWTT</v>
      </c>
      <c r="R296" s="7" t="s">
        <v>2980</v>
      </c>
      <c r="S296" s="4" t="s">
        <v>2986</v>
      </c>
      <c r="T296" s="4" t="s">
        <v>794</v>
      </c>
      <c r="U296" s="4" t="s">
        <v>2694</v>
      </c>
      <c r="V296" s="4" t="s">
        <v>670</v>
      </c>
      <c r="W296" s="4" t="s">
        <v>2632</v>
      </c>
      <c r="X296" s="4" t="str">
        <f>_xlfn.XLOOKUP(V296,Reference!$O:$O,Reference!$N:$N,"Tidak Ketemu")</f>
        <v>G13</v>
      </c>
      <c r="Y296" s="4" t="str">
        <f t="shared" si="18"/>
        <v>K/1</v>
      </c>
      <c r="Z296" s="10" t="s">
        <v>1956</v>
      </c>
      <c r="AA296" s="10" t="s">
        <v>1957</v>
      </c>
      <c r="AB296" s="7" t="s">
        <v>1958</v>
      </c>
      <c r="AC296" s="7" t="s">
        <v>3816</v>
      </c>
      <c r="AD296" s="17" t="s">
        <v>1959</v>
      </c>
      <c r="AE296" s="6" t="s">
        <v>1955</v>
      </c>
      <c r="AF296" s="6" t="s">
        <v>969</v>
      </c>
      <c r="AG296" s="6" t="s">
        <v>778</v>
      </c>
      <c r="AN296" s="4"/>
    </row>
    <row r="297" spans="1:40" x14ac:dyDescent="0.35">
      <c r="A297" s="5">
        <v>202144367</v>
      </c>
      <c r="B297" s="5" t="s">
        <v>3089</v>
      </c>
      <c r="C297" s="5" t="s">
        <v>303</v>
      </c>
      <c r="D297" s="5" t="s">
        <v>614</v>
      </c>
      <c r="E297" s="6" t="s">
        <v>3428</v>
      </c>
      <c r="F297" s="7">
        <v>35474</v>
      </c>
      <c r="G297" s="10" t="s">
        <v>648</v>
      </c>
      <c r="H297" s="15" t="s">
        <v>666</v>
      </c>
      <c r="I297" s="4">
        <f>MIN(COUNTIFS('Data Family'!A:A,A297,'Data Family'!F:F,"Child")+COUNTIFS('Data Family'!A:A,A297,'Data Family'!F:F,"&lt;&gt;Child",'Data Family'!J:J,"Housewife")+COUNTIFS('Data Family'!A:A,A297,'Data Family'!F:F,"&lt;&gt;Child",'Data Family'!J:J,"Unemployment"),3)</f>
        <v>0</v>
      </c>
      <c r="J297" s="10" t="s">
        <v>791</v>
      </c>
      <c r="K297" s="7" t="s">
        <v>691</v>
      </c>
      <c r="L297" s="7">
        <v>45097</v>
      </c>
      <c r="M297" s="7">
        <v>46924</v>
      </c>
      <c r="N297" s="7"/>
      <c r="O297" s="4" t="str">
        <f t="shared" ca="1" si="16"/>
        <v/>
      </c>
      <c r="P297" s="4" t="str">
        <f t="shared" ca="1" si="17"/>
        <v>Active</v>
      </c>
      <c r="Q297" s="4" t="str">
        <f t="shared" si="19"/>
        <v>PKWT</v>
      </c>
      <c r="R297" s="7" t="s">
        <v>2980</v>
      </c>
      <c r="S297" s="4" t="s">
        <v>2687</v>
      </c>
      <c r="T297" s="4" t="s">
        <v>794</v>
      </c>
      <c r="U297" s="4" t="s">
        <v>2694</v>
      </c>
      <c r="V297" s="4" t="s">
        <v>670</v>
      </c>
      <c r="W297" s="4" t="s">
        <v>2631</v>
      </c>
      <c r="X297" s="4" t="str">
        <f>_xlfn.XLOOKUP(V297,Reference!$O:$O,Reference!$N:$N,"Tidak Ketemu")</f>
        <v>G13</v>
      </c>
      <c r="Y297" s="4" t="str">
        <f t="shared" si="18"/>
        <v>TK/0</v>
      </c>
      <c r="Z297" s="10" t="s">
        <v>2445</v>
      </c>
      <c r="AA297" s="10" t="s">
        <v>2446</v>
      </c>
      <c r="AB297" s="7" t="s">
        <v>2447</v>
      </c>
      <c r="AC297" s="7" t="s">
        <v>3816</v>
      </c>
      <c r="AD297" s="17" t="s">
        <v>2448</v>
      </c>
      <c r="AE297" s="6" t="s">
        <v>2444</v>
      </c>
      <c r="AF297" s="6" t="s">
        <v>2384</v>
      </c>
      <c r="AG297" s="6" t="s">
        <v>694</v>
      </c>
      <c r="AN297" s="4"/>
    </row>
    <row r="298" spans="1:40" x14ac:dyDescent="0.35">
      <c r="A298" s="5">
        <v>201642577</v>
      </c>
      <c r="B298" s="5" t="s">
        <v>3090</v>
      </c>
      <c r="C298" s="5" t="s">
        <v>104</v>
      </c>
      <c r="D298" s="5" t="s">
        <v>415</v>
      </c>
      <c r="E298" s="6" t="s">
        <v>689</v>
      </c>
      <c r="F298" s="7">
        <v>35680</v>
      </c>
      <c r="G298" s="10" t="s">
        <v>648</v>
      </c>
      <c r="H298" s="15" t="s">
        <v>666</v>
      </c>
      <c r="I298" s="4">
        <f>MIN(COUNTIFS('Data Family'!A:A,A298,'Data Family'!F:F,"Child")+COUNTIFS('Data Family'!A:A,A298,'Data Family'!F:F,"&lt;&gt;Child",'Data Family'!J:J,"Housewife")+COUNTIFS('Data Family'!A:A,A298,'Data Family'!F:F,"&lt;&gt;Child",'Data Family'!J:J,"Unemployment"),3)</f>
        <v>0</v>
      </c>
      <c r="J298" s="10" t="s">
        <v>3001</v>
      </c>
      <c r="K298" s="7" t="s">
        <v>691</v>
      </c>
      <c r="L298" s="7">
        <v>45864</v>
      </c>
      <c r="M298" s="7">
        <v>47690</v>
      </c>
      <c r="N298" s="7"/>
      <c r="O298" s="4" t="str">
        <f t="shared" ca="1" si="16"/>
        <v/>
      </c>
      <c r="P298" s="4" t="str">
        <f t="shared" ca="1" si="17"/>
        <v>Active</v>
      </c>
      <c r="Q298" s="4" t="str">
        <f t="shared" si="19"/>
        <v>PKWT</v>
      </c>
      <c r="R298" s="7" t="s">
        <v>2980</v>
      </c>
      <c r="S298" s="4" t="s">
        <v>2989</v>
      </c>
      <c r="T298" s="4" t="s">
        <v>794</v>
      </c>
      <c r="U298" s="4" t="s">
        <v>2694</v>
      </c>
      <c r="V298" s="4" t="s">
        <v>670</v>
      </c>
      <c r="W298" s="4" t="s">
        <v>2631</v>
      </c>
      <c r="X298" s="4" t="str">
        <f>_xlfn.XLOOKUP(V298,Reference!$O:$O,Reference!$N:$N,"Tidak Ketemu")</f>
        <v>G13</v>
      </c>
      <c r="Y298" s="4" t="str">
        <f t="shared" si="18"/>
        <v>TK/0</v>
      </c>
      <c r="Z298" s="10" t="s">
        <v>1290</v>
      </c>
      <c r="AA298" s="10" t="s">
        <v>1291</v>
      </c>
      <c r="AB298" s="7" t="s">
        <v>1292</v>
      </c>
      <c r="AC298" s="7" t="s">
        <v>3816</v>
      </c>
      <c r="AD298" s="17" t="s">
        <v>1293</v>
      </c>
      <c r="AE298" s="6" t="s">
        <v>1288</v>
      </c>
      <c r="AF298" s="6" t="s">
        <v>1289</v>
      </c>
      <c r="AG298" s="6" t="s">
        <v>656</v>
      </c>
      <c r="AN298" s="4"/>
    </row>
    <row r="299" spans="1:40" x14ac:dyDescent="0.35">
      <c r="A299" s="5">
        <v>202144493</v>
      </c>
      <c r="B299" s="5" t="s">
        <v>720</v>
      </c>
      <c r="C299" s="5" t="s">
        <v>84</v>
      </c>
      <c r="D299" s="5" t="s">
        <v>395</v>
      </c>
      <c r="E299" s="6" t="s">
        <v>768</v>
      </c>
      <c r="F299" s="7">
        <v>32833</v>
      </c>
      <c r="G299" s="10" t="s">
        <v>648</v>
      </c>
      <c r="H299" s="15" t="s">
        <v>651</v>
      </c>
      <c r="I299" s="4">
        <f>MIN(COUNTIFS('Data Family'!A:A,A299,'Data Family'!F:F,"Child")+COUNTIFS('Data Family'!A:A,A299,'Data Family'!F:F,"&lt;&gt;Child",'Data Family'!J:J,"Housewife")+COUNTIFS('Data Family'!A:A,A299,'Data Family'!F:F,"&lt;&gt;Child",'Data Family'!J:J,"Unemployment"),3)</f>
        <v>3</v>
      </c>
      <c r="J299" s="10" t="s">
        <v>791</v>
      </c>
      <c r="K299" s="7" t="s">
        <v>652</v>
      </c>
      <c r="L299" s="7">
        <v>44493</v>
      </c>
      <c r="M299" s="7">
        <v>46411</v>
      </c>
      <c r="N299" s="7"/>
      <c r="O299" s="4" t="str">
        <f t="shared" ca="1" si="16"/>
        <v/>
      </c>
      <c r="P299" s="4" t="str">
        <f t="shared" ca="1" si="17"/>
        <v>Active</v>
      </c>
      <c r="Q299" s="4" t="str">
        <f t="shared" si="19"/>
        <v>PKWT</v>
      </c>
      <c r="R299" s="7" t="s">
        <v>2980</v>
      </c>
      <c r="S299" s="4" t="s">
        <v>2986</v>
      </c>
      <c r="T299" s="4" t="s">
        <v>794</v>
      </c>
      <c r="U299" s="4" t="s">
        <v>2694</v>
      </c>
      <c r="V299" s="4" t="s">
        <v>670</v>
      </c>
      <c r="W299" s="4" t="s">
        <v>2632</v>
      </c>
      <c r="X299" s="4" t="str">
        <f>_xlfn.XLOOKUP(V299,Reference!$O:$O,Reference!$N:$N,"Tidak Ketemu")</f>
        <v>G13</v>
      </c>
      <c r="Y299" s="4" t="str">
        <f t="shared" si="18"/>
        <v>K/3</v>
      </c>
      <c r="Z299" s="10" t="s">
        <v>1140</v>
      </c>
      <c r="AA299" s="10" t="s">
        <v>1141</v>
      </c>
      <c r="AB299" s="7" t="s">
        <v>1142</v>
      </c>
      <c r="AC299" s="7" t="s">
        <v>3816</v>
      </c>
      <c r="AD299" s="17" t="s">
        <v>1143</v>
      </c>
      <c r="AE299" s="6" t="s">
        <v>1139</v>
      </c>
      <c r="AF299" s="6" t="s">
        <v>723</v>
      </c>
      <c r="AG299" s="6" t="s">
        <v>680</v>
      </c>
      <c r="AN299" s="4"/>
    </row>
    <row r="300" spans="1:40" x14ac:dyDescent="0.35">
      <c r="A300" s="5">
        <v>202144365</v>
      </c>
      <c r="B300" s="5" t="s">
        <v>1695</v>
      </c>
      <c r="C300" s="5" t="s">
        <v>241</v>
      </c>
      <c r="D300" s="5" t="s">
        <v>552</v>
      </c>
      <c r="E300" s="6" t="s">
        <v>664</v>
      </c>
      <c r="F300" s="7">
        <v>31147</v>
      </c>
      <c r="G300" s="10" t="s">
        <v>648</v>
      </c>
      <c r="H300" s="15" t="s">
        <v>651</v>
      </c>
      <c r="I300" s="4">
        <f>MIN(COUNTIFS('Data Family'!A:A,A300,'Data Family'!F:F,"Child")+COUNTIFS('Data Family'!A:A,A300,'Data Family'!F:F,"&lt;&gt;Child",'Data Family'!J:J,"Housewife")+COUNTIFS('Data Family'!A:A,A300,'Data Family'!F:F,"&lt;&gt;Child",'Data Family'!J:J,"Unemployment"),3)</f>
        <v>2</v>
      </c>
      <c r="J300" s="10" t="s">
        <v>791</v>
      </c>
      <c r="K300" s="7" t="s">
        <v>701</v>
      </c>
      <c r="L300" s="7">
        <v>44365</v>
      </c>
      <c r="M300" s="7"/>
      <c r="N300" s="7"/>
      <c r="O300" s="4" t="str">
        <f t="shared" ca="1" si="16"/>
        <v/>
      </c>
      <c r="P300" s="4" t="str">
        <f t="shared" ca="1" si="17"/>
        <v>Active</v>
      </c>
      <c r="Q300" s="4" t="str">
        <f t="shared" si="19"/>
        <v>PKWTT</v>
      </c>
      <c r="R300" s="7" t="s">
        <v>2980</v>
      </c>
      <c r="S300" s="4" t="s">
        <v>2986</v>
      </c>
      <c r="T300" s="4" t="s">
        <v>794</v>
      </c>
      <c r="U300" s="4" t="s">
        <v>2694</v>
      </c>
      <c r="V300" s="4" t="s">
        <v>670</v>
      </c>
      <c r="W300" s="4" t="s">
        <v>2632</v>
      </c>
      <c r="X300" s="4" t="str">
        <f>_xlfn.XLOOKUP(V300,Reference!$O:$O,Reference!$N:$N,"Tidak Ketemu")</f>
        <v>G13</v>
      </c>
      <c r="Y300" s="4" t="str">
        <f t="shared" si="18"/>
        <v>K/2</v>
      </c>
      <c r="Z300" s="10" t="s">
        <v>2112</v>
      </c>
      <c r="AA300" s="10" t="s">
        <v>2113</v>
      </c>
      <c r="AB300" s="7" t="s">
        <v>2114</v>
      </c>
      <c r="AC300" s="7" t="s">
        <v>3816</v>
      </c>
      <c r="AD300" s="17" t="s">
        <v>2115</v>
      </c>
      <c r="AE300" s="6" t="s">
        <v>2111</v>
      </c>
      <c r="AF300" s="6" t="s">
        <v>1697</v>
      </c>
      <c r="AG300" s="6" t="s">
        <v>656</v>
      </c>
      <c r="AN300" s="4"/>
    </row>
    <row r="301" spans="1:40" x14ac:dyDescent="0.35">
      <c r="A301" s="5">
        <v>202043974</v>
      </c>
      <c r="B301" s="5" t="s">
        <v>948</v>
      </c>
      <c r="C301" s="5" t="s">
        <v>58</v>
      </c>
      <c r="D301" s="5" t="s">
        <v>369</v>
      </c>
      <c r="E301" s="6" t="s">
        <v>3429</v>
      </c>
      <c r="F301" s="7">
        <v>32632</v>
      </c>
      <c r="G301" s="10" t="s">
        <v>648</v>
      </c>
      <c r="H301" s="15" t="s">
        <v>651</v>
      </c>
      <c r="I301" s="4">
        <f>MIN(COUNTIFS('Data Family'!A:A,A301,'Data Family'!F:F,"Child")+COUNTIFS('Data Family'!A:A,A301,'Data Family'!F:F,"&lt;&gt;Child",'Data Family'!J:J,"Housewife")+COUNTIFS('Data Family'!A:A,A301,'Data Family'!F:F,"&lt;&gt;Child",'Data Family'!J:J,"Unemployment"),3)</f>
        <v>1</v>
      </c>
      <c r="J301" s="10" t="s">
        <v>791</v>
      </c>
      <c r="K301" s="7" t="s">
        <v>691</v>
      </c>
      <c r="L301" s="7">
        <v>43974</v>
      </c>
      <c r="M301" s="7"/>
      <c r="N301" s="7"/>
      <c r="O301" s="4" t="str">
        <f t="shared" ca="1" si="16"/>
        <v/>
      </c>
      <c r="P301" s="4" t="str">
        <f t="shared" ca="1" si="17"/>
        <v>Active</v>
      </c>
      <c r="Q301" s="4" t="str">
        <f t="shared" si="19"/>
        <v>PKWTT</v>
      </c>
      <c r="R301" s="7" t="s">
        <v>2980</v>
      </c>
      <c r="S301" s="4" t="s">
        <v>2986</v>
      </c>
      <c r="T301" s="4" t="s">
        <v>794</v>
      </c>
      <c r="U301" s="4" t="s">
        <v>2694</v>
      </c>
      <c r="V301" s="4" t="s">
        <v>670</v>
      </c>
      <c r="W301" s="4" t="s">
        <v>2632</v>
      </c>
      <c r="X301" s="4" t="str">
        <f>_xlfn.XLOOKUP(V301,Reference!$O:$O,Reference!$N:$N,"Tidak Ketemu")</f>
        <v>G13</v>
      </c>
      <c r="Y301" s="4" t="str">
        <f t="shared" si="18"/>
        <v>K/1</v>
      </c>
      <c r="Z301" s="10" t="s">
        <v>951</v>
      </c>
      <c r="AA301" s="10" t="s">
        <v>952</v>
      </c>
      <c r="AB301" s="7" t="s">
        <v>953</v>
      </c>
      <c r="AC301" s="7" t="s">
        <v>3816</v>
      </c>
      <c r="AD301" s="17" t="s">
        <v>954</v>
      </c>
      <c r="AE301" s="6" t="s">
        <v>949</v>
      </c>
      <c r="AF301" s="6" t="s">
        <v>950</v>
      </c>
      <c r="AG301" s="6" t="s">
        <v>704</v>
      </c>
      <c r="AN301" s="4"/>
    </row>
    <row r="302" spans="1:40" x14ac:dyDescent="0.35">
      <c r="A302" s="5">
        <v>201843432</v>
      </c>
      <c r="B302" s="5" t="s">
        <v>1631</v>
      </c>
      <c r="C302" s="5" t="s">
        <v>158</v>
      </c>
      <c r="D302" s="5" t="s">
        <v>469</v>
      </c>
      <c r="E302" s="6" t="s">
        <v>3450</v>
      </c>
      <c r="F302" s="7">
        <v>35203</v>
      </c>
      <c r="G302" s="10" t="s">
        <v>648</v>
      </c>
      <c r="H302" s="15" t="s">
        <v>651</v>
      </c>
      <c r="I302" s="4">
        <f>MIN(COUNTIFS('Data Family'!A:A,A302,'Data Family'!F:F,"Child")+COUNTIFS('Data Family'!A:A,A302,'Data Family'!F:F,"&lt;&gt;Child",'Data Family'!J:J,"Housewife")+COUNTIFS('Data Family'!A:A,A302,'Data Family'!F:F,"&lt;&gt;Child",'Data Family'!J:J,"Unemployment"),3)</f>
        <v>1</v>
      </c>
      <c r="J302" s="10" t="s">
        <v>791</v>
      </c>
      <c r="K302" s="7" t="s">
        <v>691</v>
      </c>
      <c r="L302" s="7">
        <v>43432</v>
      </c>
      <c r="M302" s="7"/>
      <c r="N302" s="7"/>
      <c r="O302" s="4" t="str">
        <f t="shared" ca="1" si="16"/>
        <v/>
      </c>
      <c r="P302" s="4" t="str">
        <f t="shared" ca="1" si="17"/>
        <v>Active</v>
      </c>
      <c r="Q302" s="4" t="str">
        <f t="shared" si="19"/>
        <v>PKWTT</v>
      </c>
      <c r="R302" s="7" t="s">
        <v>2980</v>
      </c>
      <c r="S302" s="4" t="s">
        <v>2986</v>
      </c>
      <c r="T302" s="4" t="s">
        <v>794</v>
      </c>
      <c r="U302" s="4" t="s">
        <v>2694</v>
      </c>
      <c r="V302" s="4" t="s">
        <v>670</v>
      </c>
      <c r="W302" s="4" t="s">
        <v>2632</v>
      </c>
      <c r="X302" s="4" t="str">
        <f>_xlfn.XLOOKUP(V302,Reference!$O:$O,Reference!$N:$N,"Tidak Ketemu")</f>
        <v>G13</v>
      </c>
      <c r="Y302" s="4" t="str">
        <f t="shared" si="18"/>
        <v>K/1</v>
      </c>
      <c r="Z302" s="10" t="s">
        <v>1634</v>
      </c>
      <c r="AA302" s="10" t="s">
        <v>1635</v>
      </c>
      <c r="AB302" s="7" t="s">
        <v>1636</v>
      </c>
      <c r="AC302" s="7" t="s">
        <v>3816</v>
      </c>
      <c r="AD302" s="17" t="s">
        <v>1637</v>
      </c>
      <c r="AE302" s="6" t="s">
        <v>1632</v>
      </c>
      <c r="AF302" s="6" t="s">
        <v>1633</v>
      </c>
      <c r="AG302" s="6" t="s">
        <v>731</v>
      </c>
      <c r="AN302" s="4"/>
    </row>
    <row r="303" spans="1:40" x14ac:dyDescent="0.35">
      <c r="A303" s="5">
        <v>201843375</v>
      </c>
      <c r="B303" s="5" t="s">
        <v>1014</v>
      </c>
      <c r="C303" s="5" t="s">
        <v>77</v>
      </c>
      <c r="D303" s="5" t="s">
        <v>388</v>
      </c>
      <c r="E303" s="6" t="s">
        <v>649</v>
      </c>
      <c r="F303" s="7">
        <v>35437</v>
      </c>
      <c r="G303" s="10" t="s">
        <v>648</v>
      </c>
      <c r="H303" s="15" t="s">
        <v>651</v>
      </c>
      <c r="I303" s="4">
        <f>MIN(COUNTIFS('Data Family'!A:A,A303,'Data Family'!F:F,"Child")+COUNTIFS('Data Family'!A:A,A303,'Data Family'!F:F,"&lt;&gt;Child",'Data Family'!J:J,"Housewife")+COUNTIFS('Data Family'!A:A,A303,'Data Family'!F:F,"&lt;&gt;Child",'Data Family'!J:J,"Unemployment"),3)</f>
        <v>0</v>
      </c>
      <c r="J303" s="10" t="s">
        <v>791</v>
      </c>
      <c r="K303" s="7" t="s">
        <v>677</v>
      </c>
      <c r="L303" s="7">
        <v>43375</v>
      </c>
      <c r="M303" s="7"/>
      <c r="N303" s="7"/>
      <c r="O303" s="4" t="str">
        <f t="shared" ca="1" si="16"/>
        <v/>
      </c>
      <c r="P303" s="4" t="str">
        <f t="shared" ca="1" si="17"/>
        <v>Active</v>
      </c>
      <c r="Q303" s="4" t="str">
        <f t="shared" si="19"/>
        <v>PKWTT</v>
      </c>
      <c r="R303" s="7" t="s">
        <v>2980</v>
      </c>
      <c r="S303" s="4" t="s">
        <v>2986</v>
      </c>
      <c r="T303" s="4" t="s">
        <v>794</v>
      </c>
      <c r="U303" s="4" t="s">
        <v>2694</v>
      </c>
      <c r="V303" s="4" t="s">
        <v>670</v>
      </c>
      <c r="W303" s="4" t="s">
        <v>2632</v>
      </c>
      <c r="X303" s="4" t="str">
        <f>_xlfn.XLOOKUP(V303,Reference!$O:$O,Reference!$N:$N,"Tidak Ketemu")</f>
        <v>G13</v>
      </c>
      <c r="Y303" s="4" t="str">
        <f t="shared" si="18"/>
        <v>K/0</v>
      </c>
      <c r="Z303" s="10" t="s">
        <v>1089</v>
      </c>
      <c r="AA303" s="10" t="s">
        <v>1090</v>
      </c>
      <c r="AB303" s="7" t="s">
        <v>1091</v>
      </c>
      <c r="AC303" s="7" t="s">
        <v>3816</v>
      </c>
      <c r="AD303" s="17" t="s">
        <v>1092</v>
      </c>
      <c r="AE303" s="6" t="s">
        <v>1088</v>
      </c>
      <c r="AF303" s="6" t="s">
        <v>1016</v>
      </c>
      <c r="AG303" s="6" t="s">
        <v>694</v>
      </c>
      <c r="AN303" s="4"/>
    </row>
    <row r="304" spans="1:40" x14ac:dyDescent="0.35">
      <c r="A304" s="5">
        <v>201542202</v>
      </c>
      <c r="B304" s="5" t="s">
        <v>1069</v>
      </c>
      <c r="C304" s="5" t="s">
        <v>216</v>
      </c>
      <c r="D304" s="5" t="s">
        <v>527</v>
      </c>
      <c r="E304" s="6" t="s">
        <v>649</v>
      </c>
      <c r="F304" s="7">
        <v>40240</v>
      </c>
      <c r="G304" s="10" t="s">
        <v>676</v>
      </c>
      <c r="H304" s="15" t="s">
        <v>666</v>
      </c>
      <c r="I304" s="4">
        <f>MIN(COUNTIFS('Data Family'!A:A,A304,'Data Family'!F:F,"Child")+COUNTIFS('Data Family'!A:A,A304,'Data Family'!F:F,"&lt;&gt;Child",'Data Family'!J:J,"Housewife")+COUNTIFS('Data Family'!A:A,A304,'Data Family'!F:F,"&lt;&gt;Child",'Data Family'!J:J,"Unemployment"),3)</f>
        <v>0</v>
      </c>
      <c r="J304" s="10" t="s">
        <v>791</v>
      </c>
      <c r="K304" s="7" t="s">
        <v>691</v>
      </c>
      <c r="L304" s="7">
        <v>46220</v>
      </c>
      <c r="M304" s="7">
        <v>46585</v>
      </c>
      <c r="N304" s="7"/>
      <c r="O304" s="4" t="str">
        <f t="shared" ca="1" si="16"/>
        <v/>
      </c>
      <c r="P304" s="4" t="str">
        <f t="shared" ca="1" si="17"/>
        <v>Active</v>
      </c>
      <c r="Q304" s="4" t="str">
        <f t="shared" si="19"/>
        <v>PKWT</v>
      </c>
      <c r="R304" s="7" t="s">
        <v>2980</v>
      </c>
      <c r="S304" s="4" t="s">
        <v>2988</v>
      </c>
      <c r="T304" s="4" t="s">
        <v>794</v>
      </c>
      <c r="U304" s="4" t="s">
        <v>2694</v>
      </c>
      <c r="V304" s="4" t="s">
        <v>2681</v>
      </c>
      <c r="W304" s="4" t="s">
        <v>3416</v>
      </c>
      <c r="X304" s="4" t="str">
        <f>_xlfn.XLOOKUP(V304,Reference!$O:$O,Reference!$N:$N,"Tidak Ketemu")</f>
        <v>G14</v>
      </c>
      <c r="Y304" s="4" t="str">
        <f t="shared" si="18"/>
        <v>TK/0</v>
      </c>
      <c r="Z304" s="10" t="s">
        <v>1975</v>
      </c>
      <c r="AA304" s="10" t="s">
        <v>1976</v>
      </c>
      <c r="AB304" s="7" t="s">
        <v>1977</v>
      </c>
      <c r="AC304" s="7" t="s">
        <v>3817</v>
      </c>
      <c r="AD304" s="7" t="s">
        <v>1978</v>
      </c>
      <c r="AE304" s="6" t="s">
        <v>1974</v>
      </c>
      <c r="AF304" s="6" t="s">
        <v>1071</v>
      </c>
      <c r="AG304" s="6" t="s">
        <v>778</v>
      </c>
      <c r="AN304" s="4"/>
    </row>
    <row r="305" spans="1:40" x14ac:dyDescent="0.35">
      <c r="A305" s="5">
        <v>201943492</v>
      </c>
      <c r="B305" s="5" t="s">
        <v>3108</v>
      </c>
      <c r="C305" s="5" t="s">
        <v>209</v>
      </c>
      <c r="D305" s="5" t="s">
        <v>520</v>
      </c>
      <c r="E305" s="6" t="s">
        <v>768</v>
      </c>
      <c r="F305" s="7">
        <v>39700</v>
      </c>
      <c r="G305" s="10" t="s">
        <v>648</v>
      </c>
      <c r="H305" s="15" t="s">
        <v>666</v>
      </c>
      <c r="I305" s="4">
        <f>MIN(COUNTIFS('Data Family'!A:A,A305,'Data Family'!F:F,"Child")+COUNTIFS('Data Family'!A:A,A305,'Data Family'!F:F,"&lt;&gt;Child",'Data Family'!J:J,"Housewife")+COUNTIFS('Data Family'!A:A,A305,'Data Family'!F:F,"&lt;&gt;Child",'Data Family'!J:J,"Unemployment"),3)</f>
        <v>0</v>
      </c>
      <c r="J305" s="10" t="s">
        <v>791</v>
      </c>
      <c r="K305" s="7" t="s">
        <v>701</v>
      </c>
      <c r="L305" s="7">
        <v>46049</v>
      </c>
      <c r="M305" s="7">
        <v>46414</v>
      </c>
      <c r="N305" s="7"/>
      <c r="O305" s="4" t="str">
        <f t="shared" ca="1" si="16"/>
        <v/>
      </c>
      <c r="P305" s="4" t="str">
        <f t="shared" ca="1" si="17"/>
        <v>Active</v>
      </c>
      <c r="Q305" s="4" t="str">
        <f t="shared" si="19"/>
        <v>PKWT</v>
      </c>
      <c r="R305" s="7" t="s">
        <v>2980</v>
      </c>
      <c r="S305" s="4" t="s">
        <v>2986</v>
      </c>
      <c r="T305" s="4" t="s">
        <v>794</v>
      </c>
      <c r="U305" s="4" t="s">
        <v>2694</v>
      </c>
      <c r="V305" s="4" t="s">
        <v>2681</v>
      </c>
      <c r="W305" s="4" t="s">
        <v>3416</v>
      </c>
      <c r="X305" s="4" t="str">
        <f>_xlfn.XLOOKUP(V305,Reference!$O:$O,Reference!$N:$N,"Tidak Ketemu")</f>
        <v>G14</v>
      </c>
      <c r="Y305" s="4" t="str">
        <f t="shared" si="18"/>
        <v>TK/0</v>
      </c>
      <c r="Z305" s="10" t="s">
        <v>1936</v>
      </c>
      <c r="AA305" s="10" t="s">
        <v>1937</v>
      </c>
      <c r="AB305" s="7" t="s">
        <v>1938</v>
      </c>
      <c r="AC305" s="7" t="s">
        <v>3817</v>
      </c>
      <c r="AD305" s="7" t="s">
        <v>1939</v>
      </c>
      <c r="AE305" s="6" t="s">
        <v>1934</v>
      </c>
      <c r="AF305" s="6" t="s">
        <v>1935</v>
      </c>
      <c r="AG305" s="6" t="s">
        <v>778</v>
      </c>
      <c r="AN305" s="4"/>
    </row>
    <row r="306" spans="1:40" x14ac:dyDescent="0.35">
      <c r="A306" s="5">
        <v>202545831</v>
      </c>
      <c r="B306" s="5" t="s">
        <v>3109</v>
      </c>
      <c r="C306" s="5" t="s">
        <v>135</v>
      </c>
      <c r="D306" s="5" t="s">
        <v>446</v>
      </c>
      <c r="E306" s="6" t="s">
        <v>649</v>
      </c>
      <c r="F306" s="7">
        <v>40161</v>
      </c>
      <c r="G306" s="10" t="s">
        <v>648</v>
      </c>
      <c r="H306" s="15" t="s">
        <v>666</v>
      </c>
      <c r="I306" s="4">
        <f>MIN(COUNTIFS('Data Family'!A:A,A306,'Data Family'!F:F,"Child")+COUNTIFS('Data Family'!A:A,A306,'Data Family'!F:F,"&lt;&gt;Child",'Data Family'!J:J,"Housewife")+COUNTIFS('Data Family'!A:A,A306,'Data Family'!F:F,"&lt;&gt;Child",'Data Family'!J:J,"Unemployment"),3)</f>
        <v>0</v>
      </c>
      <c r="J306" s="10" t="s">
        <v>791</v>
      </c>
      <c r="K306" s="7" t="s">
        <v>677</v>
      </c>
      <c r="L306" s="7">
        <v>46196</v>
      </c>
      <c r="M306" s="7">
        <v>46561</v>
      </c>
      <c r="N306" s="7"/>
      <c r="O306" s="4" t="str">
        <f t="shared" ca="1" si="16"/>
        <v/>
      </c>
      <c r="P306" s="4" t="str">
        <f t="shared" ca="1" si="17"/>
        <v>Active</v>
      </c>
      <c r="Q306" s="4" t="str">
        <f t="shared" si="19"/>
        <v>PKWT</v>
      </c>
      <c r="R306" s="7" t="s">
        <v>2980</v>
      </c>
      <c r="S306" s="4" t="s">
        <v>2986</v>
      </c>
      <c r="T306" s="4" t="s">
        <v>794</v>
      </c>
      <c r="U306" s="4" t="s">
        <v>2694</v>
      </c>
      <c r="V306" s="4" t="s">
        <v>2681</v>
      </c>
      <c r="W306" s="4" t="s">
        <v>3416</v>
      </c>
      <c r="X306" s="4" t="str">
        <f>_xlfn.XLOOKUP(V306,Reference!$O:$O,Reference!$N:$N,"Tidak Ketemu")</f>
        <v>G14</v>
      </c>
      <c r="Y306" s="4" t="str">
        <f t="shared" si="18"/>
        <v>TK/0</v>
      </c>
      <c r="Z306" s="10" t="s">
        <v>1497</v>
      </c>
      <c r="AA306" s="10" t="s">
        <v>1498</v>
      </c>
      <c r="AB306" s="7" t="s">
        <v>1499</v>
      </c>
      <c r="AC306" s="7" t="s">
        <v>3817</v>
      </c>
      <c r="AD306" s="7" t="s">
        <v>1500</v>
      </c>
      <c r="AE306" s="6" t="s">
        <v>1495</v>
      </c>
      <c r="AF306" s="6" t="s">
        <v>1496</v>
      </c>
      <c r="AG306" s="6" t="s">
        <v>694</v>
      </c>
      <c r="AN306" s="4"/>
    </row>
    <row r="307" spans="1:40" x14ac:dyDescent="0.35">
      <c r="A307" s="5">
        <v>202545996</v>
      </c>
      <c r="B307" s="5" t="s">
        <v>3110</v>
      </c>
      <c r="C307" s="5" t="s">
        <v>48</v>
      </c>
      <c r="D307" s="5" t="s">
        <v>359</v>
      </c>
      <c r="E307" s="6" t="s">
        <v>689</v>
      </c>
      <c r="F307" s="7">
        <v>40498</v>
      </c>
      <c r="G307" s="10" t="s">
        <v>648</v>
      </c>
      <c r="H307" s="15" t="s">
        <v>666</v>
      </c>
      <c r="I307" s="4">
        <f>MIN(COUNTIFS('Data Family'!A:A,A307,'Data Family'!F:F,"Child")+COUNTIFS('Data Family'!A:A,A307,'Data Family'!F:F,"&lt;&gt;Child",'Data Family'!J:J,"Housewife")+COUNTIFS('Data Family'!A:A,A307,'Data Family'!F:F,"&lt;&gt;Child",'Data Family'!J:J,"Unemployment"),3)</f>
        <v>0</v>
      </c>
      <c r="J307" s="10" t="s">
        <v>791</v>
      </c>
      <c r="K307" s="7" t="s">
        <v>701</v>
      </c>
      <c r="L307" s="7">
        <v>45996</v>
      </c>
      <c r="M307" s="7">
        <v>46361</v>
      </c>
      <c r="N307" s="7"/>
      <c r="O307" s="4" t="str">
        <f t="shared" ca="1" si="16"/>
        <v/>
      </c>
      <c r="P307" s="4" t="str">
        <f t="shared" ca="1" si="17"/>
        <v>Active</v>
      </c>
      <c r="Q307" s="4" t="str">
        <f t="shared" si="19"/>
        <v>PKWT</v>
      </c>
      <c r="R307" s="7" t="s">
        <v>2980</v>
      </c>
      <c r="S307" s="4" t="s">
        <v>2986</v>
      </c>
      <c r="T307" s="4" t="s">
        <v>794</v>
      </c>
      <c r="U307" s="4" t="s">
        <v>2694</v>
      </c>
      <c r="V307" s="4" t="s">
        <v>2681</v>
      </c>
      <c r="W307" s="4" t="s">
        <v>3416</v>
      </c>
      <c r="X307" s="4" t="str">
        <f>_xlfn.XLOOKUP(V307,Reference!$O:$O,Reference!$N:$N,"Tidak Ketemu")</f>
        <v>G14</v>
      </c>
      <c r="Y307" s="4" t="str">
        <f t="shared" si="18"/>
        <v>TK/0</v>
      </c>
      <c r="Z307" s="10" t="s">
        <v>868</v>
      </c>
      <c r="AA307" s="10" t="s">
        <v>869</v>
      </c>
      <c r="AB307" s="7" t="s">
        <v>870</v>
      </c>
      <c r="AC307" s="7" t="s">
        <v>3817</v>
      </c>
      <c r="AD307" s="7" t="s">
        <v>871</v>
      </c>
      <c r="AE307" s="6" t="s">
        <v>866</v>
      </c>
      <c r="AF307" s="6" t="s">
        <v>867</v>
      </c>
      <c r="AG307" s="6" t="s">
        <v>778</v>
      </c>
      <c r="AN307" s="4"/>
    </row>
    <row r="308" spans="1:40" x14ac:dyDescent="0.35">
      <c r="A308" s="5">
        <v>201994268</v>
      </c>
      <c r="B308" s="16" t="s">
        <v>3472</v>
      </c>
      <c r="C308" s="5" t="s">
        <v>3651</v>
      </c>
      <c r="D308" s="5" t="s">
        <v>3561</v>
      </c>
      <c r="E308" s="6" t="s">
        <v>689</v>
      </c>
      <c r="F308" s="7">
        <v>30045</v>
      </c>
      <c r="G308" s="10" t="s">
        <v>648</v>
      </c>
      <c r="H308" s="15" t="s">
        <v>651</v>
      </c>
      <c r="I308" s="4">
        <f>MIN(COUNTIFS('Data Family'!A:A,A308,'Data Family'!F:F,"Child")+COUNTIFS('Data Family'!A:A,A308,'Data Family'!F:F,"&lt;&gt;Child",'Data Family'!J:J,"Housewife")+COUNTIFS('Data Family'!A:A,A308,'Data Family'!F:F,"&lt;&gt;Child",'Data Family'!J:J,"Unemployment"),3)</f>
        <v>0</v>
      </c>
      <c r="J308" s="10" t="s">
        <v>791</v>
      </c>
      <c r="K308" s="7" t="s">
        <v>691</v>
      </c>
      <c r="L308" s="7">
        <v>41094</v>
      </c>
      <c r="M308" s="7"/>
      <c r="N308" s="7">
        <v>42555</v>
      </c>
      <c r="O308" s="4" t="s">
        <v>3402</v>
      </c>
      <c r="P308" s="4" t="str">
        <f t="shared" ca="1" si="17"/>
        <v>Non-Active</v>
      </c>
      <c r="Q308" s="4" t="str">
        <f t="shared" si="19"/>
        <v>PKWTT</v>
      </c>
      <c r="R308" s="7" t="s">
        <v>2981</v>
      </c>
      <c r="S308" s="15" t="s">
        <v>2683</v>
      </c>
      <c r="T308" s="15" t="s">
        <v>2643</v>
      </c>
      <c r="U308" s="15" t="s">
        <v>2665</v>
      </c>
      <c r="V308" s="4" t="s">
        <v>2621</v>
      </c>
      <c r="W308" s="15" t="s">
        <v>3049</v>
      </c>
      <c r="X308" s="4" t="str">
        <f>_xlfn.XLOOKUP(V308,Reference!$O:$O,Reference!$N:$N,"Tidak Ketemu")</f>
        <v>G06</v>
      </c>
      <c r="Y308" s="4" t="str">
        <f t="shared" si="18"/>
        <v>K/0</v>
      </c>
      <c r="Z308" s="10">
        <v>214859310150000</v>
      </c>
      <c r="AA308" s="10">
        <v>18024957134</v>
      </c>
      <c r="AB308" s="4">
        <v>1429583712</v>
      </c>
      <c r="AC308" s="7" t="s">
        <v>3816</v>
      </c>
      <c r="AD308" s="17">
        <v>1240009874521</v>
      </c>
      <c r="AE308" s="6">
        <v>81289452311</v>
      </c>
      <c r="AF308" s="6" t="s">
        <v>3727</v>
      </c>
      <c r="AG308" s="6" t="s">
        <v>818</v>
      </c>
      <c r="AN308" s="4"/>
    </row>
    <row r="309" spans="1:40" x14ac:dyDescent="0.35">
      <c r="A309" s="5">
        <v>202090377</v>
      </c>
      <c r="B309" s="16" t="s">
        <v>3473</v>
      </c>
      <c r="C309" s="5" t="s">
        <v>3652</v>
      </c>
      <c r="D309" s="5" t="s">
        <v>3562</v>
      </c>
      <c r="E309" s="6" t="s">
        <v>649</v>
      </c>
      <c r="F309" s="7">
        <v>35329</v>
      </c>
      <c r="G309" s="10" t="s">
        <v>676</v>
      </c>
      <c r="H309" s="15" t="s">
        <v>651</v>
      </c>
      <c r="I309" s="4">
        <f>MIN(COUNTIFS('Data Family'!A:A,A309,'Data Family'!F:F,"Child")+COUNTIFS('Data Family'!A:A,A309,'Data Family'!F:F,"&lt;&gt;Child",'Data Family'!J:J,"Housewife")+COUNTIFS('Data Family'!A:A,A309,'Data Family'!F:F,"&lt;&gt;Child",'Data Family'!J:J,"Unemployment"),3)</f>
        <v>0</v>
      </c>
      <c r="J309" s="10" t="s">
        <v>791</v>
      </c>
      <c r="K309" s="7" t="s">
        <v>691</v>
      </c>
      <c r="L309" s="7">
        <v>44186</v>
      </c>
      <c r="M309" s="7"/>
      <c r="N309" s="7">
        <v>46116</v>
      </c>
      <c r="O309" s="4" t="s">
        <v>3400</v>
      </c>
      <c r="P309" s="4" t="str">
        <f t="shared" ca="1" si="17"/>
        <v>Non-Active</v>
      </c>
      <c r="Q309" s="4" t="str">
        <f t="shared" si="19"/>
        <v>PKWTT</v>
      </c>
      <c r="R309" s="7" t="s">
        <v>2982</v>
      </c>
      <c r="S309" s="15" t="s">
        <v>2683</v>
      </c>
      <c r="T309" s="15" t="s">
        <v>657</v>
      </c>
      <c r="U309" s="15" t="s">
        <v>2997</v>
      </c>
      <c r="V309" s="4" t="s">
        <v>659</v>
      </c>
      <c r="W309" s="15" t="s">
        <v>3056</v>
      </c>
      <c r="X309" s="4" t="str">
        <f>_xlfn.XLOOKUP(V309,Reference!$O:$O,Reference!$N:$N,"Tidak Ketemu")</f>
        <v>G11</v>
      </c>
      <c r="Y309" s="4" t="str">
        <f t="shared" si="18"/>
        <v>TK/0</v>
      </c>
      <c r="Z309" s="10">
        <v>329581420260000</v>
      </c>
      <c r="AA309" s="10">
        <v>19047285193</v>
      </c>
      <c r="AB309" s="4">
        <v>2849153824</v>
      </c>
      <c r="AC309" s="7" t="s">
        <v>3816</v>
      </c>
      <c r="AD309" s="17">
        <v>5220394812</v>
      </c>
      <c r="AE309" s="6">
        <v>81311224455</v>
      </c>
      <c r="AF309" s="6" t="s">
        <v>3729</v>
      </c>
      <c r="AG309" s="6" t="s">
        <v>818</v>
      </c>
      <c r="AN309" s="4"/>
    </row>
    <row r="310" spans="1:40" x14ac:dyDescent="0.35">
      <c r="A310" s="5">
        <v>201577847</v>
      </c>
      <c r="B310" s="16" t="s">
        <v>3474</v>
      </c>
      <c r="C310" s="5" t="s">
        <v>3653</v>
      </c>
      <c r="D310" s="5" t="s">
        <v>3563</v>
      </c>
      <c r="E310" s="6" t="s">
        <v>689</v>
      </c>
      <c r="F310" s="7">
        <v>32641</v>
      </c>
      <c r="G310" s="10" t="s">
        <v>676</v>
      </c>
      <c r="H310" s="15" t="s">
        <v>651</v>
      </c>
      <c r="I310" s="4">
        <f>MIN(COUNTIFS('Data Family'!A:A,A310,'Data Family'!F:F,"Child")+COUNTIFS('Data Family'!A:A,A310,'Data Family'!F:F,"&lt;&gt;Child",'Data Family'!J:J,"Housewife")+COUNTIFS('Data Family'!A:A,A310,'Data Family'!F:F,"&lt;&gt;Child",'Data Family'!J:J,"Unemployment"),3)</f>
        <v>0</v>
      </c>
      <c r="J310" s="10" t="s">
        <v>791</v>
      </c>
      <c r="K310" s="7" t="s">
        <v>691</v>
      </c>
      <c r="L310" s="7">
        <v>42076</v>
      </c>
      <c r="M310" s="7"/>
      <c r="N310" s="7">
        <v>46161</v>
      </c>
      <c r="O310" s="4" t="s">
        <v>3400</v>
      </c>
      <c r="P310" s="4" t="str">
        <f t="shared" ca="1" si="17"/>
        <v>Non-Active</v>
      </c>
      <c r="Q310" s="4" t="str">
        <f t="shared" si="19"/>
        <v>PKWTT</v>
      </c>
      <c r="R310" s="7" t="s">
        <v>2978</v>
      </c>
      <c r="S310" s="15" t="s">
        <v>2991</v>
      </c>
      <c r="T310" s="15" t="s">
        <v>681</v>
      </c>
      <c r="U310" s="15" t="s">
        <v>2988</v>
      </c>
      <c r="V310" s="4" t="s">
        <v>3073</v>
      </c>
      <c r="W310" s="15" t="s">
        <v>682</v>
      </c>
      <c r="X310" s="4" t="str">
        <f>_xlfn.XLOOKUP(V310,Reference!$O:$O,Reference!$N:$N,"Tidak Ketemu")</f>
        <v>G10</v>
      </c>
      <c r="Y310" s="4" t="str">
        <f t="shared" si="18"/>
        <v>TK/0</v>
      </c>
      <c r="Z310" s="10">
        <v>184729530410000</v>
      </c>
      <c r="AA310" s="10">
        <v>17059381427</v>
      </c>
      <c r="AB310" s="4">
        <v>1938472516</v>
      </c>
      <c r="AC310" s="7" t="s">
        <v>3816</v>
      </c>
      <c r="AD310" s="17">
        <v>384759214</v>
      </c>
      <c r="AE310" s="6">
        <v>81574892013</v>
      </c>
      <c r="AF310" s="6" t="s">
        <v>3731</v>
      </c>
      <c r="AG310" s="6" t="s">
        <v>731</v>
      </c>
      <c r="AN310" s="4"/>
    </row>
    <row r="311" spans="1:40" x14ac:dyDescent="0.35">
      <c r="A311" s="5">
        <v>201689316</v>
      </c>
      <c r="B311" s="16" t="s">
        <v>3475</v>
      </c>
      <c r="C311" s="5" t="s">
        <v>3654</v>
      </c>
      <c r="D311" s="5" t="s">
        <v>3564</v>
      </c>
      <c r="E311" s="6" t="s">
        <v>664</v>
      </c>
      <c r="F311" s="7">
        <v>36419</v>
      </c>
      <c r="G311" s="10" t="s">
        <v>648</v>
      </c>
      <c r="H311" s="15" t="s">
        <v>666</v>
      </c>
      <c r="I311" s="4">
        <f>MIN(COUNTIFS('Data Family'!A:A,A311,'Data Family'!F:F,"Child")+COUNTIFS('Data Family'!A:A,A311,'Data Family'!F:F,"&lt;&gt;Child",'Data Family'!J:J,"Housewife")+COUNTIFS('Data Family'!A:A,A311,'Data Family'!F:F,"&lt;&gt;Child",'Data Family'!J:J,"Unemployment"),3)</f>
        <v>0</v>
      </c>
      <c r="J311" s="10" t="s">
        <v>791</v>
      </c>
      <c r="K311" s="7" t="s">
        <v>701</v>
      </c>
      <c r="L311" s="7">
        <v>44393</v>
      </c>
      <c r="M311" s="7">
        <v>46219</v>
      </c>
      <c r="N311" s="7"/>
      <c r="O311" s="4" t="str">
        <f t="shared" ref="O311:O317" ca="1" si="20">IF(AND(M311&lt;&gt;"", M311&lt;=TODAY(), N311=""), "End of Contract", "")</f>
        <v>End of Contract</v>
      </c>
      <c r="P311" s="4" t="str">
        <f t="shared" ca="1" si="17"/>
        <v>Non-Active</v>
      </c>
      <c r="Q311" s="4" t="str">
        <f t="shared" si="19"/>
        <v>PKWT</v>
      </c>
      <c r="R311" s="7" t="s">
        <v>2980</v>
      </c>
      <c r="S311" s="15" t="s">
        <v>2687</v>
      </c>
      <c r="T311" s="15" t="s">
        <v>657</v>
      </c>
      <c r="U311" s="15" t="s">
        <v>2996</v>
      </c>
      <c r="V311" s="4" t="s">
        <v>670</v>
      </c>
      <c r="W311" s="15" t="s">
        <v>669</v>
      </c>
      <c r="X311" s="4" t="str">
        <f>_xlfn.XLOOKUP(V311,Reference!$O:$O,Reference!$N:$N,"Tidak Ketemu")</f>
        <v>G13</v>
      </c>
      <c r="Y311" s="4" t="str">
        <f t="shared" si="18"/>
        <v>TK/0</v>
      </c>
      <c r="Z311" s="10">
        <v>249158370520000</v>
      </c>
      <c r="AA311" s="10">
        <v>18063947215</v>
      </c>
      <c r="AB311" s="7">
        <v>2154839726</v>
      </c>
      <c r="AC311" s="7" t="s">
        <v>3816</v>
      </c>
      <c r="AD311" s="17">
        <v>34101049281503</v>
      </c>
      <c r="AE311" s="6">
        <v>85719348274</v>
      </c>
      <c r="AF311" s="6" t="s">
        <v>3733</v>
      </c>
      <c r="AG311" s="6" t="s">
        <v>818</v>
      </c>
      <c r="AN311" s="4"/>
    </row>
    <row r="312" spans="1:40" x14ac:dyDescent="0.35">
      <c r="A312" s="5">
        <v>201923389</v>
      </c>
      <c r="B312" s="16" t="s">
        <v>3476</v>
      </c>
      <c r="C312" s="5" t="s">
        <v>3655</v>
      </c>
      <c r="D312" s="5" t="s">
        <v>3565</v>
      </c>
      <c r="E312" s="6" t="s">
        <v>809</v>
      </c>
      <c r="F312" s="7">
        <v>33148</v>
      </c>
      <c r="G312" s="10" t="s">
        <v>676</v>
      </c>
      <c r="H312" s="15" t="s">
        <v>651</v>
      </c>
      <c r="I312" s="4">
        <f>MIN(COUNTIFS('Data Family'!A:A,A312,'Data Family'!F:F,"Child")+COUNTIFS('Data Family'!A:A,A312,'Data Family'!F:F,"&lt;&gt;Child",'Data Family'!J:J,"Housewife")+COUNTIFS('Data Family'!A:A,A312,'Data Family'!F:F,"&lt;&gt;Child",'Data Family'!J:J,"Unemployment"),3)</f>
        <v>0</v>
      </c>
      <c r="J312" s="10" t="s">
        <v>791</v>
      </c>
      <c r="K312" s="7" t="s">
        <v>701</v>
      </c>
      <c r="L312" s="7">
        <v>42402</v>
      </c>
      <c r="M312" s="7"/>
      <c r="N312" s="7">
        <v>43871</v>
      </c>
      <c r="O312" s="4" t="str">
        <f t="shared" ca="1" si="20"/>
        <v/>
      </c>
      <c r="P312" s="4" t="str">
        <f t="shared" ca="1" si="17"/>
        <v>Non-Active</v>
      </c>
      <c r="Q312" s="4" t="str">
        <f t="shared" si="19"/>
        <v>PKWTT</v>
      </c>
      <c r="R312" s="7" t="s">
        <v>2982</v>
      </c>
      <c r="S312" s="15" t="s">
        <v>2684</v>
      </c>
      <c r="T312" s="15" t="s">
        <v>739</v>
      </c>
      <c r="U312" s="15" t="s">
        <v>3000</v>
      </c>
      <c r="V312" s="4" t="s">
        <v>2624</v>
      </c>
      <c r="W312" s="15" t="s">
        <v>3406</v>
      </c>
      <c r="X312" s="4" t="str">
        <f>_xlfn.XLOOKUP(V312,Reference!$O:$O,Reference!$N:$N,"Tidak Ketemu")</f>
        <v>G07</v>
      </c>
      <c r="Y312" s="4" t="str">
        <f t="shared" si="18"/>
        <v>TK/0</v>
      </c>
      <c r="Z312" s="10">
        <v>158392470130000</v>
      </c>
      <c r="AA312" s="10">
        <v>16074829153</v>
      </c>
      <c r="AB312" s="4">
        <v>1837492510</v>
      </c>
      <c r="AC312" s="7" t="s">
        <v>3816</v>
      </c>
      <c r="AD312" s="17">
        <v>704193857200</v>
      </c>
      <c r="AE312" s="6">
        <v>87823419582</v>
      </c>
      <c r="AF312" s="6" t="s">
        <v>3735</v>
      </c>
      <c r="AG312" s="6" t="s">
        <v>704</v>
      </c>
      <c r="AN312" s="4"/>
    </row>
    <row r="313" spans="1:40" x14ac:dyDescent="0.35">
      <c r="A313" s="5">
        <v>202072845</v>
      </c>
      <c r="B313" s="16" t="s">
        <v>3477</v>
      </c>
      <c r="C313" s="5" t="s">
        <v>3656</v>
      </c>
      <c r="D313" s="5" t="s">
        <v>3566</v>
      </c>
      <c r="E313" s="6" t="s">
        <v>768</v>
      </c>
      <c r="F313" s="7">
        <v>35823</v>
      </c>
      <c r="G313" s="10" t="s">
        <v>648</v>
      </c>
      <c r="H313" s="15" t="s">
        <v>666</v>
      </c>
      <c r="I313" s="4">
        <f>MIN(COUNTIFS('Data Family'!A:A,A313,'Data Family'!F:F,"Child")+COUNTIFS('Data Family'!A:A,A313,'Data Family'!F:F,"&lt;&gt;Child",'Data Family'!J:J,"Housewife")+COUNTIFS('Data Family'!A:A,A313,'Data Family'!F:F,"&lt;&gt;Child",'Data Family'!J:J,"Unemployment"),3)</f>
        <v>0</v>
      </c>
      <c r="J313" s="10" t="s">
        <v>791</v>
      </c>
      <c r="K313" s="7" t="s">
        <v>701</v>
      </c>
      <c r="L313" s="7">
        <v>43979</v>
      </c>
      <c r="M313" s="7">
        <v>45805</v>
      </c>
      <c r="N313" s="7"/>
      <c r="O313" s="4" t="str">
        <f t="shared" ca="1" si="20"/>
        <v>End of Contract</v>
      </c>
      <c r="P313" s="4" t="str">
        <f t="shared" ca="1" si="17"/>
        <v>Non-Active</v>
      </c>
      <c r="Q313" s="4" t="str">
        <f t="shared" si="19"/>
        <v>PKWT</v>
      </c>
      <c r="R313" s="7" t="s">
        <v>2980</v>
      </c>
      <c r="S313" s="15" t="s">
        <v>2687</v>
      </c>
      <c r="T313" s="15" t="s">
        <v>657</v>
      </c>
      <c r="U313" s="15" t="s">
        <v>2996</v>
      </c>
      <c r="V313" s="4" t="s">
        <v>670</v>
      </c>
      <c r="W313" s="15" t="s">
        <v>669</v>
      </c>
      <c r="X313" s="4" t="str">
        <f>_xlfn.XLOOKUP(V313,Reference!$O:$O,Reference!$N:$N,"Tidak Ketemu")</f>
        <v>G13</v>
      </c>
      <c r="Y313" s="4" t="str">
        <f t="shared" si="18"/>
        <v>TK/0</v>
      </c>
      <c r="Z313" s="10">
        <v>315482970420000</v>
      </c>
      <c r="AA313" s="10">
        <v>19082739415</v>
      </c>
      <c r="AB313" s="7">
        <v>3194827513</v>
      </c>
      <c r="AC313" s="7" t="s">
        <v>3816</v>
      </c>
      <c r="AD313" s="17">
        <v>1320015482937</v>
      </c>
      <c r="AE313" s="6">
        <v>82194837210</v>
      </c>
      <c r="AF313" s="6" t="s">
        <v>3736</v>
      </c>
      <c r="AG313" s="6" t="s">
        <v>731</v>
      </c>
      <c r="AN313" s="4"/>
    </row>
    <row r="314" spans="1:40" x14ac:dyDescent="0.35">
      <c r="A314" s="5">
        <v>201733399</v>
      </c>
      <c r="B314" s="16" t="s">
        <v>3478</v>
      </c>
      <c r="C314" s="5" t="s">
        <v>3657</v>
      </c>
      <c r="D314" s="5" t="s">
        <v>3567</v>
      </c>
      <c r="E314" s="6" t="s">
        <v>742</v>
      </c>
      <c r="F314" s="7">
        <v>36360</v>
      </c>
      <c r="G314" s="10" t="s">
        <v>648</v>
      </c>
      <c r="H314" s="15" t="s">
        <v>666</v>
      </c>
      <c r="I314" s="4">
        <f>MIN(COUNTIFS('Data Family'!A:A,A314,'Data Family'!F:F,"Child")+COUNTIFS('Data Family'!A:A,A314,'Data Family'!F:F,"&lt;&gt;Child",'Data Family'!J:J,"Housewife")+COUNTIFS('Data Family'!A:A,A314,'Data Family'!F:F,"&lt;&gt;Child",'Data Family'!J:J,"Unemployment"),3)</f>
        <v>0</v>
      </c>
      <c r="J314" s="10" t="s">
        <v>3001</v>
      </c>
      <c r="K314" s="7" t="s">
        <v>691</v>
      </c>
      <c r="L314" s="7">
        <v>44396</v>
      </c>
      <c r="M314" s="7">
        <v>46222</v>
      </c>
      <c r="N314" s="7"/>
      <c r="O314" s="4" t="str">
        <f t="shared" ca="1" si="20"/>
        <v>End of Contract</v>
      </c>
      <c r="P314" s="4" t="str">
        <f t="shared" ca="1" si="17"/>
        <v>Non-Active</v>
      </c>
      <c r="Q314" s="4" t="str">
        <f t="shared" si="19"/>
        <v>PKWT</v>
      </c>
      <c r="R314" s="7" t="s">
        <v>2980</v>
      </c>
      <c r="S314" s="15" t="s">
        <v>2687</v>
      </c>
      <c r="T314" s="15" t="s">
        <v>657</v>
      </c>
      <c r="U314" s="15" t="s">
        <v>2996</v>
      </c>
      <c r="V314" s="4" t="s">
        <v>670</v>
      </c>
      <c r="W314" s="15" t="s">
        <v>669</v>
      </c>
      <c r="X314" s="4" t="str">
        <f>_xlfn.XLOOKUP(V314,Reference!$O:$O,Reference!$N:$N,"Tidak Ketemu")</f>
        <v>G13</v>
      </c>
      <c r="Y314" s="4" t="str">
        <f t="shared" si="18"/>
        <v>TK/0</v>
      </c>
      <c r="Z314" s="10">
        <v>274915380510000</v>
      </c>
      <c r="AA314" s="10">
        <v>18019384726</v>
      </c>
      <c r="AB314" s="7">
        <v>2749183526</v>
      </c>
      <c r="AC314" s="7" t="s">
        <v>3816</v>
      </c>
      <c r="AD314" s="17">
        <v>8420591834</v>
      </c>
      <c r="AE314" s="6">
        <v>81239485711</v>
      </c>
      <c r="AF314" s="6" t="s">
        <v>3737</v>
      </c>
      <c r="AG314" s="6" t="s">
        <v>818</v>
      </c>
      <c r="AN314" s="4"/>
    </row>
    <row r="315" spans="1:40" x14ac:dyDescent="0.35">
      <c r="A315" s="5">
        <v>202196149</v>
      </c>
      <c r="B315" s="16" t="s">
        <v>3480</v>
      </c>
      <c r="C315" s="5" t="s">
        <v>3659</v>
      </c>
      <c r="D315" s="5" t="s">
        <v>3569</v>
      </c>
      <c r="E315" s="6" t="s">
        <v>809</v>
      </c>
      <c r="F315" s="7">
        <v>35542</v>
      </c>
      <c r="G315" s="10" t="s">
        <v>676</v>
      </c>
      <c r="H315" s="15" t="s">
        <v>651</v>
      </c>
      <c r="I315" s="4">
        <f>MIN(COUNTIFS('Data Family'!A:A,A315,'Data Family'!F:F,"Child")+COUNTIFS('Data Family'!A:A,A315,'Data Family'!F:F,"&lt;&gt;Child",'Data Family'!J:J,"Housewife")+COUNTIFS('Data Family'!A:A,A315,'Data Family'!F:F,"&lt;&gt;Child",'Data Family'!J:J,"Unemployment"),3)</f>
        <v>0</v>
      </c>
      <c r="J315" s="10" t="s">
        <v>791</v>
      </c>
      <c r="K315" s="7" t="s">
        <v>691</v>
      </c>
      <c r="L315" s="7">
        <v>44491</v>
      </c>
      <c r="M315" s="7">
        <v>45221</v>
      </c>
      <c r="N315" s="7"/>
      <c r="O315" s="4" t="str">
        <f t="shared" ca="1" si="20"/>
        <v>End of Contract</v>
      </c>
      <c r="P315" s="4" t="str">
        <f t="shared" ca="1" si="17"/>
        <v>Non-Active</v>
      </c>
      <c r="Q315" s="4" t="str">
        <f t="shared" si="19"/>
        <v>PKWT</v>
      </c>
      <c r="R315" s="7" t="s">
        <v>2982</v>
      </c>
      <c r="S315" s="15" t="s">
        <v>2684</v>
      </c>
      <c r="T315" s="15" t="s">
        <v>739</v>
      </c>
      <c r="U315" s="15" t="s">
        <v>3000</v>
      </c>
      <c r="V315" s="4" t="s">
        <v>659</v>
      </c>
      <c r="W315" s="15" t="s">
        <v>764</v>
      </c>
      <c r="X315" s="4" t="str">
        <f>_xlfn.XLOOKUP(V315,Reference!$O:$O,Reference!$N:$N,"Tidak Ketemu")</f>
        <v>G11</v>
      </c>
      <c r="Y315" s="4" t="str">
        <f t="shared" si="18"/>
        <v>TK/0</v>
      </c>
      <c r="Z315" s="10">
        <v>193847250630000</v>
      </c>
      <c r="AA315" s="10">
        <v>17028491537</v>
      </c>
      <c r="AB315" s="4">
        <v>1639482715</v>
      </c>
      <c r="AC315" s="7" t="s">
        <v>3816</v>
      </c>
      <c r="AD315" s="17">
        <v>492837152</v>
      </c>
      <c r="AE315" s="6">
        <v>81905847321</v>
      </c>
      <c r="AF315" s="6" t="s">
        <v>3738</v>
      </c>
      <c r="AG315" s="6" t="s">
        <v>778</v>
      </c>
      <c r="AN315" s="4"/>
    </row>
    <row r="316" spans="1:40" x14ac:dyDescent="0.35">
      <c r="A316" s="5">
        <v>202079020</v>
      </c>
      <c r="B316" s="16" t="s">
        <v>3481</v>
      </c>
      <c r="C316" s="5" t="s">
        <v>3660</v>
      </c>
      <c r="D316" s="5" t="s">
        <v>3570</v>
      </c>
      <c r="E316" s="6" t="s">
        <v>649</v>
      </c>
      <c r="F316" s="7">
        <v>35960</v>
      </c>
      <c r="G316" s="10" t="s">
        <v>648</v>
      </c>
      <c r="H316" s="15" t="s">
        <v>666</v>
      </c>
      <c r="I316" s="4">
        <f>MIN(COUNTIFS('Data Family'!A:A,A316,'Data Family'!F:F,"Child")+COUNTIFS('Data Family'!A:A,A316,'Data Family'!F:F,"&lt;&gt;Child",'Data Family'!J:J,"Housewife")+COUNTIFS('Data Family'!A:A,A316,'Data Family'!F:F,"&lt;&gt;Child",'Data Family'!J:J,"Unemployment"),3)</f>
        <v>0</v>
      </c>
      <c r="J316" s="10" t="s">
        <v>791</v>
      </c>
      <c r="K316" s="7" t="s">
        <v>691</v>
      </c>
      <c r="L316" s="7">
        <v>44210</v>
      </c>
      <c r="M316" s="7">
        <v>46036</v>
      </c>
      <c r="N316" s="7"/>
      <c r="O316" s="4" t="str">
        <f t="shared" ca="1" si="20"/>
        <v>End of Contract</v>
      </c>
      <c r="P316" s="4" t="str">
        <f t="shared" ca="1" si="17"/>
        <v>Non-Active</v>
      </c>
      <c r="Q316" s="4" t="str">
        <f t="shared" si="19"/>
        <v>PKWT</v>
      </c>
      <c r="R316" s="7" t="s">
        <v>2980</v>
      </c>
      <c r="S316" s="15" t="s">
        <v>2687</v>
      </c>
      <c r="T316" s="15" t="s">
        <v>657</v>
      </c>
      <c r="U316" s="15" t="s">
        <v>2996</v>
      </c>
      <c r="V316" s="4" t="s">
        <v>670</v>
      </c>
      <c r="W316" s="15" t="s">
        <v>669</v>
      </c>
      <c r="X316" s="4" t="str">
        <f>_xlfn.XLOOKUP(V316,Reference!$O:$O,Reference!$N:$N,"Tidak Ketemu")</f>
        <v>G13</v>
      </c>
      <c r="Y316" s="4" t="str">
        <f t="shared" si="18"/>
        <v>TK/0</v>
      </c>
      <c r="Z316" s="10">
        <v>228491530140000</v>
      </c>
      <c r="AA316" s="10">
        <v>18037492815</v>
      </c>
      <c r="AB316" s="7">
        <v>2948173526</v>
      </c>
      <c r="AC316" s="7" t="s">
        <v>3816</v>
      </c>
      <c r="AD316" s="17">
        <v>12501093847502</v>
      </c>
      <c r="AE316" s="6">
        <v>85219483725</v>
      </c>
      <c r="AF316" s="6" t="s">
        <v>3739</v>
      </c>
      <c r="AG316" s="6" t="s">
        <v>694</v>
      </c>
      <c r="AN316" s="4"/>
    </row>
    <row r="317" spans="1:40" x14ac:dyDescent="0.35">
      <c r="A317" s="5">
        <v>202148399</v>
      </c>
      <c r="B317" s="16" t="s">
        <v>3720</v>
      </c>
      <c r="C317" s="5" t="s">
        <v>3661</v>
      </c>
      <c r="D317" s="5" t="s">
        <v>3571</v>
      </c>
      <c r="E317" s="6" t="s">
        <v>742</v>
      </c>
      <c r="F317" s="7">
        <v>35069</v>
      </c>
      <c r="G317" s="10" t="s">
        <v>676</v>
      </c>
      <c r="H317" s="15" t="s">
        <v>651</v>
      </c>
      <c r="I317" s="4">
        <f>MIN(COUNTIFS('Data Family'!A:A,A317,'Data Family'!F:F,"Child")+COUNTIFS('Data Family'!A:A,A317,'Data Family'!F:F,"&lt;&gt;Child",'Data Family'!J:J,"Housewife")+COUNTIFS('Data Family'!A:A,A317,'Data Family'!F:F,"&lt;&gt;Child",'Data Family'!J:J,"Unemployment"),3)</f>
        <v>0</v>
      </c>
      <c r="J317" s="10" t="s">
        <v>791</v>
      </c>
      <c r="K317" s="7" t="s">
        <v>691</v>
      </c>
      <c r="L317" s="7">
        <v>44444</v>
      </c>
      <c r="M317" s="7">
        <v>45174</v>
      </c>
      <c r="N317" s="7"/>
      <c r="O317" s="4" t="str">
        <f t="shared" ca="1" si="20"/>
        <v>End of Contract</v>
      </c>
      <c r="P317" s="4" t="str">
        <f t="shared" ca="1" si="17"/>
        <v>Non-Active</v>
      </c>
      <c r="Q317" s="4" t="str">
        <f t="shared" si="19"/>
        <v>PKWT</v>
      </c>
      <c r="R317" s="7" t="s">
        <v>2982</v>
      </c>
      <c r="S317" s="15" t="s">
        <v>2684</v>
      </c>
      <c r="T317" s="15" t="s">
        <v>739</v>
      </c>
      <c r="U317" s="15" t="s">
        <v>3000</v>
      </c>
      <c r="V317" s="4" t="s">
        <v>659</v>
      </c>
      <c r="W317" s="15" t="s">
        <v>1024</v>
      </c>
      <c r="X317" s="4" t="str">
        <f>_xlfn.XLOOKUP(V317,Reference!$O:$O,Reference!$N:$N,"Tidak Ketemu")</f>
        <v>G11</v>
      </c>
      <c r="Y317" s="4" t="str">
        <f t="shared" si="18"/>
        <v>TK/0</v>
      </c>
      <c r="Z317" s="10">
        <v>349182730510000</v>
      </c>
      <c r="AA317" s="10">
        <v>19046392817</v>
      </c>
      <c r="AB317" s="4">
        <v>3281947526</v>
      </c>
      <c r="AC317" s="7" t="s">
        <v>3816</v>
      </c>
      <c r="AD317" s="17">
        <v>706294817300</v>
      </c>
      <c r="AE317" s="6">
        <v>81384729153</v>
      </c>
      <c r="AF317" s="6" t="s">
        <v>3740</v>
      </c>
      <c r="AG317" s="6" t="s">
        <v>656</v>
      </c>
      <c r="AN317" s="4"/>
    </row>
    <row r="318" spans="1:40" x14ac:dyDescent="0.35">
      <c r="A318" s="5">
        <v>202072061</v>
      </c>
      <c r="B318" s="16" t="s">
        <v>3484</v>
      </c>
      <c r="C318" s="5" t="s">
        <v>3664</v>
      </c>
      <c r="D318" s="5" t="s">
        <v>3574</v>
      </c>
      <c r="E318" s="6" t="s">
        <v>664</v>
      </c>
      <c r="F318" s="7">
        <v>33042</v>
      </c>
      <c r="G318" s="10" t="s">
        <v>676</v>
      </c>
      <c r="H318" s="15" t="s">
        <v>651</v>
      </c>
      <c r="I318" s="4">
        <f>MIN(COUNTIFS('Data Family'!A:A,A318,'Data Family'!F:F,"Child")+COUNTIFS('Data Family'!A:A,A318,'Data Family'!F:F,"&lt;&gt;Child",'Data Family'!J:J,"Housewife")+COUNTIFS('Data Family'!A:A,A318,'Data Family'!F:F,"&lt;&gt;Child",'Data Family'!J:J,"Unemployment"),3)</f>
        <v>0</v>
      </c>
      <c r="J318" s="10" t="s">
        <v>791</v>
      </c>
      <c r="K318" s="7" t="s">
        <v>701</v>
      </c>
      <c r="L318" s="7">
        <v>42904</v>
      </c>
      <c r="M318" s="7"/>
      <c r="N318" s="7"/>
      <c r="O318" s="4"/>
      <c r="P318" s="4" t="str">
        <f t="shared" ca="1" si="17"/>
        <v>Active</v>
      </c>
      <c r="Q318" s="4" t="str">
        <f t="shared" si="19"/>
        <v>PKWTT</v>
      </c>
      <c r="R318" s="7" t="s">
        <v>2982</v>
      </c>
      <c r="S318" s="15" t="s">
        <v>2679</v>
      </c>
      <c r="T318" s="15" t="s">
        <v>2999</v>
      </c>
      <c r="U318" s="15" t="s">
        <v>1169</v>
      </c>
      <c r="V318" s="4" t="s">
        <v>2621</v>
      </c>
      <c r="W318" s="15" t="s">
        <v>3920</v>
      </c>
      <c r="X318" s="4" t="str">
        <f>_xlfn.XLOOKUP(V318,Reference!$O:$O,Reference!$N:$N,"Tidak Ketemu")</f>
        <v>G06</v>
      </c>
      <c r="Y318" s="4" t="str">
        <f t="shared" si="18"/>
        <v>TK/0</v>
      </c>
      <c r="Z318" s="10">
        <v>129584730620000</v>
      </c>
      <c r="AA318" s="10">
        <v>16057483921</v>
      </c>
      <c r="AB318" s="4">
        <v>1749283516</v>
      </c>
      <c r="AC318" s="7" t="s">
        <v>3816</v>
      </c>
      <c r="AD318" s="17">
        <v>1560018472935</v>
      </c>
      <c r="AE318" s="6">
        <v>87719384726</v>
      </c>
      <c r="AF318" s="6" t="s">
        <v>3741</v>
      </c>
      <c r="AG318" s="6" t="s">
        <v>778</v>
      </c>
      <c r="AN318" s="4"/>
    </row>
    <row r="319" spans="1:40" x14ac:dyDescent="0.35">
      <c r="A319" s="5">
        <v>202376552</v>
      </c>
      <c r="B319" s="16" t="s">
        <v>3487</v>
      </c>
      <c r="C319" s="5" t="s">
        <v>3667</v>
      </c>
      <c r="D319" s="5" t="s">
        <v>3577</v>
      </c>
      <c r="E319" s="6" t="s">
        <v>3437</v>
      </c>
      <c r="F319" s="7">
        <v>36429</v>
      </c>
      <c r="G319" s="10" t="s">
        <v>648</v>
      </c>
      <c r="H319" s="15" t="s">
        <v>666</v>
      </c>
      <c r="I319" s="4">
        <f>MIN(COUNTIFS('Data Family'!A:A,A319,'Data Family'!F:F,"Child")+COUNTIFS('Data Family'!A:A,A319,'Data Family'!F:F,"&lt;&gt;Child",'Data Family'!J:J,"Housewife")+COUNTIFS('Data Family'!A:A,A319,'Data Family'!F:F,"&lt;&gt;Child",'Data Family'!J:J,"Unemployment"),3)</f>
        <v>0</v>
      </c>
      <c r="J319" s="10" t="s">
        <v>791</v>
      </c>
      <c r="K319" s="7" t="s">
        <v>701</v>
      </c>
      <c r="L319" s="7">
        <v>44983</v>
      </c>
      <c r="M319" s="7">
        <v>46079</v>
      </c>
      <c r="N319" s="7"/>
      <c r="O319" s="4" t="str">
        <f t="shared" ref="O319:O327" ca="1" si="21">IF(AND(M319&lt;&gt;"", M319&lt;=TODAY(), N319=""), "End of Contract", "")</f>
        <v>End of Contract</v>
      </c>
      <c r="P319" s="4" t="str">
        <f t="shared" ca="1" si="17"/>
        <v>Non-Active</v>
      </c>
      <c r="Q319" s="4" t="str">
        <f t="shared" si="19"/>
        <v>PKWT</v>
      </c>
      <c r="R319" s="7" t="s">
        <v>2982</v>
      </c>
      <c r="S319" s="15" t="s">
        <v>2682</v>
      </c>
      <c r="T319" s="15" t="s">
        <v>739</v>
      </c>
      <c r="U319" s="15" t="s">
        <v>3000</v>
      </c>
      <c r="V319" s="4" t="s">
        <v>659</v>
      </c>
      <c r="W319" s="15" t="s">
        <v>819</v>
      </c>
      <c r="X319" s="4" t="str">
        <f>_xlfn.XLOOKUP(V319,Reference!$O:$O,Reference!$N:$N,"Tidak Ketemu")</f>
        <v>G11</v>
      </c>
      <c r="Y319" s="4" t="str">
        <f t="shared" si="18"/>
        <v>TK/0</v>
      </c>
      <c r="Z319" s="10">
        <v>284917350130000</v>
      </c>
      <c r="AA319" s="10">
        <v>18069384712</v>
      </c>
      <c r="AB319" s="7">
        <v>2639481725</v>
      </c>
      <c r="AC319" s="7" t="s">
        <v>3816</v>
      </c>
      <c r="AD319" s="17">
        <v>2750394817</v>
      </c>
      <c r="AE319" s="6">
        <v>81194857213</v>
      </c>
      <c r="AF319" s="6" t="s">
        <v>3742</v>
      </c>
      <c r="AG319" s="6" t="s">
        <v>680</v>
      </c>
      <c r="AN319" s="4"/>
    </row>
    <row r="320" spans="1:40" x14ac:dyDescent="0.35">
      <c r="A320" s="5">
        <v>201843175</v>
      </c>
      <c r="B320" s="16" t="s">
        <v>3490</v>
      </c>
      <c r="C320" s="5" t="s">
        <v>3670</v>
      </c>
      <c r="D320" s="5" t="s">
        <v>3580</v>
      </c>
      <c r="E320" s="6" t="s">
        <v>742</v>
      </c>
      <c r="F320" s="7">
        <v>35919</v>
      </c>
      <c r="G320" s="10" t="s">
        <v>648</v>
      </c>
      <c r="H320" s="15" t="s">
        <v>666</v>
      </c>
      <c r="I320" s="4">
        <f>MIN(COUNTIFS('Data Family'!A:A,A320,'Data Family'!F:F,"Child")+COUNTIFS('Data Family'!A:A,A320,'Data Family'!F:F,"&lt;&gt;Child",'Data Family'!J:J,"Housewife")+COUNTIFS('Data Family'!A:A,A320,'Data Family'!F:F,"&lt;&gt;Child",'Data Family'!J:J,"Unemployment"),3)</f>
        <v>0</v>
      </c>
      <c r="J320" s="10" t="s">
        <v>791</v>
      </c>
      <c r="K320" s="7" t="s">
        <v>691</v>
      </c>
      <c r="L320" s="7">
        <v>44899</v>
      </c>
      <c r="M320" s="7">
        <v>45995</v>
      </c>
      <c r="N320" s="7"/>
      <c r="O320" s="4" t="str">
        <f t="shared" ca="1" si="21"/>
        <v>End of Contract</v>
      </c>
      <c r="P320" s="4" t="str">
        <f t="shared" ca="1" si="17"/>
        <v>Non-Active</v>
      </c>
      <c r="Q320" s="4" t="str">
        <f t="shared" si="19"/>
        <v>PKWT</v>
      </c>
      <c r="R320" s="7" t="s">
        <v>2980</v>
      </c>
      <c r="S320" s="15" t="s">
        <v>2687</v>
      </c>
      <c r="T320" s="15" t="s">
        <v>657</v>
      </c>
      <c r="U320" s="15" t="s">
        <v>2996</v>
      </c>
      <c r="V320" s="4" t="s">
        <v>670</v>
      </c>
      <c r="W320" s="15" t="s">
        <v>669</v>
      </c>
      <c r="X320" s="4" t="str">
        <f>_xlfn.XLOOKUP(V320,Reference!$O:$O,Reference!$N:$N,"Tidak Ketemu")</f>
        <v>G13</v>
      </c>
      <c r="Y320" s="4" t="str">
        <f t="shared" si="18"/>
        <v>TK/0</v>
      </c>
      <c r="Z320" s="10">
        <v>173948250420000</v>
      </c>
      <c r="AA320" s="10">
        <v>17072938416</v>
      </c>
      <c r="AB320" s="7">
        <v>1847295163</v>
      </c>
      <c r="AC320" s="7" t="s">
        <v>3816</v>
      </c>
      <c r="AD320" s="17">
        <v>529384716</v>
      </c>
      <c r="AE320" s="6">
        <v>81395847210</v>
      </c>
      <c r="AF320" s="6" t="s">
        <v>3743</v>
      </c>
      <c r="AG320" s="6" t="s">
        <v>778</v>
      </c>
      <c r="AN320" s="4"/>
    </row>
    <row r="321" spans="1:40" x14ac:dyDescent="0.35">
      <c r="A321" s="5">
        <v>201773866</v>
      </c>
      <c r="B321" s="16" t="s">
        <v>3491</v>
      </c>
      <c r="C321" s="5" t="s">
        <v>3671</v>
      </c>
      <c r="D321" s="5" t="s">
        <v>3581</v>
      </c>
      <c r="E321" s="6" t="s">
        <v>742</v>
      </c>
      <c r="F321" s="7">
        <v>36486</v>
      </c>
      <c r="G321" s="10" t="s">
        <v>648</v>
      </c>
      <c r="H321" s="15" t="s">
        <v>666</v>
      </c>
      <c r="I321" s="4">
        <f>MIN(COUNTIFS('Data Family'!A:A,A321,'Data Family'!F:F,"Child")+COUNTIFS('Data Family'!A:A,A321,'Data Family'!F:F,"&lt;&gt;Child",'Data Family'!J:J,"Housewife")+COUNTIFS('Data Family'!A:A,A321,'Data Family'!F:F,"&lt;&gt;Child",'Data Family'!J:J,"Unemployment"),3)</f>
        <v>0</v>
      </c>
      <c r="J321" s="10" t="s">
        <v>3004</v>
      </c>
      <c r="K321" s="7" t="s">
        <v>691</v>
      </c>
      <c r="L321" s="7">
        <v>44764</v>
      </c>
      <c r="M321" s="7">
        <v>45860</v>
      </c>
      <c r="N321" s="7"/>
      <c r="O321" s="4" t="str">
        <f t="shared" ca="1" si="21"/>
        <v>End of Contract</v>
      </c>
      <c r="P321" s="4" t="str">
        <f t="shared" ca="1" si="17"/>
        <v>Non-Active</v>
      </c>
      <c r="Q321" s="4" t="str">
        <f t="shared" si="19"/>
        <v>PKWT</v>
      </c>
      <c r="R321" s="7" t="s">
        <v>2980</v>
      </c>
      <c r="S321" s="15" t="s">
        <v>2687</v>
      </c>
      <c r="T321" s="15" t="s">
        <v>657</v>
      </c>
      <c r="U321" s="15" t="s">
        <v>2996</v>
      </c>
      <c r="V321" s="4" t="s">
        <v>670</v>
      </c>
      <c r="W321" s="15" t="s">
        <v>669</v>
      </c>
      <c r="X321" s="4" t="str">
        <f>_xlfn.XLOOKUP(V321,Reference!$O:$O,Reference!$N:$N,"Tidak Ketemu")</f>
        <v>G13</v>
      </c>
      <c r="Y321" s="4" t="str">
        <f t="shared" si="18"/>
        <v>TK/0</v>
      </c>
      <c r="Z321" s="10">
        <v>339481520510000</v>
      </c>
      <c r="AA321" s="10">
        <v>19084729153</v>
      </c>
      <c r="AB321" s="7">
        <v>3491827351</v>
      </c>
      <c r="AC321" s="7" t="s">
        <v>3816</v>
      </c>
      <c r="AD321" s="17">
        <v>23101083927504</v>
      </c>
      <c r="AE321" s="6">
        <v>85693847215</v>
      </c>
      <c r="AF321" s="6" t="s">
        <v>3744</v>
      </c>
      <c r="AG321" s="6" t="s">
        <v>694</v>
      </c>
      <c r="AN321" s="4"/>
    </row>
    <row r="322" spans="1:40" x14ac:dyDescent="0.35">
      <c r="A322" s="5">
        <v>202135656</v>
      </c>
      <c r="B322" s="16" t="s">
        <v>3492</v>
      </c>
      <c r="C322" s="5" t="s">
        <v>3672</v>
      </c>
      <c r="D322" s="5" t="s">
        <v>3582</v>
      </c>
      <c r="E322" s="6" t="s">
        <v>3438</v>
      </c>
      <c r="F322" s="7">
        <v>35956</v>
      </c>
      <c r="G322" s="10" t="s">
        <v>648</v>
      </c>
      <c r="H322" s="15" t="s">
        <v>666</v>
      </c>
      <c r="I322" s="4">
        <f>MIN(COUNTIFS('Data Family'!A:A,A322,'Data Family'!F:F,"Child")+COUNTIFS('Data Family'!A:A,A322,'Data Family'!F:F,"&lt;&gt;Child",'Data Family'!J:J,"Housewife")+COUNTIFS('Data Family'!A:A,A322,'Data Family'!F:F,"&lt;&gt;Child",'Data Family'!J:J,"Unemployment"),3)</f>
        <v>0</v>
      </c>
      <c r="J322" s="10" t="s">
        <v>3002</v>
      </c>
      <c r="K322" s="7" t="s">
        <v>701</v>
      </c>
      <c r="L322" s="7">
        <v>44936</v>
      </c>
      <c r="M322" s="7">
        <v>45301</v>
      </c>
      <c r="N322" s="7"/>
      <c r="O322" s="4" t="str">
        <f t="shared" ca="1" si="21"/>
        <v>End of Contract</v>
      </c>
      <c r="P322" s="4" t="str">
        <f t="shared" ref="P322:P359" ca="1" si="22">IF(OR(N322&lt;&gt;"", AND(M322&lt;&gt;"",M322&lt;=TODAY())),"Non-Active","Active")</f>
        <v>Non-Active</v>
      </c>
      <c r="Q322" s="4" t="str">
        <f t="shared" si="19"/>
        <v>PKWT</v>
      </c>
      <c r="R322" s="7" t="s">
        <v>2980</v>
      </c>
      <c r="S322" s="15" t="s">
        <v>2985</v>
      </c>
      <c r="T322" s="15" t="s">
        <v>657</v>
      </c>
      <c r="U322" s="15" t="s">
        <v>2996</v>
      </c>
      <c r="V322" s="4" t="s">
        <v>670</v>
      </c>
      <c r="W322" s="15" t="s">
        <v>669</v>
      </c>
      <c r="X322" s="4" t="str">
        <f>_xlfn.XLOOKUP(V322,Reference!$O:$O,Reference!$N:$N,"Tidak Ketemu")</f>
        <v>G13</v>
      </c>
      <c r="Y322" s="4" t="str">
        <f t="shared" ref="Y322:Y385" si="23">IF(AND(G322="Female",H322="Married"),"TK/0",IF(H322="Married","K/"&amp;I322,"TK/"&amp;I322))</f>
        <v>TK/0</v>
      </c>
      <c r="Z322" s="10">
        <v>251938470630000</v>
      </c>
      <c r="AA322" s="10">
        <v>18018374925</v>
      </c>
      <c r="AB322" s="7">
        <v>2194837256</v>
      </c>
      <c r="AC322" s="7" t="s">
        <v>3816</v>
      </c>
      <c r="AD322" s="17">
        <v>708394817200</v>
      </c>
      <c r="AE322" s="6">
        <v>81294857361</v>
      </c>
      <c r="AF322" s="6" t="s">
        <v>3745</v>
      </c>
      <c r="AG322" s="6" t="s">
        <v>656</v>
      </c>
      <c r="AN322" s="4"/>
    </row>
    <row r="323" spans="1:40" x14ac:dyDescent="0.35">
      <c r="A323" s="5">
        <v>202118426</v>
      </c>
      <c r="B323" s="16" t="s">
        <v>3494</v>
      </c>
      <c r="C323" s="5" t="s">
        <v>3674</v>
      </c>
      <c r="D323" s="5" t="s">
        <v>3584</v>
      </c>
      <c r="E323" s="6" t="s">
        <v>689</v>
      </c>
      <c r="F323" s="7">
        <v>35661</v>
      </c>
      <c r="G323" s="10" t="s">
        <v>676</v>
      </c>
      <c r="H323" s="15" t="s">
        <v>651</v>
      </c>
      <c r="I323" s="4">
        <f>MIN(COUNTIFS('Data Family'!A:A,A323,'Data Family'!F:F,"Child")+COUNTIFS('Data Family'!A:A,A323,'Data Family'!F:F,"&lt;&gt;Child",'Data Family'!J:J,"Housewife")+COUNTIFS('Data Family'!A:A,A323,'Data Family'!F:F,"&lt;&gt;Child",'Data Family'!J:J,"Unemployment"),3)</f>
        <v>0</v>
      </c>
      <c r="J323" s="10" t="s">
        <v>791</v>
      </c>
      <c r="K323" s="7" t="s">
        <v>677</v>
      </c>
      <c r="L323" s="7">
        <v>44246</v>
      </c>
      <c r="M323" s="7">
        <v>44611</v>
      </c>
      <c r="N323" s="7"/>
      <c r="O323" s="4" t="str">
        <f t="shared" ca="1" si="21"/>
        <v>End of Contract</v>
      </c>
      <c r="P323" s="4" t="str">
        <f t="shared" ca="1" si="22"/>
        <v>Non-Active</v>
      </c>
      <c r="Q323" s="4" t="str">
        <f t="shared" ref="Q323:Q386" si="24">IF(M323="","PKWTT",IF(DATEDIF(L323,M323,"M")&gt;63,"PKWTT",IF(DATEDIF(L323,M323,"M")&gt;60,"PKWT",IF(DATEDIF(L323,M323,"M")&gt;36,"PKWT",IF(DATEDIF(L323,M323,"M")&gt;12, "PKWT","PKWT")))))</f>
        <v>PKWT</v>
      </c>
      <c r="R323" s="7" t="s">
        <v>2982</v>
      </c>
      <c r="S323" s="15" t="s">
        <v>2685</v>
      </c>
      <c r="T323" s="15" t="s">
        <v>657</v>
      </c>
      <c r="U323" s="15" t="s">
        <v>2996</v>
      </c>
      <c r="V323" s="4" t="s">
        <v>2621</v>
      </c>
      <c r="W323" s="15" t="s">
        <v>3053</v>
      </c>
      <c r="X323" s="4" t="str">
        <f>_xlfn.XLOOKUP(V323,Reference!$O:$O,Reference!$N:$N,"Tidak Ketemu")</f>
        <v>G06</v>
      </c>
      <c r="Y323" s="4" t="str">
        <f t="shared" si="23"/>
        <v>TK/0</v>
      </c>
      <c r="Z323" s="10">
        <v>149283750140000</v>
      </c>
      <c r="AA323" s="10">
        <v>16029481735</v>
      </c>
      <c r="AB323" s="4">
        <v>1529384716</v>
      </c>
      <c r="AC323" s="7" t="s">
        <v>3816</v>
      </c>
      <c r="AD323" s="17">
        <v>1020019384726</v>
      </c>
      <c r="AE323" s="6">
        <v>81829384756</v>
      </c>
      <c r="AF323" s="6" t="s">
        <v>3746</v>
      </c>
      <c r="AG323" s="6" t="s">
        <v>818</v>
      </c>
      <c r="AN323" s="4"/>
    </row>
    <row r="324" spans="1:40" x14ac:dyDescent="0.35">
      <c r="A324" s="5">
        <v>202080333</v>
      </c>
      <c r="B324" s="16" t="s">
        <v>3496</v>
      </c>
      <c r="C324" s="5" t="s">
        <v>3676</v>
      </c>
      <c r="D324" s="5" t="s">
        <v>3586</v>
      </c>
      <c r="E324" s="6" t="s">
        <v>689</v>
      </c>
      <c r="F324" s="7">
        <v>35866</v>
      </c>
      <c r="G324" s="10" t="s">
        <v>648</v>
      </c>
      <c r="H324" s="15" t="s">
        <v>651</v>
      </c>
      <c r="I324" s="4">
        <f>MIN(COUNTIFS('Data Family'!A:A,A324,'Data Family'!F:F,"Child")+COUNTIFS('Data Family'!A:A,A324,'Data Family'!F:F,"&lt;&gt;Child",'Data Family'!J:J,"Housewife")+COUNTIFS('Data Family'!A:A,A324,'Data Family'!F:F,"&lt;&gt;Child",'Data Family'!J:J,"Unemployment"),3)</f>
        <v>0</v>
      </c>
      <c r="J324" s="10" t="s">
        <v>791</v>
      </c>
      <c r="K324" s="7" t="s">
        <v>701</v>
      </c>
      <c r="L324" s="7">
        <v>45242</v>
      </c>
      <c r="M324" s="7">
        <v>45973</v>
      </c>
      <c r="N324" s="7"/>
      <c r="O324" s="4" t="str">
        <f t="shared" ca="1" si="21"/>
        <v>End of Contract</v>
      </c>
      <c r="P324" s="4" t="str">
        <f t="shared" ca="1" si="22"/>
        <v>Non-Active</v>
      </c>
      <c r="Q324" s="4" t="str">
        <f t="shared" si="24"/>
        <v>PKWT</v>
      </c>
      <c r="R324" s="7" t="s">
        <v>2980</v>
      </c>
      <c r="S324" s="15" t="s">
        <v>2985</v>
      </c>
      <c r="T324" s="15" t="s">
        <v>657</v>
      </c>
      <c r="U324" s="15" t="s">
        <v>2996</v>
      </c>
      <c r="V324" s="4" t="s">
        <v>670</v>
      </c>
      <c r="W324" s="15" t="s">
        <v>669</v>
      </c>
      <c r="X324" s="4" t="str">
        <f>_xlfn.XLOOKUP(V324,Reference!$O:$O,Reference!$N:$N,"Tidak Ketemu")</f>
        <v>G13</v>
      </c>
      <c r="Y324" s="4" t="str">
        <f t="shared" si="23"/>
        <v>K/0</v>
      </c>
      <c r="Z324" s="10">
        <v>364918270520000</v>
      </c>
      <c r="AA324" s="10">
        <v>19038471926</v>
      </c>
      <c r="AB324" s="4">
        <v>3629184735</v>
      </c>
      <c r="AC324" s="7" t="s">
        <v>3816</v>
      </c>
      <c r="AD324" s="17">
        <v>6040294813</v>
      </c>
      <c r="AE324" s="6">
        <v>81384910293</v>
      </c>
      <c r="AF324" s="6" t="s">
        <v>3747</v>
      </c>
      <c r="AG324" s="6" t="s">
        <v>680</v>
      </c>
      <c r="AN324" s="4"/>
    </row>
    <row r="325" spans="1:40" x14ac:dyDescent="0.35">
      <c r="A325" s="5">
        <v>201834031</v>
      </c>
      <c r="B325" s="16" t="s">
        <v>3497</v>
      </c>
      <c r="C325" s="5" t="s">
        <v>3677</v>
      </c>
      <c r="D325" s="5" t="s">
        <v>3587</v>
      </c>
      <c r="E325" s="6" t="s">
        <v>689</v>
      </c>
      <c r="F325" s="7">
        <v>36406</v>
      </c>
      <c r="G325" s="10" t="s">
        <v>648</v>
      </c>
      <c r="H325" s="15" t="s">
        <v>666</v>
      </c>
      <c r="I325" s="4">
        <f>MIN(COUNTIFS('Data Family'!A:A,A325,'Data Family'!F:F,"Child")+COUNTIFS('Data Family'!A:A,A325,'Data Family'!F:F,"&lt;&gt;Child",'Data Family'!J:J,"Housewife")+COUNTIFS('Data Family'!A:A,A325,'Data Family'!F:F,"&lt;&gt;Child",'Data Family'!J:J,"Unemployment"),3)</f>
        <v>0</v>
      </c>
      <c r="J325" s="10" t="s">
        <v>791</v>
      </c>
      <c r="K325" s="7" t="s">
        <v>691</v>
      </c>
      <c r="L325" s="7">
        <v>45415</v>
      </c>
      <c r="M325" s="7">
        <v>46145</v>
      </c>
      <c r="N325" s="7"/>
      <c r="O325" s="4" t="str">
        <f t="shared" ca="1" si="21"/>
        <v>End of Contract</v>
      </c>
      <c r="P325" s="4" t="str">
        <f t="shared" ca="1" si="22"/>
        <v>Non-Active</v>
      </c>
      <c r="Q325" s="4" t="str">
        <f t="shared" si="24"/>
        <v>PKWT</v>
      </c>
      <c r="R325" s="7" t="s">
        <v>2980</v>
      </c>
      <c r="S325" s="15" t="s">
        <v>2985</v>
      </c>
      <c r="T325" s="15" t="s">
        <v>657</v>
      </c>
      <c r="U325" s="15" t="s">
        <v>2996</v>
      </c>
      <c r="V325" s="4" t="s">
        <v>670</v>
      </c>
      <c r="W325" s="15" t="s">
        <v>669</v>
      </c>
      <c r="X325" s="4" t="str">
        <f>_xlfn.XLOOKUP(V325,Reference!$O:$O,Reference!$N:$N,"Tidak Ketemu")</f>
        <v>G13</v>
      </c>
      <c r="Y325" s="4" t="str">
        <f t="shared" si="23"/>
        <v>TK/0</v>
      </c>
      <c r="Z325" s="10">
        <v>294817350410000</v>
      </c>
      <c r="AA325" s="10">
        <v>18049382715</v>
      </c>
      <c r="AB325" s="7">
        <v>2839481726</v>
      </c>
      <c r="AC325" s="7" t="s">
        <v>3816</v>
      </c>
      <c r="AD325" s="17">
        <v>619384725</v>
      </c>
      <c r="AE325" s="6">
        <v>85729384710</v>
      </c>
      <c r="AF325" s="6" t="s">
        <v>3748</v>
      </c>
      <c r="AG325" s="6" t="s">
        <v>694</v>
      </c>
      <c r="AN325" s="4"/>
    </row>
    <row r="326" spans="1:40" x14ac:dyDescent="0.35">
      <c r="A326" s="5">
        <v>201989715</v>
      </c>
      <c r="B326" s="16" t="s">
        <v>3498</v>
      </c>
      <c r="C326" s="5" t="s">
        <v>3678</v>
      </c>
      <c r="D326" s="5" t="s">
        <v>3588</v>
      </c>
      <c r="E326" s="6" t="s">
        <v>649</v>
      </c>
      <c r="F326" s="7">
        <v>35843</v>
      </c>
      <c r="G326" s="10" t="s">
        <v>648</v>
      </c>
      <c r="H326" s="15" t="s">
        <v>666</v>
      </c>
      <c r="I326" s="4">
        <f>MIN(COUNTIFS('Data Family'!A:A,A326,'Data Family'!F:F,"Child")+COUNTIFS('Data Family'!A:A,A326,'Data Family'!F:F,"&lt;&gt;Child",'Data Family'!J:J,"Housewife")+COUNTIFS('Data Family'!A:A,A326,'Data Family'!F:F,"&lt;&gt;Child",'Data Family'!J:J,"Unemployment"),3)</f>
        <v>0</v>
      </c>
      <c r="J326" s="10" t="s">
        <v>791</v>
      </c>
      <c r="K326" s="7" t="s">
        <v>691</v>
      </c>
      <c r="L326" s="7">
        <v>45460</v>
      </c>
      <c r="M326" s="7">
        <v>46190</v>
      </c>
      <c r="N326" s="7"/>
      <c r="O326" s="4" t="str">
        <f t="shared" ca="1" si="21"/>
        <v>End of Contract</v>
      </c>
      <c r="P326" s="4" t="str">
        <f t="shared" ca="1" si="22"/>
        <v>Non-Active</v>
      </c>
      <c r="Q326" s="4" t="str">
        <f t="shared" si="24"/>
        <v>PKWT</v>
      </c>
      <c r="R326" s="7" t="s">
        <v>2980</v>
      </c>
      <c r="S326" s="15" t="s">
        <v>2985</v>
      </c>
      <c r="T326" s="15" t="s">
        <v>657</v>
      </c>
      <c r="U326" s="15" t="s">
        <v>2996</v>
      </c>
      <c r="V326" s="4" t="s">
        <v>670</v>
      </c>
      <c r="W326" s="15" t="s">
        <v>669</v>
      </c>
      <c r="X326" s="4" t="str">
        <f>_xlfn.XLOOKUP(V326,Reference!$O:$O,Reference!$N:$N,"Tidak Ketemu")</f>
        <v>G13</v>
      </c>
      <c r="Y326" s="4" t="str">
        <f t="shared" si="23"/>
        <v>TK/0</v>
      </c>
      <c r="Z326" s="10">
        <v>118394720630000</v>
      </c>
      <c r="AA326" s="10">
        <v>16051938472</v>
      </c>
      <c r="AB326" s="7">
        <v>1948273615</v>
      </c>
      <c r="AC326" s="7" t="s">
        <v>3816</v>
      </c>
      <c r="AD326" s="17">
        <v>41501029384501</v>
      </c>
      <c r="AE326" s="6">
        <v>81210293847</v>
      </c>
      <c r="AF326" s="6" t="s">
        <v>3749</v>
      </c>
      <c r="AG326" s="6" t="s">
        <v>694</v>
      </c>
      <c r="AN326" s="4"/>
    </row>
    <row r="327" spans="1:40" x14ac:dyDescent="0.35">
      <c r="A327" s="5">
        <v>202082491</v>
      </c>
      <c r="B327" s="16" t="s">
        <v>3499</v>
      </c>
      <c r="C327" s="5" t="s">
        <v>3679</v>
      </c>
      <c r="D327" s="5" t="s">
        <v>3589</v>
      </c>
      <c r="E327" s="6" t="s">
        <v>738</v>
      </c>
      <c r="F327" s="7">
        <v>35180</v>
      </c>
      <c r="G327" s="10" t="s">
        <v>676</v>
      </c>
      <c r="H327" s="15" t="s">
        <v>651</v>
      </c>
      <c r="I327" s="4">
        <f>MIN(COUNTIFS('Data Family'!A:A,A327,'Data Family'!F:F,"Child")+COUNTIFS('Data Family'!A:A,A327,'Data Family'!F:F,"&lt;&gt;Child",'Data Family'!J:J,"Housewife")+COUNTIFS('Data Family'!A:A,A327,'Data Family'!F:F,"&lt;&gt;Child",'Data Family'!J:J,"Unemployment"),3)</f>
        <v>0</v>
      </c>
      <c r="J327" s="10" t="s">
        <v>791</v>
      </c>
      <c r="K327" s="7" t="s">
        <v>691</v>
      </c>
      <c r="L327" s="7">
        <v>44129</v>
      </c>
      <c r="M327" s="7">
        <v>44494</v>
      </c>
      <c r="N327" s="7"/>
      <c r="O327" s="4" t="str">
        <f t="shared" ca="1" si="21"/>
        <v>End of Contract</v>
      </c>
      <c r="P327" s="4" t="str">
        <f t="shared" ca="1" si="22"/>
        <v>Non-Active</v>
      </c>
      <c r="Q327" s="4" t="str">
        <f t="shared" si="24"/>
        <v>PKWT</v>
      </c>
      <c r="R327" s="7" t="s">
        <v>2982</v>
      </c>
      <c r="S327" s="15" t="s">
        <v>2689</v>
      </c>
      <c r="T327" s="15" t="s">
        <v>657</v>
      </c>
      <c r="U327" s="15" t="s">
        <v>2996</v>
      </c>
      <c r="V327" s="4" t="s">
        <v>2624</v>
      </c>
      <c r="W327" s="15" t="s">
        <v>2977</v>
      </c>
      <c r="X327" s="4" t="str">
        <f>_xlfn.XLOOKUP(V327,Reference!$O:$O,Reference!$N:$N,"Tidak Ketemu")</f>
        <v>G07</v>
      </c>
      <c r="Y327" s="4" t="str">
        <f t="shared" si="23"/>
        <v>TK/0</v>
      </c>
      <c r="Z327" s="10">
        <v>239481750120000</v>
      </c>
      <c r="AA327" s="10">
        <v>18062948371</v>
      </c>
      <c r="AB327" s="4">
        <v>2493847156</v>
      </c>
      <c r="AC327" s="7" t="s">
        <v>3816</v>
      </c>
      <c r="AD327" s="17">
        <v>702938471600</v>
      </c>
      <c r="AE327" s="6">
        <v>81948372615</v>
      </c>
      <c r="AF327" s="6" t="s">
        <v>3750</v>
      </c>
      <c r="AG327" s="6" t="s">
        <v>694</v>
      </c>
      <c r="AN327" s="4"/>
    </row>
    <row r="328" spans="1:40" x14ac:dyDescent="0.35">
      <c r="A328" s="5">
        <v>202168417</v>
      </c>
      <c r="B328" s="16" t="s">
        <v>3501</v>
      </c>
      <c r="C328" s="5" t="s">
        <v>3681</v>
      </c>
      <c r="D328" s="5" t="s">
        <v>3591</v>
      </c>
      <c r="E328" s="6" t="s">
        <v>689</v>
      </c>
      <c r="F328" s="7">
        <v>22959</v>
      </c>
      <c r="G328" s="10" t="s">
        <v>676</v>
      </c>
      <c r="H328" s="15" t="s">
        <v>651</v>
      </c>
      <c r="I328" s="4">
        <f>MIN(COUNTIFS('Data Family'!A:A,A328,'Data Family'!F:F,"Child")+COUNTIFS('Data Family'!A:A,A328,'Data Family'!F:F,"&lt;&gt;Child",'Data Family'!J:J,"Housewife")+COUNTIFS('Data Family'!A:A,A328,'Data Family'!F:F,"&lt;&gt;Child",'Data Family'!J:J,"Unemployment"),3)</f>
        <v>0</v>
      </c>
      <c r="J328" s="10" t="s">
        <v>791</v>
      </c>
      <c r="K328" s="7" t="s">
        <v>701</v>
      </c>
      <c r="L328" s="7">
        <v>32211</v>
      </c>
      <c r="M328" s="7"/>
      <c r="N328" s="7">
        <v>43322</v>
      </c>
      <c r="O328" s="4" t="s">
        <v>3381</v>
      </c>
      <c r="P328" s="4" t="str">
        <f t="shared" ca="1" si="22"/>
        <v>Non-Active</v>
      </c>
      <c r="Q328" s="4" t="str">
        <f t="shared" si="24"/>
        <v>PKWTT</v>
      </c>
      <c r="R328" s="7" t="s">
        <v>2982</v>
      </c>
      <c r="S328" s="15" t="s">
        <v>2643</v>
      </c>
      <c r="T328" s="15" t="s">
        <v>794</v>
      </c>
      <c r="U328" s="15" t="s">
        <v>2690</v>
      </c>
      <c r="V328" s="4" t="s">
        <v>2621</v>
      </c>
      <c r="W328" s="15" t="s">
        <v>2627</v>
      </c>
      <c r="X328" s="4" t="str">
        <f>_xlfn.XLOOKUP(V328,Reference!$O:$O,Reference!$N:$N,"Tidak Ketemu")</f>
        <v>G06</v>
      </c>
      <c r="Y328" s="4" t="str">
        <f t="shared" si="23"/>
        <v>TK/0</v>
      </c>
      <c r="Z328" s="10">
        <v>351948270430000</v>
      </c>
      <c r="AA328" s="10">
        <v>19073849125</v>
      </c>
      <c r="AB328" s="4">
        <v>3847192536</v>
      </c>
      <c r="AC328" s="7" t="s">
        <v>3816</v>
      </c>
      <c r="AD328" s="17">
        <v>1410019483725</v>
      </c>
      <c r="AE328" s="6">
        <v>81394827361</v>
      </c>
      <c r="AF328" s="6" t="s">
        <v>3751</v>
      </c>
      <c r="AG328" s="6" t="s">
        <v>778</v>
      </c>
      <c r="AN328" s="4"/>
    </row>
    <row r="329" spans="1:40" x14ac:dyDescent="0.35">
      <c r="A329" s="5">
        <v>201912416</v>
      </c>
      <c r="B329" s="16" t="s">
        <v>3502</v>
      </c>
      <c r="C329" s="5" t="s">
        <v>3682</v>
      </c>
      <c r="D329" s="5" t="s">
        <v>3592</v>
      </c>
      <c r="E329" s="6" t="s">
        <v>689</v>
      </c>
      <c r="F329" s="7">
        <v>22485</v>
      </c>
      <c r="G329" s="10" t="s">
        <v>648</v>
      </c>
      <c r="H329" s="15" t="s">
        <v>651</v>
      </c>
      <c r="I329" s="4">
        <f>MIN(COUNTIFS('Data Family'!A:A,A329,'Data Family'!F:F,"Child")+COUNTIFS('Data Family'!A:A,A329,'Data Family'!F:F,"&lt;&gt;Child",'Data Family'!J:J,"Housewife")+COUNTIFS('Data Family'!A:A,A329,'Data Family'!F:F,"&lt;&gt;Child",'Data Family'!J:J,"Unemployment"),3)</f>
        <v>0</v>
      </c>
      <c r="J329" s="10" t="s">
        <v>791</v>
      </c>
      <c r="K329" s="7" t="s">
        <v>691</v>
      </c>
      <c r="L329" s="7">
        <v>31525</v>
      </c>
      <c r="M329" s="7"/>
      <c r="N329" s="7">
        <v>42835</v>
      </c>
      <c r="O329" s="4" t="s">
        <v>3381</v>
      </c>
      <c r="P329" s="4" t="str">
        <f t="shared" ca="1" si="22"/>
        <v>Non-Active</v>
      </c>
      <c r="Q329" s="4" t="str">
        <f t="shared" si="24"/>
        <v>PKWTT</v>
      </c>
      <c r="R329" s="7" t="s">
        <v>2982</v>
      </c>
      <c r="S329" s="15" t="s">
        <v>2988</v>
      </c>
      <c r="T329" s="15" t="s">
        <v>2643</v>
      </c>
      <c r="U329" s="15" t="s">
        <v>2665</v>
      </c>
      <c r="V329" s="4" t="s">
        <v>2621</v>
      </c>
      <c r="W329" s="15" t="s">
        <v>3049</v>
      </c>
      <c r="X329" s="4" t="str">
        <f>_xlfn.XLOOKUP(V329,Reference!$O:$O,Reference!$N:$N,"Tidak Ketemu")</f>
        <v>G06</v>
      </c>
      <c r="Y329" s="4" t="str">
        <f t="shared" si="23"/>
        <v>K/0</v>
      </c>
      <c r="Z329" s="10">
        <v>163948270510000</v>
      </c>
      <c r="AA329" s="10">
        <v>17084729351</v>
      </c>
      <c r="AB329" s="4">
        <v>1394827156</v>
      </c>
      <c r="AC329" s="7" t="s">
        <v>3816</v>
      </c>
      <c r="AD329" s="17">
        <v>4530294815</v>
      </c>
      <c r="AE329" s="6">
        <v>87839482715</v>
      </c>
      <c r="AF329" s="6" t="s">
        <v>3752</v>
      </c>
      <c r="AG329" s="6" t="s">
        <v>694</v>
      </c>
      <c r="AN329" s="4"/>
    </row>
    <row r="330" spans="1:40" x14ac:dyDescent="0.35">
      <c r="A330" s="5">
        <v>201938204</v>
      </c>
      <c r="B330" s="16" t="s">
        <v>3504</v>
      </c>
      <c r="C330" s="5" t="s">
        <v>3684</v>
      </c>
      <c r="D330" s="5" t="s">
        <v>3594</v>
      </c>
      <c r="E330" s="6" t="s">
        <v>689</v>
      </c>
      <c r="F330" s="7">
        <v>23843</v>
      </c>
      <c r="G330" s="10" t="s">
        <v>676</v>
      </c>
      <c r="H330" s="15" t="s">
        <v>651</v>
      </c>
      <c r="I330" s="4">
        <f>MIN(COUNTIFS('Data Family'!A:A,A330,'Data Family'!F:F,"Child")+COUNTIFS('Data Family'!A:A,A330,'Data Family'!F:F,"&lt;&gt;Child",'Data Family'!J:J,"Housewife")+COUNTIFS('Data Family'!A:A,A330,'Data Family'!F:F,"&lt;&gt;Child",'Data Family'!J:J,"Unemployment"),3)</f>
        <v>0</v>
      </c>
      <c r="J330" s="10" t="s">
        <v>791</v>
      </c>
      <c r="K330" s="7" t="s">
        <v>701</v>
      </c>
      <c r="L330" s="7">
        <v>32122</v>
      </c>
      <c r="M330" s="7"/>
      <c r="N330" s="7">
        <v>44114</v>
      </c>
      <c r="O330" s="4" t="s">
        <v>3381</v>
      </c>
      <c r="P330" s="4" t="str">
        <f t="shared" ca="1" si="22"/>
        <v>Non-Active</v>
      </c>
      <c r="Q330" s="4" t="str">
        <f t="shared" si="24"/>
        <v>PKWTT</v>
      </c>
      <c r="R330" s="7" t="s">
        <v>2982</v>
      </c>
      <c r="S330" s="15" t="s">
        <v>2643</v>
      </c>
      <c r="T330" s="15" t="s">
        <v>2643</v>
      </c>
      <c r="U330" s="15" t="s">
        <v>2676</v>
      </c>
      <c r="V330" s="4" t="s">
        <v>2624</v>
      </c>
      <c r="W330" s="15" t="s">
        <v>2651</v>
      </c>
      <c r="X330" s="4" t="str">
        <f>_xlfn.XLOOKUP(V330,Reference!$O:$O,Reference!$N:$N,"Tidak Ketemu")</f>
        <v>G07</v>
      </c>
      <c r="Y330" s="4" t="str">
        <f t="shared" si="23"/>
        <v>TK/0</v>
      </c>
      <c r="Z330" s="10">
        <v>219483720620000</v>
      </c>
      <c r="AA330" s="10">
        <v>18013948274</v>
      </c>
      <c r="AB330" s="4">
        <v>2183948271</v>
      </c>
      <c r="AC330" s="7" t="s">
        <v>3816</v>
      </c>
      <c r="AD330" s="17">
        <v>739482715</v>
      </c>
      <c r="AE330" s="6">
        <v>85293847102</v>
      </c>
      <c r="AF330" s="6" t="s">
        <v>3753</v>
      </c>
      <c r="AG330" s="6" t="s">
        <v>778</v>
      </c>
      <c r="AN330" s="4"/>
    </row>
    <row r="331" spans="1:40" x14ac:dyDescent="0.35">
      <c r="A331" s="5">
        <v>201956738</v>
      </c>
      <c r="B331" s="16" t="s">
        <v>3508</v>
      </c>
      <c r="C331" s="5" t="s">
        <v>3688</v>
      </c>
      <c r="D331" s="5" t="s">
        <v>3598</v>
      </c>
      <c r="E331" s="6" t="s">
        <v>809</v>
      </c>
      <c r="F331" s="7">
        <v>34653</v>
      </c>
      <c r="G331" s="10" t="s">
        <v>648</v>
      </c>
      <c r="H331" s="15" t="s">
        <v>651</v>
      </c>
      <c r="I331" s="4">
        <f>MIN(COUNTIFS('Data Family'!A:A,A331,'Data Family'!F:F,"Child")+COUNTIFS('Data Family'!A:A,A331,'Data Family'!F:F,"&lt;&gt;Child",'Data Family'!J:J,"Housewife")+COUNTIFS('Data Family'!A:A,A331,'Data Family'!F:F,"&lt;&gt;Child",'Data Family'!J:J,"Unemployment"),3)</f>
        <v>0</v>
      </c>
      <c r="J331" s="10" t="s">
        <v>791</v>
      </c>
      <c r="K331" s="7" t="s">
        <v>701</v>
      </c>
      <c r="L331" s="7">
        <v>43631</v>
      </c>
      <c r="M331" s="7">
        <v>45092</v>
      </c>
      <c r="N331" s="7"/>
      <c r="O331" s="4" t="str">
        <f ca="1">IF(AND(M331&lt;&gt;"", M331&lt;=TODAY(), N331=""), "End of Contract", "")</f>
        <v>End of Contract</v>
      </c>
      <c r="P331" s="4" t="str">
        <f t="shared" ca="1" si="22"/>
        <v>Non-Active</v>
      </c>
      <c r="Q331" s="4" t="str">
        <f t="shared" si="24"/>
        <v>PKWT</v>
      </c>
      <c r="R331" s="7" t="s">
        <v>2982</v>
      </c>
      <c r="S331" s="15" t="s">
        <v>2689</v>
      </c>
      <c r="T331" s="15" t="s">
        <v>657</v>
      </c>
      <c r="U331" s="15" t="s">
        <v>2996</v>
      </c>
      <c r="V331" s="4" t="s">
        <v>706</v>
      </c>
      <c r="W331" s="15" t="s">
        <v>3896</v>
      </c>
      <c r="X331" s="4" t="str">
        <f>_xlfn.XLOOKUP(V331,Reference!$O:$O,Reference!$N:$N,"Tidak Ketemu")</f>
        <v>G08</v>
      </c>
      <c r="Y331" s="4" t="str">
        <f t="shared" si="23"/>
        <v>K/0</v>
      </c>
      <c r="Z331" s="10">
        <v>348291530140000</v>
      </c>
      <c r="AA331" s="10">
        <v>19027493816</v>
      </c>
      <c r="AB331" s="4">
        <v>3928471536</v>
      </c>
      <c r="AC331" s="7" t="s">
        <v>3816</v>
      </c>
      <c r="AD331" s="17">
        <v>53201048293502</v>
      </c>
      <c r="AE331" s="6">
        <v>81293847156</v>
      </c>
      <c r="AF331" s="6" t="s">
        <v>3754</v>
      </c>
      <c r="AG331" s="6" t="s">
        <v>680</v>
      </c>
      <c r="AN331" s="4"/>
    </row>
    <row r="332" spans="1:40" x14ac:dyDescent="0.35">
      <c r="A332" s="5">
        <v>202486913</v>
      </c>
      <c r="B332" s="16" t="s">
        <v>3510</v>
      </c>
      <c r="C332" s="5" t="s">
        <v>3690</v>
      </c>
      <c r="D332" s="5" t="s">
        <v>3600</v>
      </c>
      <c r="E332" s="6" t="s">
        <v>738</v>
      </c>
      <c r="F332" s="7">
        <v>36385</v>
      </c>
      <c r="G332" s="10" t="s">
        <v>648</v>
      </c>
      <c r="H332" s="15" t="s">
        <v>666</v>
      </c>
      <c r="I332" s="4">
        <f>MIN(COUNTIFS('Data Family'!A:A,A332,'Data Family'!F:F,"Child")+COUNTIFS('Data Family'!A:A,A332,'Data Family'!F:F,"&lt;&gt;Child",'Data Family'!J:J,"Housewife")+COUNTIFS('Data Family'!A:A,A332,'Data Family'!F:F,"&lt;&gt;Child",'Data Family'!J:J,"Unemployment"),3)</f>
        <v>0</v>
      </c>
      <c r="J332" s="10" t="s">
        <v>791</v>
      </c>
      <c r="K332" s="7" t="s">
        <v>691</v>
      </c>
      <c r="L332" s="7">
        <v>45335</v>
      </c>
      <c r="M332" s="7">
        <v>46431</v>
      </c>
      <c r="N332" s="7" t="s">
        <v>3725</v>
      </c>
      <c r="O332" s="4" t="s">
        <v>2674</v>
      </c>
      <c r="P332" s="4" t="str">
        <f t="shared" ca="1" si="22"/>
        <v>Non-Active</v>
      </c>
      <c r="Q332" s="4" t="str">
        <f t="shared" si="24"/>
        <v>PKWT</v>
      </c>
      <c r="R332" s="7" t="s">
        <v>2980</v>
      </c>
      <c r="S332" s="15" t="s">
        <v>2687</v>
      </c>
      <c r="T332" s="15" t="s">
        <v>657</v>
      </c>
      <c r="U332" s="15" t="s">
        <v>2996</v>
      </c>
      <c r="V332" s="4" t="s">
        <v>2640</v>
      </c>
      <c r="W332" s="15" t="s">
        <v>658</v>
      </c>
      <c r="X332" s="4" t="str">
        <f>_xlfn.XLOOKUP(V332,Reference!$O:$O,Reference!$N:$N,"Tidak Ketemu")</f>
        <v>G12</v>
      </c>
      <c r="Y332" s="4" t="str">
        <f t="shared" si="23"/>
        <v>TK/0</v>
      </c>
      <c r="Z332" s="10">
        <v>139482710520000</v>
      </c>
      <c r="AA332" s="10">
        <v>16038472915</v>
      </c>
      <c r="AB332" s="7">
        <v>1293847152</v>
      </c>
      <c r="AC332" s="7" t="s">
        <v>3816</v>
      </c>
      <c r="AD332" s="17">
        <v>705193847200</v>
      </c>
      <c r="AE332" s="6">
        <v>81310394857</v>
      </c>
      <c r="AF332" s="6" t="s">
        <v>3755</v>
      </c>
      <c r="AG332" s="6" t="s">
        <v>778</v>
      </c>
      <c r="AN332" s="4"/>
    </row>
    <row r="333" spans="1:40" x14ac:dyDescent="0.35">
      <c r="A333" s="5">
        <v>201647247</v>
      </c>
      <c r="B333" s="16" t="s">
        <v>3512</v>
      </c>
      <c r="C333" s="5" t="s">
        <v>3692</v>
      </c>
      <c r="D333" s="5" t="s">
        <v>3602</v>
      </c>
      <c r="E333" s="6" t="s">
        <v>768</v>
      </c>
      <c r="F333" s="7">
        <v>33652</v>
      </c>
      <c r="G333" s="10" t="s">
        <v>648</v>
      </c>
      <c r="H333" s="15" t="s">
        <v>651</v>
      </c>
      <c r="I333" s="4">
        <f>MIN(COUNTIFS('Data Family'!A:A,A333,'Data Family'!F:F,"Child")+COUNTIFS('Data Family'!A:A,A333,'Data Family'!F:F,"&lt;&gt;Child",'Data Family'!J:J,"Housewife")+COUNTIFS('Data Family'!A:A,A333,'Data Family'!F:F,"&lt;&gt;Child",'Data Family'!J:J,"Unemployment"),3)</f>
        <v>0</v>
      </c>
      <c r="J333" s="10" t="s">
        <v>791</v>
      </c>
      <c r="K333" s="7" t="s">
        <v>701</v>
      </c>
      <c r="L333" s="7">
        <v>42965</v>
      </c>
      <c r="M333" s="7">
        <v>43695</v>
      </c>
      <c r="N333" s="7"/>
      <c r="O333" s="4" t="str">
        <f ca="1">IF(AND(M333&lt;&gt;"", M333&lt;=TODAY(), N333=""), "End of Contract", "")</f>
        <v>End of Contract</v>
      </c>
      <c r="P333" s="4" t="str">
        <f t="shared" ca="1" si="22"/>
        <v>Non-Active</v>
      </c>
      <c r="Q333" s="4" t="str">
        <f t="shared" si="24"/>
        <v>PKWT</v>
      </c>
      <c r="R333" s="7" t="s">
        <v>2982</v>
      </c>
      <c r="S333" s="15" t="s">
        <v>2691</v>
      </c>
      <c r="T333" s="15" t="s">
        <v>657</v>
      </c>
      <c r="U333" s="15" t="s">
        <v>2996</v>
      </c>
      <c r="V333" s="4" t="s">
        <v>706</v>
      </c>
      <c r="W333" s="15" t="s">
        <v>3060</v>
      </c>
      <c r="X333" s="4" t="str">
        <f>_xlfn.XLOOKUP(V333,Reference!$O:$O,Reference!$N:$N,"Tidak Ketemu")</f>
        <v>G08</v>
      </c>
      <c r="Y333" s="4" t="str">
        <f t="shared" si="23"/>
        <v>K/0</v>
      </c>
      <c r="Z333" s="10">
        <v>263948170410000</v>
      </c>
      <c r="AA333" s="10">
        <v>18042938471</v>
      </c>
      <c r="AB333" s="4">
        <v>2519384726</v>
      </c>
      <c r="AC333" s="7" t="s">
        <v>3816</v>
      </c>
      <c r="AD333" s="17">
        <v>1130018472935</v>
      </c>
      <c r="AE333" s="6">
        <v>81729384715</v>
      </c>
      <c r="AF333" s="6" t="s">
        <v>3756</v>
      </c>
      <c r="AG333" s="6" t="s">
        <v>656</v>
      </c>
      <c r="AN333" s="4"/>
    </row>
    <row r="334" spans="1:40" x14ac:dyDescent="0.35">
      <c r="A334" s="5">
        <v>201478649</v>
      </c>
      <c r="B334" s="16" t="s">
        <v>3513</v>
      </c>
      <c r="C334" s="5" t="s">
        <v>3693</v>
      </c>
      <c r="D334" s="5" t="s">
        <v>3603</v>
      </c>
      <c r="E334" s="6" t="s">
        <v>742</v>
      </c>
      <c r="F334" s="7">
        <v>33175</v>
      </c>
      <c r="G334" s="10" t="s">
        <v>648</v>
      </c>
      <c r="H334" s="15" t="s">
        <v>651</v>
      </c>
      <c r="I334" s="4">
        <f>MIN(COUNTIFS('Data Family'!A:A,A334,'Data Family'!F:F,"Child")+COUNTIFS('Data Family'!A:A,A334,'Data Family'!F:F,"&lt;&gt;Child",'Data Family'!J:J,"Housewife")+COUNTIFS('Data Family'!A:A,A334,'Data Family'!F:F,"&lt;&gt;Child",'Data Family'!J:J,"Unemployment"),3)</f>
        <v>0</v>
      </c>
      <c r="J334" s="10" t="s">
        <v>791</v>
      </c>
      <c r="K334" s="7" t="s">
        <v>691</v>
      </c>
      <c r="L334" s="7">
        <v>42672</v>
      </c>
      <c r="M334" s="7">
        <v>43767</v>
      </c>
      <c r="N334" s="7"/>
      <c r="O334" s="4" t="str">
        <f ca="1">IF(AND(M334&lt;&gt;"", M334&lt;=TODAY(), N334=""), "End of Contract", "")</f>
        <v>End of Contract</v>
      </c>
      <c r="P334" s="4" t="str">
        <f t="shared" ca="1" si="22"/>
        <v>Non-Active</v>
      </c>
      <c r="Q334" s="4" t="str">
        <f t="shared" si="24"/>
        <v>PKWT</v>
      </c>
      <c r="R334" s="7" t="s">
        <v>2982</v>
      </c>
      <c r="S334" s="15" t="s">
        <v>2679</v>
      </c>
      <c r="T334" s="15" t="s">
        <v>739</v>
      </c>
      <c r="U334" s="15" t="s">
        <v>3000</v>
      </c>
      <c r="V334" s="4" t="s">
        <v>659</v>
      </c>
      <c r="W334" s="15" t="s">
        <v>819</v>
      </c>
      <c r="X334" s="4" t="str">
        <f>_xlfn.XLOOKUP(V334,Reference!$O:$O,Reference!$N:$N,"Tidak Ketemu")</f>
        <v>G11</v>
      </c>
      <c r="Y334" s="4" t="str">
        <f t="shared" si="23"/>
        <v>K/0</v>
      </c>
      <c r="Z334" s="10">
        <v>371948250630000</v>
      </c>
      <c r="AA334" s="10">
        <v>19053847192</v>
      </c>
      <c r="AB334" s="4">
        <v>3719482635</v>
      </c>
      <c r="AC334" s="7" t="s">
        <v>3816</v>
      </c>
      <c r="AD334" s="17">
        <v>7120394816</v>
      </c>
      <c r="AE334" s="6">
        <v>81294837152</v>
      </c>
      <c r="AF334" s="6" t="s">
        <v>3757</v>
      </c>
      <c r="AG334" s="6" t="s">
        <v>704</v>
      </c>
      <c r="AN334" s="4"/>
    </row>
    <row r="335" spans="1:40" x14ac:dyDescent="0.35">
      <c r="A335" s="5">
        <v>202112469</v>
      </c>
      <c r="B335" s="16" t="s">
        <v>3515</v>
      </c>
      <c r="C335" s="5" t="s">
        <v>3695</v>
      </c>
      <c r="D335" s="5" t="s">
        <v>3605</v>
      </c>
      <c r="E335" s="6" t="s">
        <v>649</v>
      </c>
      <c r="F335" s="7">
        <v>35375</v>
      </c>
      <c r="G335" s="10" t="s">
        <v>648</v>
      </c>
      <c r="H335" s="15" t="s">
        <v>651</v>
      </c>
      <c r="I335" s="4">
        <f>MIN(COUNTIFS('Data Family'!A:A,A335,'Data Family'!F:F,"Child")+COUNTIFS('Data Family'!A:A,A335,'Data Family'!F:F,"&lt;&gt;Child",'Data Family'!J:J,"Housewife")+COUNTIFS('Data Family'!A:A,A335,'Data Family'!F:F,"&lt;&gt;Child",'Data Family'!J:J,"Unemployment"),3)</f>
        <v>0</v>
      </c>
      <c r="J335" s="10" t="s">
        <v>791</v>
      </c>
      <c r="K335" s="7" t="s">
        <v>701</v>
      </c>
      <c r="L335" s="7">
        <v>44322</v>
      </c>
      <c r="M335" s="7">
        <v>44687</v>
      </c>
      <c r="N335" s="7"/>
      <c r="O335" s="4" t="str">
        <f ca="1">IF(AND(M335&lt;&gt;"", M335&lt;=TODAY(), N335=""), "End of Contract", "")</f>
        <v>End of Contract</v>
      </c>
      <c r="P335" s="4" t="str">
        <f t="shared" ca="1" si="22"/>
        <v>Non-Active</v>
      </c>
      <c r="Q335" s="4" t="str">
        <f t="shared" si="24"/>
        <v>PKWT</v>
      </c>
      <c r="R335" s="7" t="s">
        <v>2982</v>
      </c>
      <c r="S335" s="15" t="s">
        <v>2687</v>
      </c>
      <c r="T335" s="15" t="s">
        <v>657</v>
      </c>
      <c r="U335" s="15" t="s">
        <v>2998</v>
      </c>
      <c r="V335" s="4" t="s">
        <v>2624</v>
      </c>
      <c r="W335" s="15" t="s">
        <v>3057</v>
      </c>
      <c r="X335" s="4" t="str">
        <f>_xlfn.XLOOKUP(V335,Reference!$O:$O,Reference!$N:$N,"Tidak Ketemu")</f>
        <v>G07</v>
      </c>
      <c r="Y335" s="4" t="str">
        <f t="shared" si="23"/>
        <v>K/0</v>
      </c>
      <c r="Z335" s="10">
        <v>182938470120000</v>
      </c>
      <c r="AA335" s="10">
        <v>17064938271</v>
      </c>
      <c r="AB335" s="4">
        <v>1492837156</v>
      </c>
      <c r="AC335" s="7" t="s">
        <v>3816</v>
      </c>
      <c r="AD335" s="17">
        <v>293847156</v>
      </c>
      <c r="AE335" s="6">
        <v>85619384725</v>
      </c>
      <c r="AF335" s="6" t="s">
        <v>3758</v>
      </c>
      <c r="AG335" s="6" t="s">
        <v>731</v>
      </c>
      <c r="AN335" s="4"/>
    </row>
    <row r="336" spans="1:40" x14ac:dyDescent="0.35">
      <c r="A336" s="5">
        <v>201419758</v>
      </c>
      <c r="B336" s="16" t="s">
        <v>3517</v>
      </c>
      <c r="C336" s="5" t="s">
        <v>3697</v>
      </c>
      <c r="D336" s="5" t="s">
        <v>3607</v>
      </c>
      <c r="E336" s="6" t="s">
        <v>689</v>
      </c>
      <c r="F336" s="7">
        <v>32854</v>
      </c>
      <c r="G336" s="10" t="s">
        <v>648</v>
      </c>
      <c r="H336" s="15" t="s">
        <v>651</v>
      </c>
      <c r="I336" s="4">
        <f>MIN(COUNTIFS('Data Family'!A:A,A336,'Data Family'!F:F,"Child")+COUNTIFS('Data Family'!A:A,A336,'Data Family'!F:F,"&lt;&gt;Child",'Data Family'!J:J,"Housewife")+COUNTIFS('Data Family'!A:A,A336,'Data Family'!F:F,"&lt;&gt;Child",'Data Family'!J:J,"Unemployment"),3)</f>
        <v>0</v>
      </c>
      <c r="J336" s="10" t="s">
        <v>791</v>
      </c>
      <c r="K336" s="7" t="s">
        <v>701</v>
      </c>
      <c r="L336" s="7">
        <v>41985</v>
      </c>
      <c r="M336" s="7">
        <v>42716</v>
      </c>
      <c r="N336" s="7"/>
      <c r="O336" s="4" t="str">
        <f ca="1">IF(AND(M336&lt;&gt;"", M336&lt;=TODAY(), N336=""), "End of Contract", "")</f>
        <v>End of Contract</v>
      </c>
      <c r="P336" s="4" t="str">
        <f t="shared" ca="1" si="22"/>
        <v>Non-Active</v>
      </c>
      <c r="Q336" s="4" t="str">
        <f t="shared" si="24"/>
        <v>PKWT</v>
      </c>
      <c r="R336" s="7" t="s">
        <v>2982</v>
      </c>
      <c r="S336" s="15" t="s">
        <v>2691</v>
      </c>
      <c r="T336" s="15" t="s">
        <v>657</v>
      </c>
      <c r="U336" s="15" t="s">
        <v>2998</v>
      </c>
      <c r="V336" s="4" t="s">
        <v>2624</v>
      </c>
      <c r="W336" s="15" t="s">
        <v>3057</v>
      </c>
      <c r="X336" s="4" t="str">
        <f>_xlfn.XLOOKUP(V336,Reference!$O:$O,Reference!$N:$N,"Tidak Ketemu")</f>
        <v>G07</v>
      </c>
      <c r="Y336" s="4" t="str">
        <f t="shared" si="23"/>
        <v>K/0</v>
      </c>
      <c r="Z336" s="10">
        <v>293847150510000</v>
      </c>
      <c r="AA336" s="10">
        <v>18071938426</v>
      </c>
      <c r="AB336" s="4">
        <v>2938471625</v>
      </c>
      <c r="AC336" s="7" t="s">
        <v>3816</v>
      </c>
      <c r="AD336" s="17">
        <v>14201093847504</v>
      </c>
      <c r="AE336" s="6">
        <v>81394810293</v>
      </c>
      <c r="AF336" s="6" t="s">
        <v>3759</v>
      </c>
      <c r="AG336" s="6" t="s">
        <v>704</v>
      </c>
      <c r="AN336" s="4"/>
    </row>
    <row r="337" spans="1:40" x14ac:dyDescent="0.35">
      <c r="A337" s="5">
        <v>202470337</v>
      </c>
      <c r="B337" s="16" t="s">
        <v>3518</v>
      </c>
      <c r="C337" s="5" t="s">
        <v>3698</v>
      </c>
      <c r="D337" s="5" t="s">
        <v>3608</v>
      </c>
      <c r="E337" s="6" t="s">
        <v>649</v>
      </c>
      <c r="F337" s="7">
        <v>35529</v>
      </c>
      <c r="G337" s="10" t="s">
        <v>676</v>
      </c>
      <c r="H337" s="15" t="s">
        <v>666</v>
      </c>
      <c r="I337" s="4">
        <f>MIN(COUNTIFS('Data Family'!A:A,A337,'Data Family'!F:F,"Child")+COUNTIFS('Data Family'!A:A,A337,'Data Family'!F:F,"&lt;&gt;Child",'Data Family'!J:J,"Housewife")+COUNTIFS('Data Family'!A:A,A337,'Data Family'!F:F,"&lt;&gt;Child",'Data Family'!J:J,"Unemployment"),3)</f>
        <v>0</v>
      </c>
      <c r="J337" s="10" t="s">
        <v>791</v>
      </c>
      <c r="K337" s="7" t="s">
        <v>701</v>
      </c>
      <c r="L337" s="7">
        <v>43413</v>
      </c>
      <c r="M337" s="7">
        <v>44144</v>
      </c>
      <c r="N337" s="7"/>
      <c r="O337" s="4" t="s">
        <v>3382</v>
      </c>
      <c r="P337" s="4" t="str">
        <f t="shared" ca="1" si="22"/>
        <v>Non-Active</v>
      </c>
      <c r="Q337" s="4" t="str">
        <f t="shared" si="24"/>
        <v>PKWT</v>
      </c>
      <c r="R337" s="7" t="s">
        <v>2981</v>
      </c>
      <c r="S337" s="15" t="s">
        <v>2683</v>
      </c>
      <c r="T337" s="15" t="s">
        <v>2643</v>
      </c>
      <c r="U337" s="15" t="s">
        <v>2676</v>
      </c>
      <c r="V337" s="4" t="s">
        <v>659</v>
      </c>
      <c r="W337" s="15" t="s">
        <v>903</v>
      </c>
      <c r="X337" s="4" t="str">
        <f>_xlfn.XLOOKUP(V337,Reference!$O:$O,Reference!$N:$N,"Tidak Ketemu")</f>
        <v>G11</v>
      </c>
      <c r="Y337" s="4" t="str">
        <f t="shared" si="23"/>
        <v>TK/0</v>
      </c>
      <c r="Z337" s="10">
        <v>128394710620000</v>
      </c>
      <c r="AA337" s="10">
        <v>16082938471</v>
      </c>
      <c r="AB337" s="7">
        <v>1839472615</v>
      </c>
      <c r="AC337" s="7" t="s">
        <v>3816</v>
      </c>
      <c r="AD337" s="17">
        <v>709182736400</v>
      </c>
      <c r="AE337" s="6">
        <v>87819283745</v>
      </c>
      <c r="AF337" s="6" t="s">
        <v>3760</v>
      </c>
      <c r="AG337" s="6" t="s">
        <v>731</v>
      </c>
      <c r="AN337" s="4"/>
    </row>
    <row r="338" spans="1:40" x14ac:dyDescent="0.35">
      <c r="A338" s="5">
        <v>201873231</v>
      </c>
      <c r="B338" s="16" t="s">
        <v>3520</v>
      </c>
      <c r="C338" s="5" t="s">
        <v>3700</v>
      </c>
      <c r="D338" s="5" t="s">
        <v>3610</v>
      </c>
      <c r="E338" s="6" t="s">
        <v>649</v>
      </c>
      <c r="F338" s="7">
        <v>34354</v>
      </c>
      <c r="G338" s="10" t="s">
        <v>648</v>
      </c>
      <c r="H338" s="15" t="s">
        <v>651</v>
      </c>
      <c r="I338" s="4">
        <f>MIN(COUNTIFS('Data Family'!A:A,A338,'Data Family'!F:F,"Child")+COUNTIFS('Data Family'!A:A,A338,'Data Family'!F:F,"&lt;&gt;Child",'Data Family'!J:J,"Housewife")+COUNTIFS('Data Family'!A:A,A338,'Data Family'!F:F,"&lt;&gt;Child",'Data Family'!J:J,"Unemployment"),3)</f>
        <v>0</v>
      </c>
      <c r="J338" s="10" t="s">
        <v>791</v>
      </c>
      <c r="K338" s="7" t="s">
        <v>652</v>
      </c>
      <c r="L338" s="7">
        <v>43301</v>
      </c>
      <c r="M338" s="7">
        <v>44032</v>
      </c>
      <c r="N338" s="7"/>
      <c r="O338" s="4" t="str">
        <f t="shared" ref="O338:O345" ca="1" si="25">IF(AND(M338&lt;&gt;"", M338&lt;=TODAY(), N338=""), "End of Contract", "")</f>
        <v>End of Contract</v>
      </c>
      <c r="P338" s="4" t="str">
        <f t="shared" ca="1" si="22"/>
        <v>Non-Active</v>
      </c>
      <c r="Q338" s="4" t="str">
        <f t="shared" si="24"/>
        <v>PKWT</v>
      </c>
      <c r="R338" s="7" t="s">
        <v>2982</v>
      </c>
      <c r="S338" s="15" t="s">
        <v>2685</v>
      </c>
      <c r="T338" s="15" t="s">
        <v>657</v>
      </c>
      <c r="U338" s="15" t="s">
        <v>2997</v>
      </c>
      <c r="V338" s="4" t="s">
        <v>659</v>
      </c>
      <c r="W338" s="15" t="s">
        <v>3056</v>
      </c>
      <c r="X338" s="4" t="str">
        <f>_xlfn.XLOOKUP(V338,Reference!$O:$O,Reference!$N:$N,"Tidak Ketemu")</f>
        <v>G11</v>
      </c>
      <c r="Y338" s="4" t="str">
        <f t="shared" si="23"/>
        <v>K/0</v>
      </c>
      <c r="Z338" s="10">
        <v>319283740130000</v>
      </c>
      <c r="AA338" s="10">
        <v>19014928375</v>
      </c>
      <c r="AB338" s="4">
        <v>3192837465</v>
      </c>
      <c r="AC338" s="7" t="s">
        <v>3816</v>
      </c>
      <c r="AD338" s="17">
        <v>1370019283745</v>
      </c>
      <c r="AE338" s="6">
        <v>81283746152</v>
      </c>
      <c r="AF338" s="6" t="s">
        <v>3761</v>
      </c>
      <c r="AG338" s="6" t="s">
        <v>656</v>
      </c>
      <c r="AN338" s="4"/>
    </row>
    <row r="339" spans="1:40" x14ac:dyDescent="0.35">
      <c r="A339" s="5">
        <v>202076403</v>
      </c>
      <c r="B339" s="16" t="s">
        <v>3523</v>
      </c>
      <c r="C339" s="5" t="s">
        <v>3703</v>
      </c>
      <c r="D339" s="5" t="s">
        <v>3613</v>
      </c>
      <c r="E339" s="6" t="s">
        <v>768</v>
      </c>
      <c r="F339" s="7">
        <v>35165</v>
      </c>
      <c r="G339" s="10" t="s">
        <v>648</v>
      </c>
      <c r="H339" s="15" t="s">
        <v>651</v>
      </c>
      <c r="I339" s="4">
        <f>MIN(COUNTIFS('Data Family'!A:A,A339,'Data Family'!F:F,"Child")+COUNTIFS('Data Family'!A:A,A339,'Data Family'!F:F,"&lt;&gt;Child",'Data Family'!J:J,"Housewife")+COUNTIFS('Data Family'!A:A,A339,'Data Family'!F:F,"&lt;&gt;Child",'Data Family'!J:J,"Unemployment"),3)</f>
        <v>0</v>
      </c>
      <c r="J339" s="10" t="s">
        <v>791</v>
      </c>
      <c r="K339" s="7" t="s">
        <v>701</v>
      </c>
      <c r="L339" s="7">
        <v>43383</v>
      </c>
      <c r="M339" s="7">
        <v>44114</v>
      </c>
      <c r="N339" s="7"/>
      <c r="O339" s="4" t="str">
        <f t="shared" ca="1" si="25"/>
        <v>End of Contract</v>
      </c>
      <c r="P339" s="4" t="str">
        <f t="shared" ca="1" si="22"/>
        <v>Non-Active</v>
      </c>
      <c r="Q339" s="4" t="str">
        <f t="shared" si="24"/>
        <v>PKWT</v>
      </c>
      <c r="R339" s="7" t="s">
        <v>2982</v>
      </c>
      <c r="S339" s="15" t="s">
        <v>2683</v>
      </c>
      <c r="T339" s="15" t="s">
        <v>794</v>
      </c>
      <c r="U339" s="15" t="s">
        <v>2690</v>
      </c>
      <c r="V339" s="4" t="s">
        <v>3072</v>
      </c>
      <c r="W339" s="15" t="s">
        <v>1017</v>
      </c>
      <c r="X339" s="4" t="str">
        <f>_xlfn.XLOOKUP(V339,Reference!$O:$O,Reference!$N:$N,"Tidak Ketemu")</f>
        <v>G09</v>
      </c>
      <c r="Y339" s="4" t="str">
        <f t="shared" si="23"/>
        <v>K/0</v>
      </c>
      <c r="Z339" s="10">
        <v>248392710420000</v>
      </c>
      <c r="AA339" s="10">
        <v>18029384716</v>
      </c>
      <c r="AB339" s="4">
        <v>2483927156</v>
      </c>
      <c r="AC339" s="7" t="s">
        <v>3816</v>
      </c>
      <c r="AD339" s="17">
        <v>3091827364</v>
      </c>
      <c r="AE339" s="6">
        <v>81392837415</v>
      </c>
      <c r="AF339" s="6" t="s">
        <v>3762</v>
      </c>
      <c r="AG339" s="6" t="s">
        <v>818</v>
      </c>
      <c r="AN339" s="4"/>
    </row>
    <row r="340" spans="1:40" x14ac:dyDescent="0.35">
      <c r="A340" s="5">
        <v>202086214</v>
      </c>
      <c r="B340" s="16" t="s">
        <v>3524</v>
      </c>
      <c r="C340" s="5" t="s">
        <v>3704</v>
      </c>
      <c r="D340" s="5" t="s">
        <v>3614</v>
      </c>
      <c r="E340" s="6" t="s">
        <v>649</v>
      </c>
      <c r="F340" s="7">
        <v>35949</v>
      </c>
      <c r="G340" s="10" t="s">
        <v>648</v>
      </c>
      <c r="H340" s="15" t="s">
        <v>651</v>
      </c>
      <c r="I340" s="4">
        <f>MIN(COUNTIFS('Data Family'!A:A,A340,'Data Family'!F:F,"Child")+COUNTIFS('Data Family'!A:A,A340,'Data Family'!F:F,"&lt;&gt;Child",'Data Family'!J:J,"Housewife")+COUNTIFS('Data Family'!A:A,A340,'Data Family'!F:F,"&lt;&gt;Child",'Data Family'!J:J,"Unemployment"),3)</f>
        <v>0</v>
      </c>
      <c r="J340" s="10" t="s">
        <v>791</v>
      </c>
      <c r="K340" s="7" t="s">
        <v>701</v>
      </c>
      <c r="L340" s="7">
        <v>45080</v>
      </c>
      <c r="M340" s="7">
        <v>46176</v>
      </c>
      <c r="N340" s="7"/>
      <c r="O340" s="4" t="str">
        <f t="shared" ca="1" si="25"/>
        <v>End of Contract</v>
      </c>
      <c r="P340" s="4" t="str">
        <f t="shared" ca="1" si="22"/>
        <v>Non-Active</v>
      </c>
      <c r="Q340" s="4" t="str">
        <f t="shared" si="24"/>
        <v>PKWT</v>
      </c>
      <c r="R340" s="7" t="s">
        <v>2980</v>
      </c>
      <c r="S340" s="15" t="s">
        <v>2986</v>
      </c>
      <c r="T340" s="15" t="s">
        <v>657</v>
      </c>
      <c r="U340" s="15" t="s">
        <v>2996</v>
      </c>
      <c r="V340" s="4" t="s">
        <v>670</v>
      </c>
      <c r="W340" s="15" t="s">
        <v>669</v>
      </c>
      <c r="X340" s="4" t="str">
        <f>_xlfn.XLOOKUP(V340,Reference!$O:$O,Reference!$N:$N,"Tidak Ketemu")</f>
        <v>G13</v>
      </c>
      <c r="Y340" s="4" t="str">
        <f t="shared" si="23"/>
        <v>K/0</v>
      </c>
      <c r="Z340" s="10">
        <v>359281730510000</v>
      </c>
      <c r="AA340" s="10">
        <v>19038472615</v>
      </c>
      <c r="AB340" s="4">
        <v>3592817364</v>
      </c>
      <c r="AC340" s="7" t="s">
        <v>3816</v>
      </c>
      <c r="AD340" s="17">
        <v>819283746</v>
      </c>
      <c r="AE340" s="6">
        <v>85219283746</v>
      </c>
      <c r="AF340" s="6" t="s">
        <v>3763</v>
      </c>
      <c r="AG340" s="6" t="s">
        <v>731</v>
      </c>
      <c r="AN340" s="4"/>
    </row>
    <row r="341" spans="1:40" x14ac:dyDescent="0.35">
      <c r="A341" s="5">
        <v>202124768</v>
      </c>
      <c r="B341" s="16" t="s">
        <v>3525</v>
      </c>
      <c r="C341" s="5" t="s">
        <v>3705</v>
      </c>
      <c r="D341" s="5" t="s">
        <v>3615</v>
      </c>
      <c r="E341" s="6" t="s">
        <v>742</v>
      </c>
      <c r="F341" s="7">
        <v>36034</v>
      </c>
      <c r="G341" s="10" t="s">
        <v>648</v>
      </c>
      <c r="H341" s="15" t="s">
        <v>666</v>
      </c>
      <c r="I341" s="4">
        <f>MIN(COUNTIFS('Data Family'!A:A,A341,'Data Family'!F:F,"Child")+COUNTIFS('Data Family'!A:A,A341,'Data Family'!F:F,"&lt;&gt;Child",'Data Family'!J:J,"Housewife")+COUNTIFS('Data Family'!A:A,A341,'Data Family'!F:F,"&lt;&gt;Child",'Data Family'!J:J,"Unemployment"),3)</f>
        <v>0</v>
      </c>
      <c r="J341" s="10" t="s">
        <v>791</v>
      </c>
      <c r="K341" s="7" t="s">
        <v>701</v>
      </c>
      <c r="L341" s="7">
        <v>44619</v>
      </c>
      <c r="M341" s="7">
        <v>46080</v>
      </c>
      <c r="N341" s="7"/>
      <c r="O341" s="4" t="str">
        <f t="shared" ca="1" si="25"/>
        <v>End of Contract</v>
      </c>
      <c r="P341" s="4" t="str">
        <f t="shared" ca="1" si="22"/>
        <v>Non-Active</v>
      </c>
      <c r="Q341" s="4" t="str">
        <f t="shared" si="24"/>
        <v>PKWT</v>
      </c>
      <c r="R341" s="7" t="s">
        <v>2980</v>
      </c>
      <c r="S341" s="15" t="s">
        <v>2986</v>
      </c>
      <c r="T341" s="15" t="s">
        <v>657</v>
      </c>
      <c r="U341" s="15" t="s">
        <v>2996</v>
      </c>
      <c r="V341" s="4" t="s">
        <v>670</v>
      </c>
      <c r="W341" s="15" t="s">
        <v>669</v>
      </c>
      <c r="X341" s="4" t="str">
        <f>_xlfn.XLOOKUP(V341,Reference!$O:$O,Reference!$N:$N,"Tidak Ketemu")</f>
        <v>G13</v>
      </c>
      <c r="Y341" s="4" t="str">
        <f t="shared" si="23"/>
        <v>TK/0</v>
      </c>
      <c r="Z341" s="10">
        <v>174938270630000</v>
      </c>
      <c r="AA341" s="10">
        <v>17049382715</v>
      </c>
      <c r="AB341" s="7">
        <v>1749382756</v>
      </c>
      <c r="AC341" s="7" t="s">
        <v>3816</v>
      </c>
      <c r="AD341" s="17">
        <v>62101039482501</v>
      </c>
      <c r="AE341" s="6">
        <v>81928374165</v>
      </c>
      <c r="AF341" s="6" t="s">
        <v>3764</v>
      </c>
      <c r="AG341" s="6" t="s">
        <v>731</v>
      </c>
      <c r="AN341" s="4"/>
    </row>
    <row r="342" spans="1:40" x14ac:dyDescent="0.35">
      <c r="A342" s="5">
        <v>201830849</v>
      </c>
      <c r="B342" s="16" t="s">
        <v>3526</v>
      </c>
      <c r="C342" s="5" t="s">
        <v>3706</v>
      </c>
      <c r="D342" s="5" t="s">
        <v>3616</v>
      </c>
      <c r="E342" s="6" t="s">
        <v>689</v>
      </c>
      <c r="F342" s="7">
        <v>36478</v>
      </c>
      <c r="G342" s="10" t="s">
        <v>648</v>
      </c>
      <c r="H342" s="15" t="s">
        <v>666</v>
      </c>
      <c r="I342" s="4">
        <f>MIN(COUNTIFS('Data Family'!A:A,A342,'Data Family'!F:F,"Child")+COUNTIFS('Data Family'!A:A,A342,'Data Family'!F:F,"&lt;&gt;Child",'Data Family'!J:J,"Housewife")+COUNTIFS('Data Family'!A:A,A342,'Data Family'!F:F,"&lt;&gt;Child",'Data Family'!J:J,"Unemployment"),3)</f>
        <v>0</v>
      </c>
      <c r="J342" s="10" t="s">
        <v>791</v>
      </c>
      <c r="K342" s="7" t="s">
        <v>677</v>
      </c>
      <c r="L342" s="7">
        <v>44300</v>
      </c>
      <c r="M342" s="7">
        <v>46126</v>
      </c>
      <c r="N342" s="7"/>
      <c r="O342" s="4" t="str">
        <f t="shared" ca="1" si="25"/>
        <v>End of Contract</v>
      </c>
      <c r="P342" s="4" t="str">
        <f t="shared" ca="1" si="22"/>
        <v>Non-Active</v>
      </c>
      <c r="Q342" s="4" t="str">
        <f t="shared" si="24"/>
        <v>PKWT</v>
      </c>
      <c r="R342" s="7" t="s">
        <v>2980</v>
      </c>
      <c r="S342" s="15" t="s">
        <v>2986</v>
      </c>
      <c r="T342" s="15" t="s">
        <v>657</v>
      </c>
      <c r="U342" s="15" t="s">
        <v>2996</v>
      </c>
      <c r="V342" s="4" t="s">
        <v>670</v>
      </c>
      <c r="W342" s="15" t="s">
        <v>669</v>
      </c>
      <c r="X342" s="4" t="str">
        <f>_xlfn.XLOOKUP(V342,Reference!$O:$O,Reference!$N:$N,"Tidak Ketemu")</f>
        <v>G13</v>
      </c>
      <c r="Y342" s="4" t="str">
        <f t="shared" si="23"/>
        <v>TK/0</v>
      </c>
      <c r="Z342" s="10">
        <v>283948170140000</v>
      </c>
      <c r="AA342" s="10">
        <v>18051928374</v>
      </c>
      <c r="AB342" s="7">
        <v>2839481756</v>
      </c>
      <c r="AC342" s="7" t="s">
        <v>3816</v>
      </c>
      <c r="AD342" s="17">
        <v>701928374600</v>
      </c>
      <c r="AE342" s="6">
        <v>81238471925</v>
      </c>
      <c r="AF342" s="6" t="s">
        <v>3765</v>
      </c>
      <c r="AG342" s="6" t="s">
        <v>731</v>
      </c>
      <c r="AN342" s="4"/>
    </row>
    <row r="343" spans="1:40" x14ac:dyDescent="0.35">
      <c r="A343" s="5">
        <v>201435656</v>
      </c>
      <c r="B343" s="16" t="s">
        <v>3528</v>
      </c>
      <c r="C343" s="5" t="s">
        <v>3708</v>
      </c>
      <c r="D343" s="5" t="s">
        <v>3618</v>
      </c>
      <c r="E343" s="6" t="s">
        <v>664</v>
      </c>
      <c r="F343" s="7">
        <v>35817</v>
      </c>
      <c r="G343" s="10" t="s">
        <v>648</v>
      </c>
      <c r="H343" s="15" t="s">
        <v>666</v>
      </c>
      <c r="I343" s="4">
        <f>MIN(COUNTIFS('Data Family'!A:A,A343,'Data Family'!F:F,"Child")+COUNTIFS('Data Family'!A:A,A343,'Data Family'!F:F,"&lt;&gt;Child",'Data Family'!J:J,"Housewife")+COUNTIFS('Data Family'!A:A,A343,'Data Family'!F:F,"&lt;&gt;Child",'Data Family'!J:J,"Unemployment"),3)</f>
        <v>0</v>
      </c>
      <c r="J343" s="10" t="s">
        <v>791</v>
      </c>
      <c r="K343" s="7" t="s">
        <v>691</v>
      </c>
      <c r="L343" s="7">
        <v>45313</v>
      </c>
      <c r="M343" s="7">
        <v>46044</v>
      </c>
      <c r="N343" s="7"/>
      <c r="O343" s="4" t="str">
        <f t="shared" ca="1" si="25"/>
        <v>End of Contract</v>
      </c>
      <c r="P343" s="4" t="str">
        <f t="shared" ca="1" si="22"/>
        <v>Non-Active</v>
      </c>
      <c r="Q343" s="4" t="str">
        <f t="shared" si="24"/>
        <v>PKWT</v>
      </c>
      <c r="R343" s="7" t="s">
        <v>2980</v>
      </c>
      <c r="S343" s="15" t="s">
        <v>2987</v>
      </c>
      <c r="T343" s="15" t="s">
        <v>657</v>
      </c>
      <c r="U343" s="15" t="s">
        <v>2996</v>
      </c>
      <c r="V343" s="4" t="s">
        <v>670</v>
      </c>
      <c r="W343" s="15" t="s">
        <v>669</v>
      </c>
      <c r="X343" s="4" t="str">
        <f>_xlfn.XLOOKUP(V343,Reference!$O:$O,Reference!$N:$N,"Tidak Ketemu")</f>
        <v>G13</v>
      </c>
      <c r="Y343" s="4" t="str">
        <f t="shared" si="23"/>
        <v>TK/0</v>
      </c>
      <c r="Z343" s="10">
        <v>148529630250000</v>
      </c>
      <c r="AA343" s="10">
        <v>16048592731</v>
      </c>
      <c r="AB343" s="4">
        <v>1485296374</v>
      </c>
      <c r="AC343" s="7" t="s">
        <v>3728</v>
      </c>
      <c r="AD343" s="10">
        <v>842039158</v>
      </c>
      <c r="AE343" s="6">
        <v>81288994411</v>
      </c>
      <c r="AF343" s="6" t="s">
        <v>3766</v>
      </c>
      <c r="AG343" s="6" t="s">
        <v>680</v>
      </c>
      <c r="AN343" s="4"/>
    </row>
    <row r="344" spans="1:40" x14ac:dyDescent="0.35">
      <c r="A344" s="5">
        <v>201996766</v>
      </c>
      <c r="B344" s="16" t="s">
        <v>3530</v>
      </c>
      <c r="C344" s="5" t="s">
        <v>3710</v>
      </c>
      <c r="D344" s="5" t="s">
        <v>3620</v>
      </c>
      <c r="E344" s="6" t="s">
        <v>664</v>
      </c>
      <c r="F344" s="7">
        <v>36134</v>
      </c>
      <c r="G344" s="10" t="s">
        <v>648</v>
      </c>
      <c r="H344" s="15" t="s">
        <v>651</v>
      </c>
      <c r="I344" s="4">
        <f>MIN(COUNTIFS('Data Family'!A:A,A344,'Data Family'!F:F,"Child")+COUNTIFS('Data Family'!A:A,A344,'Data Family'!F:F,"&lt;&gt;Child",'Data Family'!J:J,"Housewife")+COUNTIFS('Data Family'!A:A,A344,'Data Family'!F:F,"&lt;&gt;Child",'Data Family'!J:J,"Unemployment"),3)</f>
        <v>0</v>
      </c>
      <c r="J344" s="10" t="s">
        <v>791</v>
      </c>
      <c r="K344" s="7" t="s">
        <v>701</v>
      </c>
      <c r="L344" s="7">
        <v>45265</v>
      </c>
      <c r="M344" s="7">
        <v>45996</v>
      </c>
      <c r="N344" s="7"/>
      <c r="O344" s="4" t="str">
        <f t="shared" ca="1" si="25"/>
        <v>End of Contract</v>
      </c>
      <c r="P344" s="4" t="str">
        <f t="shared" ca="1" si="22"/>
        <v>Non-Active</v>
      </c>
      <c r="Q344" s="4" t="str">
        <f t="shared" si="24"/>
        <v>PKWT</v>
      </c>
      <c r="R344" s="7" t="s">
        <v>2980</v>
      </c>
      <c r="S344" s="15" t="s">
        <v>2987</v>
      </c>
      <c r="T344" s="15" t="s">
        <v>657</v>
      </c>
      <c r="U344" s="15" t="s">
        <v>2996</v>
      </c>
      <c r="V344" s="4" t="s">
        <v>670</v>
      </c>
      <c r="W344" s="15" t="s">
        <v>669</v>
      </c>
      <c r="X344" s="4" t="str">
        <f>_xlfn.XLOOKUP(V344,Reference!$O:$O,Reference!$N:$N,"Tidak Ketemu")</f>
        <v>G13</v>
      </c>
      <c r="Y344" s="4" t="str">
        <f t="shared" si="23"/>
        <v>K/0</v>
      </c>
      <c r="Z344" s="10">
        <v>395148260340000</v>
      </c>
      <c r="AA344" s="10">
        <v>19051482637</v>
      </c>
      <c r="AB344" s="4">
        <v>3951482618</v>
      </c>
      <c r="AC344" s="7" t="s">
        <v>3728</v>
      </c>
      <c r="AD344" s="10">
        <v>482951637</v>
      </c>
      <c r="AE344" s="6">
        <v>81374529103</v>
      </c>
      <c r="AF344" s="6" t="s">
        <v>3767</v>
      </c>
      <c r="AG344" s="6" t="s">
        <v>778</v>
      </c>
      <c r="AN344" s="4"/>
    </row>
    <row r="345" spans="1:40" x14ac:dyDescent="0.35">
      <c r="A345" s="5">
        <v>202120561</v>
      </c>
      <c r="B345" s="16" t="s">
        <v>3532</v>
      </c>
      <c r="C345" s="5" t="s">
        <v>3712</v>
      </c>
      <c r="D345" s="5" t="s">
        <v>3622</v>
      </c>
      <c r="E345" s="6" t="s">
        <v>689</v>
      </c>
      <c r="F345" s="7">
        <v>35823</v>
      </c>
      <c r="G345" s="10" t="s">
        <v>648</v>
      </c>
      <c r="H345" s="15" t="s">
        <v>666</v>
      </c>
      <c r="I345" s="4">
        <f>MIN(COUNTIFS('Data Family'!A:A,A345,'Data Family'!F:F,"Child")+COUNTIFS('Data Family'!A:A,A345,'Data Family'!F:F,"&lt;&gt;Child",'Data Family'!J:J,"Housewife")+COUNTIFS('Data Family'!A:A,A345,'Data Family'!F:F,"&lt;&gt;Child",'Data Family'!J:J,"Unemployment"),3)</f>
        <v>0</v>
      </c>
      <c r="J345" s="10" t="s">
        <v>791</v>
      </c>
      <c r="K345" s="7" t="s">
        <v>701</v>
      </c>
      <c r="L345" s="7">
        <v>45074</v>
      </c>
      <c r="M345" s="7">
        <v>45805</v>
      </c>
      <c r="N345" s="7"/>
      <c r="O345" s="4" t="str">
        <f t="shared" ca="1" si="25"/>
        <v>End of Contract</v>
      </c>
      <c r="P345" s="4" t="str">
        <f t="shared" ca="1" si="22"/>
        <v>Non-Active</v>
      </c>
      <c r="Q345" s="4" t="str">
        <f t="shared" si="24"/>
        <v>PKWT</v>
      </c>
      <c r="R345" s="7" t="s">
        <v>2980</v>
      </c>
      <c r="S345" s="15" t="s">
        <v>2987</v>
      </c>
      <c r="T345" s="15" t="s">
        <v>657</v>
      </c>
      <c r="U345" s="15" t="s">
        <v>2996</v>
      </c>
      <c r="V345" s="4" t="s">
        <v>670</v>
      </c>
      <c r="W345" s="15" t="s">
        <v>669</v>
      </c>
      <c r="X345" s="4" t="str">
        <f>_xlfn.XLOOKUP(V345,Reference!$O:$O,Reference!$N:$N,"Tidak Ketemu")</f>
        <v>G13</v>
      </c>
      <c r="Y345" s="4" t="str">
        <f t="shared" si="23"/>
        <v>TK/0</v>
      </c>
      <c r="Z345" s="10">
        <v>275814930120000</v>
      </c>
      <c r="AA345" s="10">
        <v>18075814923</v>
      </c>
      <c r="AB345" s="4">
        <v>2758149385</v>
      </c>
      <c r="AC345" s="7" t="s">
        <v>3728</v>
      </c>
      <c r="AD345" s="10">
        <v>34501029384509</v>
      </c>
      <c r="AE345" s="6">
        <v>85694857213</v>
      </c>
      <c r="AF345" s="6" t="s">
        <v>3768</v>
      </c>
      <c r="AG345" s="6" t="s">
        <v>656</v>
      </c>
      <c r="AN345" s="4"/>
    </row>
    <row r="346" spans="1:40" x14ac:dyDescent="0.35">
      <c r="A346" s="5">
        <v>201747513</v>
      </c>
      <c r="B346" s="16" t="s">
        <v>3533</v>
      </c>
      <c r="C346" s="5" t="s">
        <v>3713</v>
      </c>
      <c r="D346" s="5" t="s">
        <v>3623</v>
      </c>
      <c r="E346" s="6" t="s">
        <v>768</v>
      </c>
      <c r="F346" s="7">
        <v>27219</v>
      </c>
      <c r="G346" s="10" t="s">
        <v>676</v>
      </c>
      <c r="H346" s="15" t="s">
        <v>651</v>
      </c>
      <c r="I346" s="4">
        <f>MIN(COUNTIFS('Data Family'!A:A,A346,'Data Family'!F:F,"Child")+COUNTIFS('Data Family'!A:A,A346,'Data Family'!F:F,"&lt;&gt;Child",'Data Family'!J:J,"Housewife")+COUNTIFS('Data Family'!A:A,A346,'Data Family'!F:F,"&lt;&gt;Child",'Data Family'!J:J,"Unemployment"),3)</f>
        <v>0</v>
      </c>
      <c r="J346" s="10" t="s">
        <v>791</v>
      </c>
      <c r="K346" s="7" t="s">
        <v>701</v>
      </c>
      <c r="L346" s="7">
        <v>37265</v>
      </c>
      <c r="M346" s="7"/>
      <c r="N346" s="7">
        <v>43018</v>
      </c>
      <c r="O346" s="4" t="s">
        <v>2674</v>
      </c>
      <c r="P346" s="4" t="str">
        <f t="shared" ca="1" si="22"/>
        <v>Non-Active</v>
      </c>
      <c r="Q346" s="4" t="str">
        <f t="shared" si="24"/>
        <v>PKWTT</v>
      </c>
      <c r="R346" s="7" t="s">
        <v>2982</v>
      </c>
      <c r="S346" s="15" t="s">
        <v>2643</v>
      </c>
      <c r="T346" s="15" t="s">
        <v>2643</v>
      </c>
      <c r="U346" s="15" t="s">
        <v>2665</v>
      </c>
      <c r="V346" s="4" t="s">
        <v>2624</v>
      </c>
      <c r="W346" s="15" t="s">
        <v>2648</v>
      </c>
      <c r="X346" s="4" t="str">
        <f>_xlfn.XLOOKUP(V346,Reference!$O:$O,Reference!$N:$N,"Tidak Ketemu")</f>
        <v>G07</v>
      </c>
      <c r="Y346" s="4" t="str">
        <f t="shared" si="23"/>
        <v>TK/0</v>
      </c>
      <c r="Z346" s="10">
        <v>184927530630000</v>
      </c>
      <c r="AA346" s="10">
        <v>17084927514</v>
      </c>
      <c r="AB346" s="4">
        <v>1849275392</v>
      </c>
      <c r="AC346" s="7" t="s">
        <v>3728</v>
      </c>
      <c r="AD346" s="10">
        <v>705829417300</v>
      </c>
      <c r="AE346" s="6">
        <v>81902847391</v>
      </c>
      <c r="AF346" s="6" t="s">
        <v>3769</v>
      </c>
      <c r="AG346" s="6" t="s">
        <v>731</v>
      </c>
      <c r="AN346" s="4"/>
    </row>
    <row r="347" spans="1:40" x14ac:dyDescent="0.35">
      <c r="A347" s="5">
        <v>201981799</v>
      </c>
      <c r="B347" s="16" t="s">
        <v>3537</v>
      </c>
      <c r="C347" s="5" t="s">
        <v>3717</v>
      </c>
      <c r="D347" s="5" t="s">
        <v>3627</v>
      </c>
      <c r="E347" s="6" t="s">
        <v>809</v>
      </c>
      <c r="F347" s="7">
        <v>36115</v>
      </c>
      <c r="G347" s="10" t="s">
        <v>648</v>
      </c>
      <c r="H347" s="15" t="s">
        <v>666</v>
      </c>
      <c r="I347" s="4">
        <f>MIN(COUNTIFS('Data Family'!A:A,A347,'Data Family'!F:F,"Child")+COUNTIFS('Data Family'!A:A,A347,'Data Family'!F:F,"&lt;&gt;Child",'Data Family'!J:J,"Housewife")+COUNTIFS('Data Family'!A:A,A347,'Data Family'!F:F,"&lt;&gt;Child",'Data Family'!J:J,"Unemployment"),3)</f>
        <v>0</v>
      </c>
      <c r="J347" s="10" t="s">
        <v>791</v>
      </c>
      <c r="K347" s="7" t="s">
        <v>701</v>
      </c>
      <c r="L347" s="7">
        <v>45612</v>
      </c>
      <c r="M347" s="7">
        <v>45977</v>
      </c>
      <c r="N347" s="7"/>
      <c r="O347" s="4" t="str">
        <f ca="1">IF(AND(M347&lt;&gt;"", M347&lt;=TODAY(), N347=""), "End of Contract", "")</f>
        <v>End of Contract</v>
      </c>
      <c r="P347" s="4" t="str">
        <f t="shared" ca="1" si="22"/>
        <v>Non-Active</v>
      </c>
      <c r="Q347" s="4" t="str">
        <f t="shared" si="24"/>
        <v>PKWT</v>
      </c>
      <c r="R347" s="7" t="s">
        <v>2980</v>
      </c>
      <c r="S347" s="15" t="s">
        <v>2643</v>
      </c>
      <c r="T347" s="15" t="s">
        <v>2643</v>
      </c>
      <c r="U347" s="15" t="s">
        <v>2994</v>
      </c>
      <c r="V347" s="4" t="s">
        <v>659</v>
      </c>
      <c r="W347" s="15" t="s">
        <v>2655</v>
      </c>
      <c r="X347" s="4" t="str">
        <f>_xlfn.XLOOKUP(V347,Reference!$O:$O,Reference!$N:$N,"Tidak Ketemu")</f>
        <v>G11</v>
      </c>
      <c r="Y347" s="4" t="str">
        <f t="shared" si="23"/>
        <v>TK/0</v>
      </c>
      <c r="Z347" s="10">
        <v>239154820140000</v>
      </c>
      <c r="AA347" s="10">
        <v>18019548236</v>
      </c>
      <c r="AB347" s="4">
        <v>2391548274</v>
      </c>
      <c r="AC347" s="7" t="s">
        <v>3728</v>
      </c>
      <c r="AD347" s="10">
        <v>1310014852936</v>
      </c>
      <c r="AE347" s="6">
        <v>81294857310</v>
      </c>
      <c r="AF347" s="6" t="s">
        <v>3770</v>
      </c>
      <c r="AG347" s="6" t="s">
        <v>694</v>
      </c>
      <c r="AN347" s="4"/>
    </row>
    <row r="348" spans="1:40" x14ac:dyDescent="0.35">
      <c r="A348" s="5">
        <v>201958274</v>
      </c>
      <c r="B348" s="16" t="s">
        <v>3538</v>
      </c>
      <c r="C348" s="5" t="s">
        <v>3718</v>
      </c>
      <c r="D348" s="5" t="s">
        <v>3628</v>
      </c>
      <c r="E348" s="6" t="s">
        <v>809</v>
      </c>
      <c r="F348" s="7">
        <v>28188</v>
      </c>
      <c r="G348" s="10" t="s">
        <v>676</v>
      </c>
      <c r="H348" s="15" t="s">
        <v>651</v>
      </c>
      <c r="I348" s="4">
        <f>MIN(COUNTIFS('Data Family'!A:A,A348,'Data Family'!F:F,"Child")+COUNTIFS('Data Family'!A:A,A348,'Data Family'!F:F,"&lt;&gt;Child",'Data Family'!J:J,"Housewife")+COUNTIFS('Data Family'!A:A,A348,'Data Family'!F:F,"&lt;&gt;Child",'Data Family'!J:J,"Unemployment"),3)</f>
        <v>0</v>
      </c>
      <c r="J348" s="10" t="s">
        <v>791</v>
      </c>
      <c r="K348" s="7" t="s">
        <v>652</v>
      </c>
      <c r="L348" s="7">
        <v>36407</v>
      </c>
      <c r="M348" s="7"/>
      <c r="N348" s="7">
        <v>41922</v>
      </c>
      <c r="O348" s="4" t="s">
        <v>2674</v>
      </c>
      <c r="P348" s="4" t="str">
        <f t="shared" ca="1" si="22"/>
        <v>Non-Active</v>
      </c>
      <c r="Q348" s="4" t="str">
        <f t="shared" si="24"/>
        <v>PKWTT</v>
      </c>
      <c r="R348" s="7" t="s">
        <v>2982</v>
      </c>
      <c r="S348" s="15" t="s">
        <v>2643</v>
      </c>
      <c r="T348" s="15" t="s">
        <v>2643</v>
      </c>
      <c r="U348" s="15" t="s">
        <v>2994</v>
      </c>
      <c r="V348" s="4" t="s">
        <v>2624</v>
      </c>
      <c r="W348" s="15" t="s">
        <v>2654</v>
      </c>
      <c r="X348" s="4" t="str">
        <f>_xlfn.XLOOKUP(V348,Reference!$O:$O,Reference!$N:$N,"Tidak Ketemu")</f>
        <v>G07</v>
      </c>
      <c r="Y348" s="4" t="str">
        <f t="shared" si="23"/>
        <v>TK/0</v>
      </c>
      <c r="Z348" s="10">
        <v>315482960250000</v>
      </c>
      <c r="AA348" s="10">
        <v>19025482961</v>
      </c>
      <c r="AB348" s="4">
        <v>3154829647</v>
      </c>
      <c r="AC348" s="7" t="s">
        <v>3728</v>
      </c>
      <c r="AD348" s="10">
        <v>2750482915</v>
      </c>
      <c r="AE348" s="6">
        <v>81381928374</v>
      </c>
      <c r="AF348" s="6" t="s">
        <v>3771</v>
      </c>
      <c r="AG348" s="6" t="s">
        <v>818</v>
      </c>
      <c r="AN348" s="4"/>
    </row>
    <row r="349" spans="1:40" x14ac:dyDescent="0.35">
      <c r="A349" s="5">
        <v>201878703</v>
      </c>
      <c r="B349" s="16" t="s">
        <v>3539</v>
      </c>
      <c r="C349" s="5" t="s">
        <v>3719</v>
      </c>
      <c r="D349" s="5" t="s">
        <v>3629</v>
      </c>
      <c r="E349" s="6" t="s">
        <v>738</v>
      </c>
      <c r="F349" s="7">
        <v>36383</v>
      </c>
      <c r="G349" s="10" t="s">
        <v>648</v>
      </c>
      <c r="H349" s="15" t="s">
        <v>651</v>
      </c>
      <c r="I349" s="4">
        <f>MIN(COUNTIFS('Data Family'!A:A,A349,'Data Family'!F:F,"Child")+COUNTIFS('Data Family'!A:A,A349,'Data Family'!F:F,"&lt;&gt;Child",'Data Family'!J:J,"Housewife")+COUNTIFS('Data Family'!A:A,A349,'Data Family'!F:F,"&lt;&gt;Child",'Data Family'!J:J,"Unemployment"),3)</f>
        <v>0</v>
      </c>
      <c r="J349" s="10" t="s">
        <v>791</v>
      </c>
      <c r="K349" s="7" t="s">
        <v>691</v>
      </c>
      <c r="L349" s="7">
        <v>44968</v>
      </c>
      <c r="M349" s="7">
        <v>45699</v>
      </c>
      <c r="N349" s="7"/>
      <c r="O349" s="4" t="str">
        <f t="shared" ref="O349:O361" ca="1" si="26">IF(AND(M349&lt;&gt;"", M349&lt;=TODAY(), N349=""), "End of Contract", "")</f>
        <v>End of Contract</v>
      </c>
      <c r="P349" s="4" t="str">
        <f t="shared" ca="1" si="22"/>
        <v>Non-Active</v>
      </c>
      <c r="Q349" s="4" t="str">
        <f t="shared" si="24"/>
        <v>PKWT</v>
      </c>
      <c r="R349" s="7" t="s">
        <v>2980</v>
      </c>
      <c r="S349" s="15" t="s">
        <v>2643</v>
      </c>
      <c r="T349" s="15" t="s">
        <v>2643</v>
      </c>
      <c r="U349" s="15" t="s">
        <v>2994</v>
      </c>
      <c r="V349" s="4" t="s">
        <v>659</v>
      </c>
      <c r="W349" s="15" t="s">
        <v>2655</v>
      </c>
      <c r="X349" s="4" t="str">
        <f>_xlfn.XLOOKUP(V349,Reference!$O:$O,Reference!$N:$N,"Tidak Ketemu")</f>
        <v>G11</v>
      </c>
      <c r="Y349" s="4" t="str">
        <f t="shared" si="23"/>
        <v>K/0</v>
      </c>
      <c r="Z349" s="10">
        <v>195283740360000</v>
      </c>
      <c r="AA349" s="10">
        <v>17039528374</v>
      </c>
      <c r="AB349" s="4">
        <v>1952837415</v>
      </c>
      <c r="AC349" s="7" t="s">
        <v>3728</v>
      </c>
      <c r="AD349" s="10">
        <v>519384726</v>
      </c>
      <c r="AE349" s="6">
        <v>85293847152</v>
      </c>
      <c r="AF349" s="6" t="s">
        <v>3772</v>
      </c>
      <c r="AG349" s="6" t="s">
        <v>778</v>
      </c>
      <c r="AN349" s="4"/>
    </row>
    <row r="350" spans="1:40" x14ac:dyDescent="0.35">
      <c r="A350" s="5">
        <v>202017747</v>
      </c>
      <c r="B350" s="16" t="s">
        <v>3454</v>
      </c>
      <c r="C350" s="5" t="s">
        <v>3630</v>
      </c>
      <c r="D350" s="5" t="s">
        <v>3540</v>
      </c>
      <c r="E350" s="6" t="s">
        <v>3429</v>
      </c>
      <c r="F350" s="7">
        <v>35143</v>
      </c>
      <c r="G350" s="10" t="s">
        <v>676</v>
      </c>
      <c r="H350" s="15" t="s">
        <v>651</v>
      </c>
      <c r="I350" s="4">
        <f>MIN(COUNTIFS('Data Family'!A:A,A350,'Data Family'!F:F,"Child")+COUNTIFS('Data Family'!A:A,A350,'Data Family'!F:F,"&lt;&gt;Child",'Data Family'!J:J,"Housewife")+COUNTIFS('Data Family'!A:A,A350,'Data Family'!F:F,"&lt;&gt;Child",'Data Family'!J:J,"Unemployment"),3)</f>
        <v>0</v>
      </c>
      <c r="J350" s="10" t="s">
        <v>791</v>
      </c>
      <c r="K350" s="7" t="s">
        <v>691</v>
      </c>
      <c r="L350" s="7">
        <v>43234</v>
      </c>
      <c r="M350" s="7">
        <v>44330</v>
      </c>
      <c r="N350" s="7"/>
      <c r="O350" s="4" t="str">
        <f t="shared" ca="1" si="26"/>
        <v>End of Contract</v>
      </c>
      <c r="P350" s="4" t="str">
        <f t="shared" ca="1" si="22"/>
        <v>Non-Active</v>
      </c>
      <c r="Q350" s="4" t="str">
        <f t="shared" si="24"/>
        <v>PKWT</v>
      </c>
      <c r="R350" s="7" t="s">
        <v>2982</v>
      </c>
      <c r="S350" s="15"/>
      <c r="T350" s="15" t="s">
        <v>2643</v>
      </c>
      <c r="U350" s="15" t="s">
        <v>2676</v>
      </c>
      <c r="V350" s="4" t="s">
        <v>659</v>
      </c>
      <c r="W350" s="15" t="s">
        <v>903</v>
      </c>
      <c r="X350" s="4" t="str">
        <f>_xlfn.XLOOKUP(V350,Reference!$O:$O,Reference!$N:$N,"Tidak Ketemu")</f>
        <v>G11</v>
      </c>
      <c r="Y350" s="4" t="str">
        <f t="shared" si="23"/>
        <v>TK/0</v>
      </c>
      <c r="Z350" s="10">
        <v>284153960410000</v>
      </c>
      <c r="AA350" s="10">
        <v>18048415392</v>
      </c>
      <c r="AB350" s="4">
        <v>2841539658</v>
      </c>
      <c r="AC350" s="7" t="s">
        <v>3728</v>
      </c>
      <c r="AD350" s="10">
        <v>12301049281504</v>
      </c>
      <c r="AE350" s="6">
        <v>87819384726</v>
      </c>
      <c r="AF350" s="6" t="s">
        <v>3773</v>
      </c>
      <c r="AG350" s="6" t="s">
        <v>704</v>
      </c>
      <c r="AN350" s="4"/>
    </row>
    <row r="351" spans="1:40" x14ac:dyDescent="0.35">
      <c r="A351" s="5">
        <v>202016499</v>
      </c>
      <c r="B351" s="16" t="s">
        <v>3455</v>
      </c>
      <c r="C351" s="5" t="s">
        <v>3631</v>
      </c>
      <c r="D351" s="5" t="s">
        <v>3541</v>
      </c>
      <c r="E351" s="6" t="s">
        <v>768</v>
      </c>
      <c r="F351" s="7">
        <v>34540</v>
      </c>
      <c r="G351" s="10" t="s">
        <v>676</v>
      </c>
      <c r="H351" s="15" t="s">
        <v>651</v>
      </c>
      <c r="I351" s="4">
        <f>MIN(COUNTIFS('Data Family'!A:A,A351,'Data Family'!F:F,"Child")+COUNTIFS('Data Family'!A:A,A351,'Data Family'!F:F,"&lt;&gt;Child",'Data Family'!J:J,"Housewife")+COUNTIFS('Data Family'!A:A,A351,'Data Family'!F:F,"&lt;&gt;Child",'Data Family'!J:J,"Unemployment"),3)</f>
        <v>0</v>
      </c>
      <c r="J351" s="10" t="s">
        <v>791</v>
      </c>
      <c r="K351" s="7" t="s">
        <v>691</v>
      </c>
      <c r="L351" s="7">
        <v>44065</v>
      </c>
      <c r="M351" s="7">
        <v>45160</v>
      </c>
      <c r="N351" s="7"/>
      <c r="O351" s="4" t="str">
        <f t="shared" ca="1" si="26"/>
        <v>End of Contract</v>
      </c>
      <c r="P351" s="4" t="str">
        <f t="shared" ca="1" si="22"/>
        <v>Non-Active</v>
      </c>
      <c r="Q351" s="4" t="str">
        <f t="shared" si="24"/>
        <v>PKWT</v>
      </c>
      <c r="R351" s="7" t="s">
        <v>2982</v>
      </c>
      <c r="S351" s="15"/>
      <c r="T351" s="15" t="s">
        <v>2643</v>
      </c>
      <c r="U351" s="15" t="s">
        <v>2676</v>
      </c>
      <c r="V351" s="4" t="s">
        <v>659</v>
      </c>
      <c r="W351" s="15" t="s">
        <v>903</v>
      </c>
      <c r="X351" s="4" t="str">
        <f>_xlfn.XLOOKUP(V351,Reference!$O:$O,Reference!$N:$N,"Tidak Ketemu")</f>
        <v>G11</v>
      </c>
      <c r="Y351" s="4" t="str">
        <f t="shared" si="23"/>
        <v>TK/0</v>
      </c>
      <c r="Z351" s="10">
        <v>352918470520000</v>
      </c>
      <c r="AA351" s="10">
        <v>19055291843</v>
      </c>
      <c r="AB351" s="4">
        <v>3529184761</v>
      </c>
      <c r="AC351" s="7" t="s">
        <v>3728</v>
      </c>
      <c r="AD351" s="10">
        <v>708294153700</v>
      </c>
      <c r="AE351" s="6">
        <v>81394857210</v>
      </c>
      <c r="AF351" s="6" t="s">
        <v>3774</v>
      </c>
      <c r="AG351" s="6" t="s">
        <v>731</v>
      </c>
      <c r="AN351" s="4"/>
    </row>
    <row r="352" spans="1:40" x14ac:dyDescent="0.35">
      <c r="A352" s="5">
        <v>201983434</v>
      </c>
      <c r="B352" s="16" t="s">
        <v>3456</v>
      </c>
      <c r="C352" s="5" t="s">
        <v>3632</v>
      </c>
      <c r="D352" s="5" t="s">
        <v>3542</v>
      </c>
      <c r="E352" s="6" t="s">
        <v>3450</v>
      </c>
      <c r="F352" s="7">
        <v>34281</v>
      </c>
      <c r="G352" s="10" t="s">
        <v>676</v>
      </c>
      <c r="H352" s="15" t="s">
        <v>651</v>
      </c>
      <c r="I352" s="4">
        <f>MIN(COUNTIFS('Data Family'!A:A,A352,'Data Family'!F:F,"Child")+COUNTIFS('Data Family'!A:A,A352,'Data Family'!F:F,"&lt;&gt;Child",'Data Family'!J:J,"Housewife")+COUNTIFS('Data Family'!A:A,A352,'Data Family'!F:F,"&lt;&gt;Child",'Data Family'!J:J,"Unemployment"),3)</f>
        <v>0</v>
      </c>
      <c r="J352" s="10" t="s">
        <v>791</v>
      </c>
      <c r="K352" s="7" t="s">
        <v>677</v>
      </c>
      <c r="L352" s="7">
        <v>43772</v>
      </c>
      <c r="M352" s="7">
        <v>45233</v>
      </c>
      <c r="N352" s="7"/>
      <c r="O352" s="4" t="str">
        <f t="shared" ca="1" si="26"/>
        <v>End of Contract</v>
      </c>
      <c r="P352" s="4" t="str">
        <f t="shared" ca="1" si="22"/>
        <v>Non-Active</v>
      </c>
      <c r="Q352" s="4" t="str">
        <f t="shared" si="24"/>
        <v>PKWT</v>
      </c>
      <c r="R352" s="7" t="s">
        <v>2982</v>
      </c>
      <c r="S352" s="15"/>
      <c r="T352" s="15" t="s">
        <v>2643</v>
      </c>
      <c r="U352" s="15" t="s">
        <v>2665</v>
      </c>
      <c r="V352" s="4" t="s">
        <v>3073</v>
      </c>
      <c r="W352" s="15" t="s">
        <v>695</v>
      </c>
      <c r="X352" s="4" t="str">
        <f>_xlfn.XLOOKUP(V352,Reference!$O:$O,Reference!$N:$N,"Tidak Ketemu")</f>
        <v>G10</v>
      </c>
      <c r="Y352" s="4" t="str">
        <f t="shared" si="23"/>
        <v>TK/0</v>
      </c>
      <c r="Z352" s="10">
        <v>128495130630000</v>
      </c>
      <c r="AA352" s="10">
        <v>16062849514</v>
      </c>
      <c r="AB352" s="4">
        <v>1284951372</v>
      </c>
      <c r="AC352" s="7" t="s">
        <v>3816</v>
      </c>
      <c r="AD352" s="10">
        <v>1560012948573</v>
      </c>
      <c r="AE352" s="22">
        <v>81295847362</v>
      </c>
      <c r="AF352" s="6" t="s">
        <v>3775</v>
      </c>
      <c r="AG352" s="6" t="s">
        <v>680</v>
      </c>
      <c r="AN352" s="4"/>
    </row>
    <row r="353" spans="1:40" x14ac:dyDescent="0.35">
      <c r="A353" s="5">
        <v>202381793</v>
      </c>
      <c r="B353" s="16" t="s">
        <v>3457</v>
      </c>
      <c r="C353" s="5" t="s">
        <v>3633</v>
      </c>
      <c r="D353" s="5" t="s">
        <v>3543</v>
      </c>
      <c r="E353" s="6" t="s">
        <v>742</v>
      </c>
      <c r="F353" s="7">
        <v>36210</v>
      </c>
      <c r="G353" s="10" t="s">
        <v>648</v>
      </c>
      <c r="H353" s="15" t="s">
        <v>666</v>
      </c>
      <c r="I353" s="4">
        <f>MIN(COUNTIFS('Data Family'!A:A,A353,'Data Family'!F:F,"Child")+COUNTIFS('Data Family'!A:A,A353,'Data Family'!F:F,"&lt;&gt;Child",'Data Family'!J:J,"Housewife")+COUNTIFS('Data Family'!A:A,A353,'Data Family'!F:F,"&lt;&gt;Child",'Data Family'!J:J,"Unemployment"),3)</f>
        <v>0</v>
      </c>
      <c r="J353" s="10" t="s">
        <v>791</v>
      </c>
      <c r="K353" s="7" t="s">
        <v>677</v>
      </c>
      <c r="L353" s="7">
        <v>44580</v>
      </c>
      <c r="M353" s="7">
        <v>45310</v>
      </c>
      <c r="N353" s="7"/>
      <c r="O353" s="4" t="str">
        <f t="shared" ca="1" si="26"/>
        <v>End of Contract</v>
      </c>
      <c r="P353" s="4" t="str">
        <f t="shared" ca="1" si="22"/>
        <v>Non-Active</v>
      </c>
      <c r="Q353" s="4" t="str">
        <f t="shared" si="24"/>
        <v>PKWT</v>
      </c>
      <c r="R353" s="7" t="s">
        <v>2982</v>
      </c>
      <c r="S353" s="15"/>
      <c r="T353" s="15" t="s">
        <v>739</v>
      </c>
      <c r="U353" s="15" t="s">
        <v>3000</v>
      </c>
      <c r="V353" s="4" t="s">
        <v>659</v>
      </c>
      <c r="W353" s="15" t="s">
        <v>1024</v>
      </c>
      <c r="X353" s="4" t="str">
        <f>_xlfn.XLOOKUP(V353,Reference!$O:$O,Reference!$N:$N,"Tidak Ketemu")</f>
        <v>G11</v>
      </c>
      <c r="Y353" s="4" t="str">
        <f t="shared" si="23"/>
        <v>TK/0</v>
      </c>
      <c r="Z353" s="10">
        <v>249153820140000</v>
      </c>
      <c r="AA353" s="10">
        <v>18074915381</v>
      </c>
      <c r="AB353" s="4">
        <v>2491538264</v>
      </c>
      <c r="AC353" s="7" t="s">
        <v>3728</v>
      </c>
      <c r="AD353" s="10">
        <v>6040193857</v>
      </c>
      <c r="AE353" s="6">
        <v>81802938475</v>
      </c>
      <c r="AF353" s="6" t="s">
        <v>3776</v>
      </c>
      <c r="AG353" s="6" t="s">
        <v>680</v>
      </c>
      <c r="AN353" s="4"/>
    </row>
    <row r="354" spans="1:40" x14ac:dyDescent="0.35">
      <c r="A354" s="5">
        <v>202171027</v>
      </c>
      <c r="B354" s="16" t="s">
        <v>3458</v>
      </c>
      <c r="C354" s="5" t="s">
        <v>3634</v>
      </c>
      <c r="D354" s="5" t="s">
        <v>3544</v>
      </c>
      <c r="E354" s="6" t="s">
        <v>768</v>
      </c>
      <c r="F354" s="7">
        <v>34986</v>
      </c>
      <c r="G354" s="10" t="s">
        <v>648</v>
      </c>
      <c r="H354" s="15" t="s">
        <v>651</v>
      </c>
      <c r="I354" s="4">
        <f>MIN(COUNTIFS('Data Family'!A:A,A354,'Data Family'!F:F,"Child")+COUNTIFS('Data Family'!A:A,A354,'Data Family'!F:F,"&lt;&gt;Child",'Data Family'!J:J,"Housewife")+COUNTIFS('Data Family'!A:A,A354,'Data Family'!F:F,"&lt;&gt;Child",'Data Family'!J:J,"Unemployment"),3)</f>
        <v>0</v>
      </c>
      <c r="J354" s="10" t="s">
        <v>791</v>
      </c>
      <c r="K354" s="7" t="s">
        <v>652</v>
      </c>
      <c r="L354" s="7">
        <v>44537</v>
      </c>
      <c r="M354" s="7">
        <v>45754</v>
      </c>
      <c r="N354" s="7"/>
      <c r="O354" s="4" t="str">
        <f t="shared" ca="1" si="26"/>
        <v>End of Contract</v>
      </c>
      <c r="P354" s="4" t="str">
        <f t="shared" ca="1" si="22"/>
        <v>Non-Active</v>
      </c>
      <c r="Q354" s="4" t="str">
        <f t="shared" si="24"/>
        <v>PKWT</v>
      </c>
      <c r="R354" s="7" t="s">
        <v>2982</v>
      </c>
      <c r="S354" s="15"/>
      <c r="T354" s="15" t="s">
        <v>739</v>
      </c>
      <c r="U354" s="15" t="s">
        <v>3000</v>
      </c>
      <c r="V354" s="4" t="s">
        <v>659</v>
      </c>
      <c r="W354" s="15" t="s">
        <v>764</v>
      </c>
      <c r="X354" s="4" t="str">
        <f>_xlfn.XLOOKUP(V354,Reference!$O:$O,Reference!$N:$N,"Tidak Ketemu")</f>
        <v>G11</v>
      </c>
      <c r="Y354" s="4" t="str">
        <f t="shared" si="23"/>
        <v>K/0</v>
      </c>
      <c r="Z354" s="10">
        <v>374915280250000</v>
      </c>
      <c r="AA354" s="10">
        <v>19087491523</v>
      </c>
      <c r="AB354" s="4">
        <v>3749152861</v>
      </c>
      <c r="AC354" s="7" t="s">
        <v>3728</v>
      </c>
      <c r="AD354" s="10">
        <v>629481735</v>
      </c>
      <c r="AE354" s="6">
        <v>85729384716</v>
      </c>
      <c r="AF354" s="6" t="s">
        <v>3777</v>
      </c>
      <c r="AG354" s="6" t="s">
        <v>818</v>
      </c>
      <c r="AN354" s="4"/>
    </row>
    <row r="355" spans="1:40" x14ac:dyDescent="0.35">
      <c r="A355" s="5">
        <v>202485290</v>
      </c>
      <c r="B355" s="16" t="s">
        <v>3459</v>
      </c>
      <c r="C355" s="5" t="s">
        <v>3635</v>
      </c>
      <c r="D355" s="5" t="s">
        <v>3545</v>
      </c>
      <c r="E355" s="6" t="s">
        <v>689</v>
      </c>
      <c r="F355" s="7">
        <v>36676</v>
      </c>
      <c r="G355" s="10" t="s">
        <v>648</v>
      </c>
      <c r="H355" s="15" t="s">
        <v>666</v>
      </c>
      <c r="I355" s="4">
        <f>MIN(COUNTIFS('Data Family'!A:A,A355,'Data Family'!F:F,"Child")+COUNTIFS('Data Family'!A:A,A355,'Data Family'!F:F,"&lt;&gt;Child",'Data Family'!J:J,"Housewife")+COUNTIFS('Data Family'!A:A,A355,'Data Family'!F:F,"&lt;&gt;Child",'Data Family'!J:J,"Unemployment"),3)</f>
        <v>0</v>
      </c>
      <c r="J355" s="10" t="s">
        <v>791</v>
      </c>
      <c r="K355" s="7" t="s">
        <v>701</v>
      </c>
      <c r="L355" s="7">
        <v>45546</v>
      </c>
      <c r="M355" s="7">
        <v>45911</v>
      </c>
      <c r="N355" s="7"/>
      <c r="O355" s="4" t="str">
        <f t="shared" ca="1" si="26"/>
        <v>End of Contract</v>
      </c>
      <c r="P355" s="4" t="str">
        <f t="shared" ca="1" si="22"/>
        <v>Non-Active</v>
      </c>
      <c r="Q355" s="4" t="str">
        <f t="shared" si="24"/>
        <v>PKWT</v>
      </c>
      <c r="R355" s="7" t="s">
        <v>2982</v>
      </c>
      <c r="S355" s="15"/>
      <c r="T355" s="15" t="s">
        <v>739</v>
      </c>
      <c r="U355" s="15" t="s">
        <v>3000</v>
      </c>
      <c r="V355" s="4" t="s">
        <v>659</v>
      </c>
      <c r="W355" s="15" t="s">
        <v>819</v>
      </c>
      <c r="X355" s="4" t="str">
        <f>_xlfn.XLOOKUP(V355,Reference!$O:$O,Reference!$N:$N,"Tidak Ketemu")</f>
        <v>G11</v>
      </c>
      <c r="Y355" s="4" t="str">
        <f t="shared" si="23"/>
        <v>TK/0</v>
      </c>
      <c r="Z355" s="10">
        <v>158294730360000</v>
      </c>
      <c r="AA355" s="10">
        <v>16015829472</v>
      </c>
      <c r="AB355" s="4">
        <v>1582947385</v>
      </c>
      <c r="AC355" s="7" t="s">
        <v>3728</v>
      </c>
      <c r="AD355" s="10">
        <v>41201083947502</v>
      </c>
      <c r="AE355" s="6">
        <v>81219384726</v>
      </c>
      <c r="AF355" s="6" t="s">
        <v>3778</v>
      </c>
      <c r="AG355" s="6" t="s">
        <v>731</v>
      </c>
      <c r="AN355" s="4"/>
    </row>
    <row r="356" spans="1:40" x14ac:dyDescent="0.35">
      <c r="A356" s="5">
        <v>201777100</v>
      </c>
      <c r="B356" s="16" t="s">
        <v>3451</v>
      </c>
      <c r="C356" s="5" t="s">
        <v>3636</v>
      </c>
      <c r="D356" s="5" t="s">
        <v>3546</v>
      </c>
      <c r="E356" s="6" t="s">
        <v>768</v>
      </c>
      <c r="F356" s="7">
        <v>33986</v>
      </c>
      <c r="G356" s="10" t="s">
        <v>676</v>
      </c>
      <c r="H356" s="15" t="s">
        <v>651</v>
      </c>
      <c r="I356" s="4">
        <f>MIN(COUNTIFS('Data Family'!A:A,A356,'Data Family'!F:F,"Child")+COUNTIFS('Data Family'!A:A,A356,'Data Family'!F:F,"&lt;&gt;Child",'Data Family'!J:J,"Housewife")+COUNTIFS('Data Family'!A:A,A356,'Data Family'!F:F,"&lt;&gt;Child",'Data Family'!J:J,"Unemployment"),3)</f>
        <v>0</v>
      </c>
      <c r="J356" s="10" t="s">
        <v>791</v>
      </c>
      <c r="K356" s="7" t="s">
        <v>701</v>
      </c>
      <c r="L356" s="7">
        <v>42781</v>
      </c>
      <c r="M356" s="7">
        <v>43511</v>
      </c>
      <c r="N356" s="7"/>
      <c r="O356" s="4" t="str">
        <f t="shared" ca="1" si="26"/>
        <v>End of Contract</v>
      </c>
      <c r="P356" s="4" t="str">
        <f t="shared" ca="1" si="22"/>
        <v>Non-Active</v>
      </c>
      <c r="Q356" s="4" t="str">
        <f t="shared" si="24"/>
        <v>PKWT</v>
      </c>
      <c r="R356" s="7" t="s">
        <v>2982</v>
      </c>
      <c r="S356" s="15"/>
      <c r="T356" s="15" t="s">
        <v>681</v>
      </c>
      <c r="U356" s="15" t="s">
        <v>2988</v>
      </c>
      <c r="V356" s="4" t="s">
        <v>3073</v>
      </c>
      <c r="W356" s="15" t="s">
        <v>682</v>
      </c>
      <c r="X356" s="4" t="str">
        <f>_xlfn.XLOOKUP(V356,Reference!$O:$O,Reference!$N:$N,"Tidak Ketemu")</f>
        <v>G10</v>
      </c>
      <c r="Y356" s="4" t="str">
        <f t="shared" si="23"/>
        <v>TK/0</v>
      </c>
      <c r="Z356" s="10">
        <v>293847160410000</v>
      </c>
      <c r="AA356" s="10">
        <v>18029384715</v>
      </c>
      <c r="AB356" s="4">
        <v>2938471648</v>
      </c>
      <c r="AC356" s="7" t="s">
        <v>3728</v>
      </c>
      <c r="AD356" s="10">
        <v>701938472500</v>
      </c>
      <c r="AE356" s="6">
        <v>81395847213</v>
      </c>
      <c r="AF356" s="6" t="s">
        <v>3779</v>
      </c>
      <c r="AG356" s="6" t="s">
        <v>704</v>
      </c>
      <c r="AN356" s="4"/>
    </row>
    <row r="357" spans="1:40" x14ac:dyDescent="0.35">
      <c r="A357" s="5">
        <v>202154580</v>
      </c>
      <c r="B357" s="16" t="s">
        <v>3460</v>
      </c>
      <c r="C357" s="5" t="s">
        <v>3637</v>
      </c>
      <c r="D357" s="5" t="s">
        <v>3547</v>
      </c>
      <c r="E357" s="6" t="s">
        <v>809</v>
      </c>
      <c r="F357" s="7">
        <v>35511</v>
      </c>
      <c r="G357" s="10" t="s">
        <v>676</v>
      </c>
      <c r="H357" s="15" t="s">
        <v>651</v>
      </c>
      <c r="I357" s="4">
        <f>MIN(COUNTIFS('Data Family'!A:A,A357,'Data Family'!F:F,"Child")+COUNTIFS('Data Family'!A:A,A357,'Data Family'!F:F,"&lt;&gt;Child",'Data Family'!J:J,"Housewife")+COUNTIFS('Data Family'!A:A,A357,'Data Family'!F:F,"&lt;&gt;Child",'Data Family'!J:J,"Unemployment"),3)</f>
        <v>0</v>
      </c>
      <c r="J357" s="10" t="s">
        <v>791</v>
      </c>
      <c r="K357" s="7" t="s">
        <v>677</v>
      </c>
      <c r="L357" s="7">
        <v>44377</v>
      </c>
      <c r="M357" s="7">
        <v>45107</v>
      </c>
      <c r="N357" s="7"/>
      <c r="O357" s="4" t="str">
        <f t="shared" ca="1" si="26"/>
        <v>End of Contract</v>
      </c>
      <c r="P357" s="4" t="str">
        <f t="shared" ca="1" si="22"/>
        <v>Non-Active</v>
      </c>
      <c r="Q357" s="4" t="str">
        <f t="shared" si="24"/>
        <v>PKWT</v>
      </c>
      <c r="R357" s="7" t="s">
        <v>2982</v>
      </c>
      <c r="S357" s="15"/>
      <c r="T357" s="15" t="s">
        <v>681</v>
      </c>
      <c r="U357" s="15" t="s">
        <v>2988</v>
      </c>
      <c r="V357" s="4" t="s">
        <v>3073</v>
      </c>
      <c r="W357" s="15" t="s">
        <v>682</v>
      </c>
      <c r="X357" s="4" t="str">
        <f>_xlfn.XLOOKUP(V357,Reference!$O:$O,Reference!$N:$N,"Tidak Ketemu")</f>
        <v>G10</v>
      </c>
      <c r="Y357" s="4" t="str">
        <f t="shared" si="23"/>
        <v>TK/0</v>
      </c>
      <c r="Z357" s="10">
        <v>362915480520000</v>
      </c>
      <c r="AA357" s="10">
        <v>19036291541</v>
      </c>
      <c r="AB357" s="4">
        <v>3629154873</v>
      </c>
      <c r="AC357" s="7" t="s">
        <v>3728</v>
      </c>
      <c r="AD357" s="10">
        <v>1020018472935</v>
      </c>
      <c r="AE357" s="6">
        <v>87719283746</v>
      </c>
      <c r="AF357" s="6" t="s">
        <v>3780</v>
      </c>
      <c r="AG357" s="6" t="s">
        <v>818</v>
      </c>
      <c r="AN357" s="4"/>
    </row>
    <row r="358" spans="1:40" x14ac:dyDescent="0.35">
      <c r="A358" s="5">
        <v>201845381</v>
      </c>
      <c r="B358" s="16" t="s">
        <v>3452</v>
      </c>
      <c r="C358" s="5" t="s">
        <v>3638</v>
      </c>
      <c r="D358" s="5" t="s">
        <v>3548</v>
      </c>
      <c r="E358" s="6" t="s">
        <v>3450</v>
      </c>
      <c r="F358" s="7">
        <v>34217</v>
      </c>
      <c r="G358" s="10" t="s">
        <v>648</v>
      </c>
      <c r="H358" s="15" t="s">
        <v>651</v>
      </c>
      <c r="I358" s="4">
        <f>MIN(COUNTIFS('Data Family'!A:A,A358,'Data Family'!F:F,"Child")+COUNTIFS('Data Family'!A:A,A358,'Data Family'!F:F,"&lt;&gt;Child",'Data Family'!J:J,"Housewife")+COUNTIFS('Data Family'!A:A,A358,'Data Family'!F:F,"&lt;&gt;Child",'Data Family'!J:J,"Unemployment"),3)</f>
        <v>0</v>
      </c>
      <c r="J358" s="10" t="s">
        <v>791</v>
      </c>
      <c r="K358" s="7" t="s">
        <v>677</v>
      </c>
      <c r="L358" s="7">
        <v>43385</v>
      </c>
      <c r="M358" s="7">
        <v>44116</v>
      </c>
      <c r="N358" s="7"/>
      <c r="O358" s="4" t="str">
        <f t="shared" ca="1" si="26"/>
        <v>End of Contract</v>
      </c>
      <c r="P358" s="4" t="str">
        <f t="shared" ca="1" si="22"/>
        <v>Non-Active</v>
      </c>
      <c r="Q358" s="4" t="str">
        <f t="shared" si="24"/>
        <v>PKWT</v>
      </c>
      <c r="R358" s="7" t="s">
        <v>2982</v>
      </c>
      <c r="S358" s="15"/>
      <c r="T358" s="15" t="s">
        <v>681</v>
      </c>
      <c r="U358" s="15" t="s">
        <v>2988</v>
      </c>
      <c r="V358" s="4" t="s">
        <v>3073</v>
      </c>
      <c r="W358" s="15" t="s">
        <v>682</v>
      </c>
      <c r="X358" s="4" t="str">
        <f>_xlfn.XLOOKUP(V358,Reference!$O:$O,Reference!$N:$N,"Tidak Ketemu")</f>
        <v>G10</v>
      </c>
      <c r="Y358" s="4" t="str">
        <f t="shared" si="23"/>
        <v>K/0</v>
      </c>
      <c r="Z358" s="10">
        <v>115482930630000</v>
      </c>
      <c r="AA358" s="10">
        <v>16041154823</v>
      </c>
      <c r="AB358" s="4">
        <v>1154829362</v>
      </c>
      <c r="AC358" s="7" t="s">
        <v>3728</v>
      </c>
      <c r="AD358" s="10">
        <v>4530192835</v>
      </c>
      <c r="AE358" s="6">
        <v>81293847104</v>
      </c>
      <c r="AF358" s="6" t="s">
        <v>3781</v>
      </c>
      <c r="AG358" s="6" t="s">
        <v>694</v>
      </c>
      <c r="AN358" s="4"/>
    </row>
    <row r="359" spans="1:40" x14ac:dyDescent="0.35">
      <c r="A359" s="5">
        <v>201247302</v>
      </c>
      <c r="B359" s="16" t="s">
        <v>3461</v>
      </c>
      <c r="C359" s="5" t="s">
        <v>3639</v>
      </c>
      <c r="D359" s="5" t="s">
        <v>3549</v>
      </c>
      <c r="E359" s="6" t="s">
        <v>3450</v>
      </c>
      <c r="F359" s="7">
        <v>31757</v>
      </c>
      <c r="G359" s="10" t="s">
        <v>648</v>
      </c>
      <c r="H359" s="15" t="s">
        <v>651</v>
      </c>
      <c r="I359" s="4">
        <f>MIN(COUNTIFS('Data Family'!A:A,A359,'Data Family'!F:F,"Child")+COUNTIFS('Data Family'!A:A,A359,'Data Family'!F:F,"&lt;&gt;Child",'Data Family'!J:J,"Housewife")+COUNTIFS('Data Family'!A:A,A359,'Data Family'!F:F,"&lt;&gt;Child",'Data Family'!J:J,"Unemployment"),3)</f>
        <v>0</v>
      </c>
      <c r="J359" s="10" t="s">
        <v>791</v>
      </c>
      <c r="K359" s="7" t="s">
        <v>677</v>
      </c>
      <c r="L359" s="7">
        <v>40973</v>
      </c>
      <c r="M359" s="7">
        <v>42434</v>
      </c>
      <c r="N359" s="7"/>
      <c r="O359" s="4" t="str">
        <f t="shared" ca="1" si="26"/>
        <v>End of Contract</v>
      </c>
      <c r="P359" s="4" t="str">
        <f t="shared" ca="1" si="22"/>
        <v>Non-Active</v>
      </c>
      <c r="Q359" s="4" t="str">
        <f t="shared" si="24"/>
        <v>PKWT</v>
      </c>
      <c r="R359" s="7" t="s">
        <v>2982</v>
      </c>
      <c r="S359" s="15"/>
      <c r="T359" s="15" t="s">
        <v>681</v>
      </c>
      <c r="U359" s="15" t="s">
        <v>2988</v>
      </c>
      <c r="V359" s="4" t="s">
        <v>659</v>
      </c>
      <c r="W359" s="15" t="s">
        <v>3067</v>
      </c>
      <c r="X359" s="4" t="str">
        <f>_xlfn.XLOOKUP(V359,Reference!$O:$O,Reference!$N:$N,"Tidak Ketemu")</f>
        <v>G11</v>
      </c>
      <c r="Y359" s="4" t="str">
        <f t="shared" si="23"/>
        <v>K/0</v>
      </c>
      <c r="Z359" s="10">
        <v>238491750140000</v>
      </c>
      <c r="AA359" s="10">
        <v>18052384912</v>
      </c>
      <c r="AB359" s="4">
        <v>2384917563</v>
      </c>
      <c r="AC359" s="7" t="s">
        <v>3728</v>
      </c>
      <c r="AD359" s="10">
        <v>729384716</v>
      </c>
      <c r="AE359" s="6">
        <v>85629384715</v>
      </c>
      <c r="AF359" s="6" t="s">
        <v>3782</v>
      </c>
      <c r="AG359" s="6" t="s">
        <v>778</v>
      </c>
      <c r="AN359" s="4"/>
    </row>
    <row r="360" spans="1:40" x14ac:dyDescent="0.35">
      <c r="A360" s="5">
        <v>202390074</v>
      </c>
      <c r="B360" s="16" t="s">
        <v>3462</v>
      </c>
      <c r="C360" s="5" t="s">
        <v>3640</v>
      </c>
      <c r="D360" s="5" t="s">
        <v>3550</v>
      </c>
      <c r="E360" s="6" t="s">
        <v>3450</v>
      </c>
      <c r="F360" s="7">
        <v>36329</v>
      </c>
      <c r="G360" s="10" t="s">
        <v>648</v>
      </c>
      <c r="H360" s="15" t="s">
        <v>666</v>
      </c>
      <c r="I360" s="4">
        <f>MIN(COUNTIFS('Data Family'!A:A,A360,'Data Family'!F:F,"Child")+COUNTIFS('Data Family'!A:A,A360,'Data Family'!F:F,"&lt;&gt;Child",'Data Family'!J:J,"Housewife")+COUNTIFS('Data Family'!A:A,A360,'Data Family'!F:F,"&lt;&gt;Child",'Data Family'!J:J,"Unemployment"),3)</f>
        <v>0</v>
      </c>
      <c r="J360" s="10" t="s">
        <v>791</v>
      </c>
      <c r="K360" s="7" t="s">
        <v>677</v>
      </c>
      <c r="L360" s="7">
        <v>45125</v>
      </c>
      <c r="M360" s="7">
        <v>45856</v>
      </c>
      <c r="N360" s="7"/>
      <c r="O360" s="4" t="str">
        <f t="shared" ca="1" si="26"/>
        <v>End of Contract</v>
      </c>
      <c r="P360" s="4" t="s">
        <v>3722</v>
      </c>
      <c r="Q360" s="4" t="str">
        <f t="shared" si="24"/>
        <v>PKWT</v>
      </c>
      <c r="R360" s="7" t="s">
        <v>2982</v>
      </c>
      <c r="S360" s="15"/>
      <c r="T360" s="15" t="s">
        <v>681</v>
      </c>
      <c r="U360" s="15" t="s">
        <v>2988</v>
      </c>
      <c r="V360" s="4" t="s">
        <v>659</v>
      </c>
      <c r="W360" s="15" t="s">
        <v>3067</v>
      </c>
      <c r="X360" s="4" t="str">
        <f>_xlfn.XLOOKUP(V360,Reference!$O:$O,Reference!$N:$N,"Tidak Ketemu")</f>
        <v>G11</v>
      </c>
      <c r="Y360" s="4" t="str">
        <f t="shared" si="23"/>
        <v>TK/0</v>
      </c>
      <c r="Z360" s="10">
        <v>349182530250000</v>
      </c>
      <c r="AA360" s="10">
        <v>19064918251</v>
      </c>
      <c r="AB360" s="4">
        <v>3491825374</v>
      </c>
      <c r="AC360" s="7" t="s">
        <v>3728</v>
      </c>
      <c r="AD360" s="10">
        <v>53101029384508</v>
      </c>
      <c r="AE360" s="6">
        <v>81382938471</v>
      </c>
      <c r="AF360" s="6" t="s">
        <v>3783</v>
      </c>
      <c r="AG360" s="6" t="s">
        <v>656</v>
      </c>
      <c r="AN360" s="4"/>
    </row>
    <row r="361" spans="1:40" x14ac:dyDescent="0.35">
      <c r="A361" s="5">
        <v>201661242</v>
      </c>
      <c r="B361" s="16" t="s">
        <v>3463</v>
      </c>
      <c r="C361" s="5" t="s">
        <v>3641</v>
      </c>
      <c r="D361" s="5" t="s">
        <v>3551</v>
      </c>
      <c r="E361" s="6" t="s">
        <v>689</v>
      </c>
      <c r="F361" s="7">
        <v>33109</v>
      </c>
      <c r="G361" s="10" t="s">
        <v>648</v>
      </c>
      <c r="H361" s="15" t="s">
        <v>651</v>
      </c>
      <c r="I361" s="4">
        <f>MIN(COUNTIFS('Data Family'!A:A,A361,'Data Family'!F:F,"Child")+COUNTIFS('Data Family'!A:A,A361,'Data Family'!F:F,"&lt;&gt;Child",'Data Family'!J:J,"Housewife")+COUNTIFS('Data Family'!A:A,A361,'Data Family'!F:F,"&lt;&gt;Child",'Data Family'!J:J,"Unemployment"),3)</f>
        <v>0</v>
      </c>
      <c r="J361" s="10" t="s">
        <v>791</v>
      </c>
      <c r="K361" s="7" t="s">
        <v>677</v>
      </c>
      <c r="L361" s="7">
        <v>43490</v>
      </c>
      <c r="M361" s="7">
        <v>43855</v>
      </c>
      <c r="N361" s="7"/>
      <c r="O361" s="4" t="str">
        <f t="shared" ca="1" si="26"/>
        <v>End of Contract</v>
      </c>
      <c r="P361" s="4" t="str">
        <f t="shared" ref="P361:P402" ca="1" si="27">IF(OR(N361&lt;&gt;"", AND(M361&lt;&gt;"",M361&lt;=TODAY())),"Non-Active","Active")</f>
        <v>Non-Active</v>
      </c>
      <c r="Q361" s="4" t="str">
        <f t="shared" si="24"/>
        <v>PKWT</v>
      </c>
      <c r="R361" s="7" t="s">
        <v>2982</v>
      </c>
      <c r="S361" s="15"/>
      <c r="T361" s="15" t="s">
        <v>681</v>
      </c>
      <c r="U361" s="15" t="s">
        <v>2988</v>
      </c>
      <c r="V361" s="4" t="s">
        <v>659</v>
      </c>
      <c r="W361" s="15" t="s">
        <v>3067</v>
      </c>
      <c r="X361" s="4" t="str">
        <f>_xlfn.XLOOKUP(V361,Reference!$O:$O,Reference!$N:$N,"Tidak Ketemu")</f>
        <v>G11</v>
      </c>
      <c r="Y361" s="4" t="str">
        <f t="shared" si="23"/>
        <v>K/0</v>
      </c>
      <c r="Z361" s="10">
        <v>139485720360000</v>
      </c>
      <c r="AA361" s="10">
        <v>16073948572</v>
      </c>
      <c r="AB361" s="4">
        <v>1394857291</v>
      </c>
      <c r="AC361" s="7" t="s">
        <v>3728</v>
      </c>
      <c r="AD361" s="10">
        <v>704938172600</v>
      </c>
      <c r="AE361" s="6">
        <v>81929384710</v>
      </c>
      <c r="AF361" s="6" t="s">
        <v>3784</v>
      </c>
      <c r="AG361" s="6" t="s">
        <v>731</v>
      </c>
      <c r="AN361" s="4"/>
    </row>
    <row r="362" spans="1:40" x14ac:dyDescent="0.35">
      <c r="A362" s="5">
        <v>202264433</v>
      </c>
      <c r="B362" s="16" t="s">
        <v>3464</v>
      </c>
      <c r="C362" s="5" t="s">
        <v>3642</v>
      </c>
      <c r="D362" s="5" t="s">
        <v>3552</v>
      </c>
      <c r="E362" s="6" t="s">
        <v>742</v>
      </c>
      <c r="F362" s="7">
        <v>35804</v>
      </c>
      <c r="G362" s="10" t="s">
        <v>648</v>
      </c>
      <c r="H362" s="15" t="s">
        <v>666</v>
      </c>
      <c r="I362" s="4">
        <f>MIN(COUNTIFS('Data Family'!A:A,A362,'Data Family'!F:F,"Child")+COUNTIFS('Data Family'!A:A,A362,'Data Family'!F:F,"&lt;&gt;Child",'Data Family'!J:J,"Housewife")+COUNTIFS('Data Family'!A:A,A362,'Data Family'!F:F,"&lt;&gt;Child",'Data Family'!J:J,"Unemployment"),3)</f>
        <v>0</v>
      </c>
      <c r="J362" s="10" t="s">
        <v>791</v>
      </c>
      <c r="K362" s="7" t="s">
        <v>677</v>
      </c>
      <c r="L362" s="7">
        <v>44874</v>
      </c>
      <c r="M362" s="7">
        <v>45970</v>
      </c>
      <c r="N362" s="7">
        <v>45458</v>
      </c>
      <c r="O362" s="4" t="s">
        <v>2674</v>
      </c>
      <c r="P362" s="4" t="str">
        <f t="shared" ca="1" si="27"/>
        <v>Non-Active</v>
      </c>
      <c r="Q362" s="4" t="str">
        <f t="shared" si="24"/>
        <v>PKWT</v>
      </c>
      <c r="R362" s="7" t="s">
        <v>2982</v>
      </c>
      <c r="S362" s="15"/>
      <c r="T362" s="15" t="s">
        <v>794</v>
      </c>
      <c r="U362" s="15" t="s">
        <v>2690</v>
      </c>
      <c r="V362" s="4" t="s">
        <v>3072</v>
      </c>
      <c r="W362" s="15" t="s">
        <v>1017</v>
      </c>
      <c r="X362" s="4" t="str">
        <f>_xlfn.XLOOKUP(V362,Reference!$O:$O,Reference!$N:$N,"Tidak Ketemu")</f>
        <v>G09</v>
      </c>
      <c r="Y362" s="4" t="str">
        <f t="shared" si="23"/>
        <v>TK/0</v>
      </c>
      <c r="Z362" s="10">
        <v>251948370410000</v>
      </c>
      <c r="AA362" s="10">
        <v>18085194831</v>
      </c>
      <c r="AB362" s="4">
        <v>2519483762</v>
      </c>
      <c r="AC362" s="7" t="s">
        <v>3728</v>
      </c>
      <c r="AD362" s="10">
        <v>1120019384726</v>
      </c>
      <c r="AE362" s="6">
        <v>87839482715</v>
      </c>
      <c r="AF362" s="6" t="s">
        <v>3785</v>
      </c>
      <c r="AG362" s="6" t="s">
        <v>818</v>
      </c>
      <c r="AN362" s="4"/>
    </row>
    <row r="363" spans="1:40" x14ac:dyDescent="0.35">
      <c r="A363" s="5">
        <v>202445300</v>
      </c>
      <c r="B363" s="5" t="s">
        <v>3101</v>
      </c>
      <c r="C363" s="5" t="s">
        <v>159</v>
      </c>
      <c r="D363" s="5" t="s">
        <v>470</v>
      </c>
      <c r="E363" s="6" t="s">
        <v>809</v>
      </c>
      <c r="F363" s="7">
        <v>40130</v>
      </c>
      <c r="G363" s="10" t="s">
        <v>648</v>
      </c>
      <c r="H363" s="15" t="s">
        <v>666</v>
      </c>
      <c r="I363" s="4">
        <f>MIN(COUNTIFS('Data Family'!A:A,A363,'Data Family'!F:F,"Child")+COUNTIFS('Data Family'!A:A,A363,'Data Family'!F:F,"&lt;&gt;Child",'Data Family'!J:J,"Housewife")+COUNTIFS('Data Family'!A:A,A363,'Data Family'!F:F,"&lt;&gt;Child",'Data Family'!J:J,"Unemployment"),3)</f>
        <v>0</v>
      </c>
      <c r="J363" s="10" t="s">
        <v>791</v>
      </c>
      <c r="K363" s="7" t="s">
        <v>691</v>
      </c>
      <c r="L363" s="7">
        <v>45300</v>
      </c>
      <c r="M363" s="7">
        <v>45666</v>
      </c>
      <c r="N363" s="7"/>
      <c r="O363" s="4" t="str">
        <f ca="1">IF(AND(M363&lt;&gt;"", M363&lt;=TODAY(), N363=""), "End of Contract", "")</f>
        <v>End of Contract</v>
      </c>
      <c r="P363" s="4" t="str">
        <f t="shared" ca="1" si="27"/>
        <v>Non-Active</v>
      </c>
      <c r="Q363" s="4" t="str">
        <f t="shared" si="24"/>
        <v>PKWT</v>
      </c>
      <c r="R363" s="7" t="s">
        <v>2980</v>
      </c>
      <c r="S363" s="4" t="s">
        <v>2986</v>
      </c>
      <c r="T363" s="4" t="s">
        <v>657</v>
      </c>
      <c r="U363" s="4" t="s">
        <v>2996</v>
      </c>
      <c r="V363" s="4" t="s">
        <v>2681</v>
      </c>
      <c r="W363" s="4" t="s">
        <v>3417</v>
      </c>
      <c r="X363" s="4" t="str">
        <f>_xlfn.XLOOKUP(V363,Reference!$O:$O,Reference!$N:$N,"Tidak Ketemu")</f>
        <v>G14</v>
      </c>
      <c r="Y363" s="4" t="str">
        <f t="shared" si="23"/>
        <v>TK/0</v>
      </c>
      <c r="Z363" s="10">
        <v>381947260520000</v>
      </c>
      <c r="AA363" s="10">
        <v>19018194723</v>
      </c>
      <c r="AB363" s="7">
        <v>3819472651</v>
      </c>
      <c r="AC363" s="7" t="s">
        <v>3728</v>
      </c>
      <c r="AD363" s="7">
        <v>8420193847</v>
      </c>
      <c r="AE363" s="6">
        <v>81294857215</v>
      </c>
      <c r="AF363" s="6" t="s">
        <v>3786</v>
      </c>
      <c r="AG363" s="6" t="s">
        <v>818</v>
      </c>
      <c r="AN363" s="4"/>
    </row>
    <row r="364" spans="1:40" x14ac:dyDescent="0.35">
      <c r="A364" s="5">
        <v>202244699</v>
      </c>
      <c r="B364" s="5" t="s">
        <v>3103</v>
      </c>
      <c r="C364" s="5" t="s">
        <v>275</v>
      </c>
      <c r="D364" s="5" t="s">
        <v>586</v>
      </c>
      <c r="E364" s="6" t="s">
        <v>664</v>
      </c>
      <c r="F364" s="7">
        <v>40260</v>
      </c>
      <c r="G364" s="10" t="s">
        <v>648</v>
      </c>
      <c r="H364" s="15" t="s">
        <v>666</v>
      </c>
      <c r="I364" s="4">
        <f>MIN(COUNTIFS('Data Family'!A:A,A364,'Data Family'!F:F,"Child")+COUNTIFS('Data Family'!A:A,A364,'Data Family'!F:F,"&lt;&gt;Child",'Data Family'!J:J,"Housewife")+COUNTIFS('Data Family'!A:A,A364,'Data Family'!F:F,"&lt;&gt;Child",'Data Family'!J:J,"Unemployment"),3)</f>
        <v>0</v>
      </c>
      <c r="J364" s="10" t="s">
        <v>791</v>
      </c>
      <c r="K364" s="7" t="s">
        <v>691</v>
      </c>
      <c r="L364" s="7">
        <v>44699</v>
      </c>
      <c r="M364" s="7">
        <v>45064</v>
      </c>
      <c r="N364" s="7"/>
      <c r="O364" s="4" t="str">
        <f ca="1">IF(AND(M364&lt;&gt;"", M364&lt;=TODAY(), N364=""), "End of Contract", "")</f>
        <v>End of Contract</v>
      </c>
      <c r="P364" s="4" t="str">
        <f t="shared" ca="1" si="27"/>
        <v>Non-Active</v>
      </c>
      <c r="Q364" s="4" t="str">
        <f t="shared" si="24"/>
        <v>PKWT</v>
      </c>
      <c r="R364" s="7" t="s">
        <v>2980</v>
      </c>
      <c r="S364" s="4" t="s">
        <v>2986</v>
      </c>
      <c r="T364" s="4" t="s">
        <v>657</v>
      </c>
      <c r="U364" s="4" t="s">
        <v>2996</v>
      </c>
      <c r="V364" s="4" t="s">
        <v>2681</v>
      </c>
      <c r="W364" s="4" t="s">
        <v>3417</v>
      </c>
      <c r="X364" s="4" t="str">
        <f>_xlfn.XLOOKUP(V364,Reference!$O:$O,Reference!$N:$N,"Tidak Ketemu")</f>
        <v>G14</v>
      </c>
      <c r="Y364" s="4" t="str">
        <f t="shared" si="23"/>
        <v>TK/0</v>
      </c>
      <c r="Z364" s="10">
        <v>172938450630000</v>
      </c>
      <c r="AA364" s="10">
        <v>17027293841</v>
      </c>
      <c r="AB364" s="7">
        <v>1729384592</v>
      </c>
      <c r="AC364" s="7" t="s">
        <v>3730</v>
      </c>
      <c r="AD364" s="7">
        <v>384729156</v>
      </c>
      <c r="AE364" s="6">
        <v>81319283746</v>
      </c>
      <c r="AF364" s="6" t="s">
        <v>3787</v>
      </c>
      <c r="AG364" s="6" t="s">
        <v>818</v>
      </c>
      <c r="AN364" s="4"/>
    </row>
    <row r="365" spans="1:40" x14ac:dyDescent="0.35">
      <c r="A365" s="5">
        <v>202545795</v>
      </c>
      <c r="B365" s="5" t="s">
        <v>999</v>
      </c>
      <c r="C365" s="5" t="s">
        <v>65</v>
      </c>
      <c r="D365" s="5" t="s">
        <v>376</v>
      </c>
      <c r="E365" s="6" t="s">
        <v>689</v>
      </c>
      <c r="F365" s="7">
        <v>40472</v>
      </c>
      <c r="G365" s="10" t="s">
        <v>676</v>
      </c>
      <c r="H365" s="15" t="s">
        <v>666</v>
      </c>
      <c r="I365" s="4">
        <f>MIN(COUNTIFS('Data Family'!A:A,A365,'Data Family'!F:F,"Child")+COUNTIFS('Data Family'!A:A,A365,'Data Family'!F:F,"&lt;&gt;Child",'Data Family'!J:J,"Housewife")+COUNTIFS('Data Family'!A:A,A365,'Data Family'!F:F,"&lt;&gt;Child",'Data Family'!J:J,"Unemployment"),3)</f>
        <v>0</v>
      </c>
      <c r="J365" s="10" t="s">
        <v>791</v>
      </c>
      <c r="K365" s="7" t="s">
        <v>691</v>
      </c>
      <c r="L365" s="7">
        <v>45795</v>
      </c>
      <c r="M365" s="7">
        <v>46160</v>
      </c>
      <c r="N365" s="7"/>
      <c r="O365" s="4" t="str">
        <f ca="1">IF(AND(M365&lt;&gt;"", M365&lt;=TODAY(), N365=""), "End of Contract", "")</f>
        <v>End of Contract</v>
      </c>
      <c r="P365" s="4" t="str">
        <f t="shared" ca="1" si="27"/>
        <v>Non-Active</v>
      </c>
      <c r="Q365" s="4" t="str">
        <f t="shared" si="24"/>
        <v>PKWT</v>
      </c>
      <c r="R365" s="7" t="s">
        <v>2980</v>
      </c>
      <c r="S365" s="4" t="s">
        <v>2986</v>
      </c>
      <c r="T365" s="4" t="s">
        <v>657</v>
      </c>
      <c r="U365" s="4" t="s">
        <v>2996</v>
      </c>
      <c r="V365" s="4" t="s">
        <v>2681</v>
      </c>
      <c r="W365" s="4" t="s">
        <v>3417</v>
      </c>
      <c r="X365" s="4" t="str">
        <f>_xlfn.XLOOKUP(V365,Reference!$O:$O,Reference!$N:$N,"Tidak Ketemu")</f>
        <v>G14</v>
      </c>
      <c r="Y365" s="4" t="str">
        <f t="shared" si="23"/>
        <v>TK/0</v>
      </c>
      <c r="Z365" s="10">
        <v>294815370140000</v>
      </c>
      <c r="AA365" s="10">
        <v>18039481532</v>
      </c>
      <c r="AB365" s="7">
        <v>2948153761</v>
      </c>
      <c r="AC365" s="7" t="s">
        <v>3732</v>
      </c>
      <c r="AD365" s="7">
        <v>14501039482507</v>
      </c>
      <c r="AE365" s="6">
        <v>85219384726</v>
      </c>
      <c r="AF365" s="6" t="s">
        <v>3788</v>
      </c>
      <c r="AG365" s="6" t="s">
        <v>731</v>
      </c>
      <c r="AN365" s="4"/>
    </row>
    <row r="366" spans="1:40" x14ac:dyDescent="0.35">
      <c r="A366" s="5">
        <v>202545810</v>
      </c>
      <c r="B366" s="5" t="s">
        <v>3106</v>
      </c>
      <c r="C366" s="5" t="s">
        <v>45</v>
      </c>
      <c r="D366" s="5" t="s">
        <v>356</v>
      </c>
      <c r="E366" s="6" t="s">
        <v>664</v>
      </c>
      <c r="F366" s="7">
        <v>40400</v>
      </c>
      <c r="G366" s="10" t="s">
        <v>648</v>
      </c>
      <c r="H366" s="15" t="s">
        <v>666</v>
      </c>
      <c r="I366" s="4">
        <f>MIN(COUNTIFS('Data Family'!A:A,A366,'Data Family'!F:F,"Child")+COUNTIFS('Data Family'!A:A,A366,'Data Family'!F:F,"&lt;&gt;Child",'Data Family'!J:J,"Housewife")+COUNTIFS('Data Family'!A:A,A366,'Data Family'!F:F,"&lt;&gt;Child",'Data Family'!J:J,"Unemployment"),3)</f>
        <v>0</v>
      </c>
      <c r="J366" s="10" t="s">
        <v>791</v>
      </c>
      <c r="K366" s="7" t="s">
        <v>652</v>
      </c>
      <c r="L366" s="7">
        <v>45810</v>
      </c>
      <c r="M366" s="7">
        <v>46175</v>
      </c>
      <c r="N366" s="7"/>
      <c r="O366" s="4" t="str">
        <f ca="1">IF(AND(M366&lt;&gt;"", M366&lt;=TODAY(), N366=""), "End of Contract", "")</f>
        <v>End of Contract</v>
      </c>
      <c r="P366" s="4" t="str">
        <f t="shared" ca="1" si="27"/>
        <v>Non-Active</v>
      </c>
      <c r="Q366" s="4" t="str">
        <f t="shared" si="24"/>
        <v>PKWT</v>
      </c>
      <c r="R366" s="7" t="s">
        <v>2980</v>
      </c>
      <c r="S366" s="4" t="s">
        <v>2986</v>
      </c>
      <c r="T366" s="4" t="s">
        <v>657</v>
      </c>
      <c r="U366" s="4" t="s">
        <v>2996</v>
      </c>
      <c r="V366" s="4" t="s">
        <v>2681</v>
      </c>
      <c r="W366" s="4" t="s">
        <v>3417</v>
      </c>
      <c r="X366" s="4" t="str">
        <f>_xlfn.XLOOKUP(V366,Reference!$O:$O,Reference!$N:$N,"Tidak Ketemu")</f>
        <v>G14</v>
      </c>
      <c r="Y366" s="4" t="str">
        <f t="shared" si="23"/>
        <v>TK/0</v>
      </c>
      <c r="Z366" s="10">
        <v>129384750250000</v>
      </c>
      <c r="AA366" s="10">
        <v>16042938471</v>
      </c>
      <c r="AB366" s="7">
        <v>1293847563</v>
      </c>
      <c r="AC366" s="7" t="s">
        <v>3734</v>
      </c>
      <c r="AD366" s="7">
        <v>706192837400</v>
      </c>
      <c r="AE366" s="6">
        <v>81394827361</v>
      </c>
      <c r="AF366" s="6" t="s">
        <v>3789</v>
      </c>
      <c r="AG366" s="6" t="s">
        <v>818</v>
      </c>
      <c r="AN366" s="4"/>
    </row>
    <row r="367" spans="1:40" x14ac:dyDescent="0.35">
      <c r="A367" s="5">
        <v>201742781</v>
      </c>
      <c r="B367" s="5" t="s">
        <v>1093</v>
      </c>
      <c r="C367" s="5" t="s">
        <v>253</v>
      </c>
      <c r="D367" s="5" t="s">
        <v>564</v>
      </c>
      <c r="E367" s="6" t="s">
        <v>768</v>
      </c>
      <c r="F367" s="7">
        <v>39950</v>
      </c>
      <c r="G367" s="10" t="s">
        <v>648</v>
      </c>
      <c r="H367" s="15" t="s">
        <v>666</v>
      </c>
      <c r="I367" s="4">
        <f>MIN(COUNTIFS('Data Family'!A:A,A367,'Data Family'!F:F,"Child")+COUNTIFS('Data Family'!A:A,A367,'Data Family'!F:F,"&lt;&gt;Child",'Data Family'!J:J,"Housewife")+COUNTIFS('Data Family'!A:A,A367,'Data Family'!F:F,"&lt;&gt;Child",'Data Family'!J:J,"Unemployment"),3)</f>
        <v>0</v>
      </c>
      <c r="J367" s="10" t="s">
        <v>791</v>
      </c>
      <c r="K367" s="7" t="s">
        <v>701</v>
      </c>
      <c r="L367" s="7">
        <v>45703</v>
      </c>
      <c r="M367" s="7">
        <v>46068</v>
      </c>
      <c r="N367" s="7"/>
      <c r="O367" s="4" t="str">
        <f ca="1">IF(AND(M367&lt;&gt;"", M367&lt;=TODAY(), N367=""), "End of Contract", "")</f>
        <v>End of Contract</v>
      </c>
      <c r="P367" s="4" t="str">
        <f t="shared" ca="1" si="27"/>
        <v>Non-Active</v>
      </c>
      <c r="Q367" s="4" t="str">
        <f t="shared" si="24"/>
        <v>PKWT</v>
      </c>
      <c r="R367" s="7" t="s">
        <v>2980</v>
      </c>
      <c r="S367" s="4" t="s">
        <v>2986</v>
      </c>
      <c r="T367" s="4" t="s">
        <v>657</v>
      </c>
      <c r="U367" s="4" t="s">
        <v>2996</v>
      </c>
      <c r="V367" s="4" t="s">
        <v>2681</v>
      </c>
      <c r="W367" s="4" t="s">
        <v>3417</v>
      </c>
      <c r="X367" s="4" t="str">
        <f>_xlfn.XLOOKUP(V367,Reference!$O:$O,Reference!$N:$N,"Tidak Ketemu")</f>
        <v>G14</v>
      </c>
      <c r="Y367" s="4" t="str">
        <f t="shared" si="23"/>
        <v>TK/0</v>
      </c>
      <c r="Z367" s="10">
        <v>248193750360000</v>
      </c>
      <c r="AA367" s="10">
        <v>18054819372</v>
      </c>
      <c r="AB367" s="7">
        <v>2481937514</v>
      </c>
      <c r="AC367" s="7" t="s">
        <v>3726</v>
      </c>
      <c r="AD367" s="7">
        <v>1560019384725</v>
      </c>
      <c r="AE367" s="6">
        <v>87729384710</v>
      </c>
      <c r="AF367" s="6" t="s">
        <v>3790</v>
      </c>
      <c r="AG367" s="6" t="s">
        <v>704</v>
      </c>
      <c r="AN367" s="4"/>
    </row>
    <row r="368" spans="1:40" x14ac:dyDescent="0.35">
      <c r="A368" s="5">
        <v>202211581</v>
      </c>
      <c r="B368" s="16" t="s">
        <v>3465</v>
      </c>
      <c r="C368" s="5" t="s">
        <v>3643</v>
      </c>
      <c r="D368" s="5" t="s">
        <v>3553</v>
      </c>
      <c r="E368" s="6" t="s">
        <v>649</v>
      </c>
      <c r="F368" s="7">
        <v>35990</v>
      </c>
      <c r="G368" s="10" t="s">
        <v>676</v>
      </c>
      <c r="H368" s="15" t="s">
        <v>666</v>
      </c>
      <c r="I368" s="4">
        <f>MIN(COUNTIFS('Data Family'!A:A,A368,'Data Family'!F:F,"Child")+COUNTIFS('Data Family'!A:A,A368,'Data Family'!F:F,"&lt;&gt;Child",'Data Family'!J:J,"Housewife")+COUNTIFS('Data Family'!A:A,A368,'Data Family'!F:F,"&lt;&gt;Child",'Data Family'!J:J,"Unemployment"),3)</f>
        <v>0</v>
      </c>
      <c r="J368" s="10" t="s">
        <v>791</v>
      </c>
      <c r="K368" s="7" t="s">
        <v>701</v>
      </c>
      <c r="L368" s="7">
        <v>44606</v>
      </c>
      <c r="M368" s="7">
        <v>45336</v>
      </c>
      <c r="N368" s="7">
        <v>44936</v>
      </c>
      <c r="O368" s="4" t="s">
        <v>2674</v>
      </c>
      <c r="P368" s="4" t="str">
        <f t="shared" ca="1" si="27"/>
        <v>Non-Active</v>
      </c>
      <c r="Q368" s="4" t="str">
        <f t="shared" si="24"/>
        <v>PKWT</v>
      </c>
      <c r="R368" s="7" t="s">
        <v>2978</v>
      </c>
      <c r="S368" s="15" t="s">
        <v>2990</v>
      </c>
      <c r="T368" s="15" t="s">
        <v>2643</v>
      </c>
      <c r="U368" s="15" t="s">
        <v>2665</v>
      </c>
      <c r="V368" s="4" t="s">
        <v>2640</v>
      </c>
      <c r="W368" s="15" t="s">
        <v>2650</v>
      </c>
      <c r="X368" s="4" t="str">
        <f>_xlfn.XLOOKUP(V368,Reference!$O:$O,Reference!$N:$N,"Tidak Ketemu")</f>
        <v>G12</v>
      </c>
      <c r="Y368" s="4" t="str">
        <f t="shared" si="23"/>
        <v>TK/0</v>
      </c>
      <c r="Z368" s="10">
        <v>351948260410000</v>
      </c>
      <c r="AA368" s="10">
        <v>19065194821</v>
      </c>
      <c r="AB368" s="4">
        <v>3519482672</v>
      </c>
      <c r="AC368" s="7" t="s">
        <v>3728</v>
      </c>
      <c r="AD368" s="10">
        <v>2750391847</v>
      </c>
      <c r="AE368" s="6">
        <v>81293847216</v>
      </c>
      <c r="AF368" s="6" t="s">
        <v>3791</v>
      </c>
      <c r="AG368" s="6" t="s">
        <v>731</v>
      </c>
      <c r="AN368" s="4"/>
    </row>
    <row r="369" spans="1:40" x14ac:dyDescent="0.35">
      <c r="A369" s="5">
        <v>202389929</v>
      </c>
      <c r="B369" s="16" t="s">
        <v>3466</v>
      </c>
      <c r="C369" s="5" t="s">
        <v>3644</v>
      </c>
      <c r="D369" s="5" t="s">
        <v>3554</v>
      </c>
      <c r="E369" s="6" t="s">
        <v>3436</v>
      </c>
      <c r="F369" s="7">
        <v>36220</v>
      </c>
      <c r="G369" s="10" t="s">
        <v>648</v>
      </c>
      <c r="H369" s="15" t="s">
        <v>666</v>
      </c>
      <c r="I369" s="4">
        <f>MIN(COUNTIFS('Data Family'!A:A,A369,'Data Family'!F:F,"Child")+COUNTIFS('Data Family'!A:A,A369,'Data Family'!F:F,"&lt;&gt;Child",'Data Family'!J:J,"Housewife")+COUNTIFS('Data Family'!A:A,A369,'Data Family'!F:F,"&lt;&gt;Child",'Data Family'!J:J,"Unemployment"),3)</f>
        <v>0</v>
      </c>
      <c r="J369" s="10" t="s">
        <v>791</v>
      </c>
      <c r="K369" s="7" t="s">
        <v>691</v>
      </c>
      <c r="L369" s="7">
        <v>45047</v>
      </c>
      <c r="M369" s="7">
        <v>46143</v>
      </c>
      <c r="N369" s="7"/>
      <c r="O369" s="4" t="str">
        <f ca="1">IF(AND(M369&lt;&gt;"", M369&lt;=TODAY(), N369=""), "End of Contract", "")</f>
        <v>End of Contract</v>
      </c>
      <c r="P369" s="4" t="str">
        <f t="shared" ca="1" si="27"/>
        <v>Non-Active</v>
      </c>
      <c r="Q369" s="4" t="str">
        <f t="shared" si="24"/>
        <v>PKWT</v>
      </c>
      <c r="R369" s="7" t="s">
        <v>2978</v>
      </c>
      <c r="S369" s="15" t="s">
        <v>2991</v>
      </c>
      <c r="T369" s="15" t="s">
        <v>739</v>
      </c>
      <c r="U369" s="15" t="s">
        <v>3000</v>
      </c>
      <c r="V369" s="4" t="s">
        <v>659</v>
      </c>
      <c r="W369" s="15" t="s">
        <v>819</v>
      </c>
      <c r="X369" s="4" t="str">
        <f>_xlfn.XLOOKUP(V369,Reference!$O:$O,Reference!$N:$N,"Tidak Ketemu")</f>
        <v>G11</v>
      </c>
      <c r="Y369" s="4" t="str">
        <f t="shared" si="23"/>
        <v>TK/0</v>
      </c>
      <c r="Z369" s="10">
        <v>162948370520000</v>
      </c>
      <c r="AA369" s="10">
        <v>17076294831</v>
      </c>
      <c r="AB369" s="4">
        <v>1629483715</v>
      </c>
      <c r="AC369" s="7" t="s">
        <v>3728</v>
      </c>
      <c r="AD369" s="10">
        <v>529384176</v>
      </c>
      <c r="AE369" s="6">
        <v>81382938475</v>
      </c>
      <c r="AF369" s="6" t="s">
        <v>3792</v>
      </c>
      <c r="AG369" s="6" t="s">
        <v>818</v>
      </c>
      <c r="AN369" s="4"/>
    </row>
    <row r="370" spans="1:40" x14ac:dyDescent="0.35">
      <c r="A370" s="5">
        <v>202162175</v>
      </c>
      <c r="B370" s="16" t="s">
        <v>3467</v>
      </c>
      <c r="C370" s="5" t="s">
        <v>3645</v>
      </c>
      <c r="D370" s="5" t="s">
        <v>3555</v>
      </c>
      <c r="E370" s="6" t="s">
        <v>649</v>
      </c>
      <c r="F370" s="7">
        <v>34831</v>
      </c>
      <c r="G370" s="10" t="s">
        <v>648</v>
      </c>
      <c r="H370" s="15" t="s">
        <v>651</v>
      </c>
      <c r="I370" s="4">
        <f>MIN(COUNTIFS('Data Family'!A:A,A370,'Data Family'!F:F,"Child")+COUNTIFS('Data Family'!A:A,A370,'Data Family'!F:F,"&lt;&gt;Child",'Data Family'!J:J,"Housewife")+COUNTIFS('Data Family'!A:A,A370,'Data Family'!F:F,"&lt;&gt;Child",'Data Family'!J:J,"Unemployment"),3)</f>
        <v>0</v>
      </c>
      <c r="J370" s="10" t="s">
        <v>791</v>
      </c>
      <c r="K370" s="7" t="s">
        <v>677</v>
      </c>
      <c r="L370" s="7">
        <v>44420</v>
      </c>
      <c r="M370" s="7">
        <v>44785</v>
      </c>
      <c r="N370" s="7"/>
      <c r="O370" s="4" t="str">
        <f ca="1">IF(AND(M370&lt;&gt;"", M370&lt;=TODAY(), N370=""), "End of Contract", "")</f>
        <v>End of Contract</v>
      </c>
      <c r="P370" s="4" t="str">
        <f t="shared" ca="1" si="27"/>
        <v>Non-Active</v>
      </c>
      <c r="Q370" s="4" t="str">
        <f t="shared" si="24"/>
        <v>PKWT</v>
      </c>
      <c r="R370" s="7" t="s">
        <v>2982</v>
      </c>
      <c r="S370" s="15" t="s">
        <v>2682</v>
      </c>
      <c r="T370" s="15" t="s">
        <v>681</v>
      </c>
      <c r="U370" s="15" t="s">
        <v>2995</v>
      </c>
      <c r="V370" s="4" t="s">
        <v>2624</v>
      </c>
      <c r="W370" s="15" t="s">
        <v>3066</v>
      </c>
      <c r="X370" s="4" t="str">
        <f>_xlfn.XLOOKUP(V370,Reference!$O:$O,Reference!$N:$N,"Tidak Ketemu")</f>
        <v>G07</v>
      </c>
      <c r="Y370" s="4" t="str">
        <f t="shared" si="23"/>
        <v>K/0</v>
      </c>
      <c r="Z370" s="10">
        <v>273948150630000</v>
      </c>
      <c r="AA370" s="10">
        <v>18087394812</v>
      </c>
      <c r="AB370" s="4">
        <v>2739481562</v>
      </c>
      <c r="AC370" s="7" t="s">
        <v>3728</v>
      </c>
      <c r="AD370" s="10">
        <v>23101094837501</v>
      </c>
      <c r="AE370" s="6">
        <v>85719384725</v>
      </c>
      <c r="AF370" s="6" t="s">
        <v>3793</v>
      </c>
      <c r="AG370" s="6" t="s">
        <v>778</v>
      </c>
      <c r="AN370" s="4"/>
    </row>
    <row r="371" spans="1:40" x14ac:dyDescent="0.35">
      <c r="A371" s="5">
        <v>202237363</v>
      </c>
      <c r="B371" s="16" t="s">
        <v>3453</v>
      </c>
      <c r="C371" s="5" t="s">
        <v>3646</v>
      </c>
      <c r="D371" s="5" t="s">
        <v>3556</v>
      </c>
      <c r="E371" s="6" t="s">
        <v>664</v>
      </c>
      <c r="F371" s="7">
        <v>35398</v>
      </c>
      <c r="G371" s="10" t="s">
        <v>648</v>
      </c>
      <c r="H371" s="15" t="s">
        <v>666</v>
      </c>
      <c r="I371" s="4">
        <f>MIN(COUNTIFS('Data Family'!A:A,A371,'Data Family'!F:F,"Child")+COUNTIFS('Data Family'!A:A,A371,'Data Family'!F:F,"&lt;&gt;Child",'Data Family'!J:J,"Housewife")+COUNTIFS('Data Family'!A:A,A371,'Data Family'!F:F,"&lt;&gt;Child",'Data Family'!J:J,"Unemployment"),3)</f>
        <v>0</v>
      </c>
      <c r="J371" s="10" t="s">
        <v>791</v>
      </c>
      <c r="K371" s="7" t="s">
        <v>701</v>
      </c>
      <c r="L371" s="7">
        <v>44680</v>
      </c>
      <c r="M371" s="7">
        <v>45045</v>
      </c>
      <c r="N371" s="7">
        <v>44885</v>
      </c>
      <c r="O371" s="4" t="s">
        <v>2674</v>
      </c>
      <c r="P371" s="4" t="str">
        <f t="shared" ca="1" si="27"/>
        <v>Non-Active</v>
      </c>
      <c r="Q371" s="4" t="str">
        <f t="shared" si="24"/>
        <v>PKWT</v>
      </c>
      <c r="R371" s="7" t="s">
        <v>2982</v>
      </c>
      <c r="S371" s="15" t="s">
        <v>2686</v>
      </c>
      <c r="T371" s="15" t="s">
        <v>657</v>
      </c>
      <c r="U371" s="15" t="s">
        <v>2998</v>
      </c>
      <c r="V371" s="4" t="s">
        <v>3072</v>
      </c>
      <c r="W371" s="15" t="s">
        <v>3055</v>
      </c>
      <c r="X371" s="4" t="str">
        <f>_xlfn.XLOOKUP(V371,Reference!$O:$O,Reference!$N:$N,"Tidak Ketemu")</f>
        <v>G09</v>
      </c>
      <c r="Y371" s="4" t="str">
        <f t="shared" si="23"/>
        <v>TK/0</v>
      </c>
      <c r="Z371" s="10">
        <v>194827360140000</v>
      </c>
      <c r="AA371" s="10">
        <v>17019482735</v>
      </c>
      <c r="AB371" s="4">
        <v>1948273651</v>
      </c>
      <c r="AC371" s="7" t="s">
        <v>3728</v>
      </c>
      <c r="AD371" s="10">
        <v>708392817400</v>
      </c>
      <c r="AE371" s="6">
        <v>81939482716</v>
      </c>
      <c r="AF371" s="6" t="s">
        <v>3794</v>
      </c>
      <c r="AG371" s="6" t="s">
        <v>694</v>
      </c>
      <c r="AN371" s="4"/>
    </row>
    <row r="372" spans="1:40" x14ac:dyDescent="0.35">
      <c r="A372" s="5">
        <v>202280335</v>
      </c>
      <c r="B372" s="16" t="s">
        <v>3468</v>
      </c>
      <c r="C372" s="5" t="s">
        <v>3647</v>
      </c>
      <c r="D372" s="5" t="s">
        <v>3557</v>
      </c>
      <c r="E372" s="6" t="s">
        <v>664</v>
      </c>
      <c r="F372" s="7">
        <v>34747</v>
      </c>
      <c r="G372" s="10" t="s">
        <v>648</v>
      </c>
      <c r="H372" s="15" t="s">
        <v>666</v>
      </c>
      <c r="I372" s="4">
        <f>MIN(COUNTIFS('Data Family'!A:A,A372,'Data Family'!F:F,"Child")+COUNTIFS('Data Family'!A:A,A372,'Data Family'!F:F,"&lt;&gt;Child",'Data Family'!J:J,"Housewife")+COUNTIFS('Data Family'!A:A,A372,'Data Family'!F:F,"&lt;&gt;Child",'Data Family'!J:J,"Unemployment"),3)</f>
        <v>0</v>
      </c>
      <c r="J372" s="10" t="s">
        <v>791</v>
      </c>
      <c r="K372" s="7" t="s">
        <v>701</v>
      </c>
      <c r="L372" s="7">
        <v>44729</v>
      </c>
      <c r="M372" s="7">
        <v>45460</v>
      </c>
      <c r="N372" s="7">
        <v>45336</v>
      </c>
      <c r="O372" s="4" t="s">
        <v>2674</v>
      </c>
      <c r="P372" s="4" t="str">
        <f t="shared" ca="1" si="27"/>
        <v>Non-Active</v>
      </c>
      <c r="Q372" s="4" t="str">
        <f t="shared" si="24"/>
        <v>PKWT</v>
      </c>
      <c r="R372" s="7" t="s">
        <v>2982</v>
      </c>
      <c r="S372" s="15" t="s">
        <v>2687</v>
      </c>
      <c r="T372" s="15" t="s">
        <v>657</v>
      </c>
      <c r="U372" s="15" t="s">
        <v>2997</v>
      </c>
      <c r="V372" s="4" t="s">
        <v>670</v>
      </c>
      <c r="W372" s="15" t="s">
        <v>916</v>
      </c>
      <c r="X372" s="4" t="str">
        <f>_xlfn.XLOOKUP(V372,Reference!$O:$O,Reference!$N:$N,"Tidak Ketemu")</f>
        <v>G13</v>
      </c>
      <c r="Y372" s="4" t="str">
        <f t="shared" si="23"/>
        <v>TK/0</v>
      </c>
      <c r="Z372" s="10">
        <v>325194830250000</v>
      </c>
      <c r="AA372" s="10">
        <v>19022519481</v>
      </c>
      <c r="AB372" s="4">
        <v>3251948364</v>
      </c>
      <c r="AC372" s="7" t="s">
        <v>3728</v>
      </c>
      <c r="AD372" s="10">
        <v>1320018473925</v>
      </c>
      <c r="AE372" s="6">
        <v>81283947215</v>
      </c>
      <c r="AF372" s="6" t="s">
        <v>3795</v>
      </c>
      <c r="AG372" s="6" t="s">
        <v>656</v>
      </c>
      <c r="AN372" s="4"/>
    </row>
    <row r="373" spans="1:40" x14ac:dyDescent="0.35">
      <c r="A373" s="5">
        <v>202493153</v>
      </c>
      <c r="B373" s="16" t="s">
        <v>3469</v>
      </c>
      <c r="C373" s="5" t="s">
        <v>3648</v>
      </c>
      <c r="D373" s="5" t="s">
        <v>3558</v>
      </c>
      <c r="E373" s="6" t="s">
        <v>3437</v>
      </c>
      <c r="F373" s="7">
        <v>36746</v>
      </c>
      <c r="G373" s="10" t="s">
        <v>676</v>
      </c>
      <c r="H373" s="15" t="s">
        <v>666</v>
      </c>
      <c r="I373" s="4">
        <f>MIN(COUNTIFS('Data Family'!A:A,A373,'Data Family'!F:F,"Child")+COUNTIFS('Data Family'!A:A,A373,'Data Family'!F:F,"&lt;&gt;Child",'Data Family'!J:J,"Housewife")+COUNTIFS('Data Family'!A:A,A373,'Data Family'!F:F,"&lt;&gt;Child",'Data Family'!J:J,"Unemployment"),3)</f>
        <v>0</v>
      </c>
      <c r="J373" s="10" t="s">
        <v>791</v>
      </c>
      <c r="K373" s="7" t="s">
        <v>701</v>
      </c>
      <c r="L373" s="7">
        <v>45299</v>
      </c>
      <c r="M373" s="7">
        <v>46030</v>
      </c>
      <c r="N373" s="7"/>
      <c r="O373" s="4" t="str">
        <f t="shared" ref="O373:O380" ca="1" si="28">IF(AND(M373&lt;&gt;"", M373&lt;=TODAY(), N373=""), "End of Contract", "")</f>
        <v>End of Contract</v>
      </c>
      <c r="P373" s="4" t="str">
        <f t="shared" ca="1" si="27"/>
        <v>Non-Active</v>
      </c>
      <c r="Q373" s="4" t="str">
        <f t="shared" si="24"/>
        <v>PKWT</v>
      </c>
      <c r="R373" s="7" t="s">
        <v>2978</v>
      </c>
      <c r="S373" s="15" t="s">
        <v>2991</v>
      </c>
      <c r="T373" s="15" t="s">
        <v>794</v>
      </c>
      <c r="U373" s="15" t="s">
        <v>2694</v>
      </c>
      <c r="V373" s="4" t="s">
        <v>2640</v>
      </c>
      <c r="W373" s="15" t="s">
        <v>3051</v>
      </c>
      <c r="X373" s="4" t="str">
        <f>_xlfn.XLOOKUP(V373,Reference!$O:$O,Reference!$N:$N,"Tidak Ketemu")</f>
        <v>G12</v>
      </c>
      <c r="Y373" s="4" t="str">
        <f t="shared" si="23"/>
        <v>TK/0</v>
      </c>
      <c r="Z373" s="10">
        <v>149382710360000</v>
      </c>
      <c r="AA373" s="10">
        <v>16034938271</v>
      </c>
      <c r="AB373" s="4">
        <v>1493827156</v>
      </c>
      <c r="AC373" s="7" t="s">
        <v>3728</v>
      </c>
      <c r="AD373" s="10">
        <v>6040291835</v>
      </c>
      <c r="AE373" s="6">
        <v>81394857102</v>
      </c>
      <c r="AF373" s="6" t="s">
        <v>3796</v>
      </c>
      <c r="AG373" s="6" t="s">
        <v>778</v>
      </c>
      <c r="AN373" s="4"/>
    </row>
    <row r="374" spans="1:40" x14ac:dyDescent="0.35">
      <c r="A374" s="5">
        <v>202572966</v>
      </c>
      <c r="B374" s="16" t="s">
        <v>3470</v>
      </c>
      <c r="C374" s="5" t="s">
        <v>3649</v>
      </c>
      <c r="D374" s="5" t="s">
        <v>3559</v>
      </c>
      <c r="E374" s="6" t="s">
        <v>742</v>
      </c>
      <c r="F374" s="7">
        <v>37000</v>
      </c>
      <c r="G374" s="10" t="s">
        <v>648</v>
      </c>
      <c r="H374" s="15" t="s">
        <v>666</v>
      </c>
      <c r="I374" s="4">
        <f>MIN(COUNTIFS('Data Family'!A:A,A374,'Data Family'!F:F,"Child")+COUNTIFS('Data Family'!A:A,A374,'Data Family'!F:F,"&lt;&gt;Child",'Data Family'!J:J,"Housewife")+COUNTIFS('Data Family'!A:A,A374,'Data Family'!F:F,"&lt;&gt;Child",'Data Family'!J:J,"Unemployment"),3)</f>
        <v>0</v>
      </c>
      <c r="J374" s="10" t="s">
        <v>791</v>
      </c>
      <c r="K374" s="7" t="s">
        <v>701</v>
      </c>
      <c r="L374" s="7">
        <v>45735</v>
      </c>
      <c r="M374" s="7">
        <v>46100</v>
      </c>
      <c r="N374" s="7"/>
      <c r="O374" s="4" t="str">
        <f t="shared" ca="1" si="28"/>
        <v>End of Contract</v>
      </c>
      <c r="P374" s="4" t="str">
        <f t="shared" ca="1" si="27"/>
        <v>Non-Active</v>
      </c>
      <c r="Q374" s="4" t="str">
        <f t="shared" si="24"/>
        <v>PKWT</v>
      </c>
      <c r="R374" s="7" t="s">
        <v>2978</v>
      </c>
      <c r="S374" s="15" t="s">
        <v>2991</v>
      </c>
      <c r="T374" s="15" t="s">
        <v>2643</v>
      </c>
      <c r="U374" s="15" t="s">
        <v>2665</v>
      </c>
      <c r="V374" s="4" t="s">
        <v>659</v>
      </c>
      <c r="W374" s="15" t="s">
        <v>2649</v>
      </c>
      <c r="X374" s="4" t="str">
        <f>_xlfn.XLOOKUP(V374,Reference!$O:$O,Reference!$N:$N,"Tidak Ketemu")</f>
        <v>G11</v>
      </c>
      <c r="Y374" s="4" t="str">
        <f t="shared" si="23"/>
        <v>TK/0</v>
      </c>
      <c r="Z374" s="10">
        <v>251938460410000</v>
      </c>
      <c r="AA374" s="10">
        <v>18045193842</v>
      </c>
      <c r="AB374" s="4">
        <v>2519384673</v>
      </c>
      <c r="AC374" s="7" t="s">
        <v>3728</v>
      </c>
      <c r="AD374" s="10">
        <v>619283745</v>
      </c>
      <c r="AE374" s="6">
        <v>85619384726</v>
      </c>
      <c r="AF374" s="6" t="s">
        <v>3797</v>
      </c>
      <c r="AG374" s="6" t="s">
        <v>680</v>
      </c>
      <c r="AN374" s="4"/>
    </row>
    <row r="375" spans="1:40" x14ac:dyDescent="0.35">
      <c r="A375" s="5">
        <v>202331160</v>
      </c>
      <c r="B375" s="16" t="s">
        <v>3471</v>
      </c>
      <c r="C375" s="5" t="s">
        <v>3650</v>
      </c>
      <c r="D375" s="5" t="s">
        <v>3560</v>
      </c>
      <c r="E375" s="6" t="s">
        <v>742</v>
      </c>
      <c r="F375" s="7">
        <v>36475</v>
      </c>
      <c r="G375" s="10" t="s">
        <v>676</v>
      </c>
      <c r="H375" s="15" t="s">
        <v>666</v>
      </c>
      <c r="I375" s="4">
        <f>MIN(COUNTIFS('Data Family'!A:A,A375,'Data Family'!F:F,"Child")+COUNTIFS('Data Family'!A:A,A375,'Data Family'!F:F,"&lt;&gt;Child",'Data Family'!J:J,"Housewife")+COUNTIFS('Data Family'!A:A,A375,'Data Family'!F:F,"&lt;&gt;Child",'Data Family'!J:J,"Unemployment"),3)</f>
        <v>0</v>
      </c>
      <c r="J375" s="10" t="s">
        <v>791</v>
      </c>
      <c r="K375" s="7" t="s">
        <v>701</v>
      </c>
      <c r="L375" s="7">
        <v>45210</v>
      </c>
      <c r="M375" s="7">
        <v>45576</v>
      </c>
      <c r="N375" s="7"/>
      <c r="O375" s="4" t="str">
        <f t="shared" ca="1" si="28"/>
        <v>End of Contract</v>
      </c>
      <c r="P375" s="4" t="str">
        <f t="shared" ca="1" si="27"/>
        <v>Non-Active</v>
      </c>
      <c r="Q375" s="4" t="str">
        <f t="shared" si="24"/>
        <v>PKWT</v>
      </c>
      <c r="R375" s="7" t="s">
        <v>2982</v>
      </c>
      <c r="S375" s="15" t="s">
        <v>2643</v>
      </c>
      <c r="T375" s="15" t="s">
        <v>681</v>
      </c>
      <c r="U375" s="15" t="s">
        <v>2988</v>
      </c>
      <c r="V375" s="4" t="s">
        <v>659</v>
      </c>
      <c r="W375" s="15" t="s">
        <v>3067</v>
      </c>
      <c r="X375" s="4" t="str">
        <f>_xlfn.XLOOKUP(V375,Reference!$O:$O,Reference!$N:$N,"Tidak Ketemu")</f>
        <v>G11</v>
      </c>
      <c r="Y375" s="4" t="str">
        <f t="shared" si="23"/>
        <v>TK/0</v>
      </c>
      <c r="Z375" s="10">
        <v>362948150520000</v>
      </c>
      <c r="AA375" s="10">
        <v>19056294813</v>
      </c>
      <c r="AB375" s="4">
        <v>3629481571</v>
      </c>
      <c r="AC375" s="7" t="s">
        <v>3728</v>
      </c>
      <c r="AD375" s="10">
        <v>41501048293503</v>
      </c>
      <c r="AE375" s="6">
        <v>81210293845</v>
      </c>
      <c r="AF375" s="6" t="s">
        <v>3798</v>
      </c>
      <c r="AG375" s="6" t="s">
        <v>778</v>
      </c>
      <c r="AN375" s="4"/>
    </row>
    <row r="376" spans="1:40" x14ac:dyDescent="0.35">
      <c r="A376" s="5">
        <v>202330821</v>
      </c>
      <c r="B376" s="16" t="s">
        <v>3479</v>
      </c>
      <c r="C376" s="5" t="s">
        <v>3658</v>
      </c>
      <c r="D376" s="5" t="s">
        <v>3568</v>
      </c>
      <c r="E376" s="6" t="s">
        <v>742</v>
      </c>
      <c r="F376" s="7">
        <v>36136</v>
      </c>
      <c r="G376" s="10" t="s">
        <v>648</v>
      </c>
      <c r="H376" s="15" t="s">
        <v>666</v>
      </c>
      <c r="I376" s="4">
        <f>MIN(COUNTIFS('Data Family'!A:A,A376,'Data Family'!F:F,"Child")+COUNTIFS('Data Family'!A:A,A376,'Data Family'!F:F,"&lt;&gt;Child",'Data Family'!J:J,"Housewife")+COUNTIFS('Data Family'!A:A,A376,'Data Family'!F:F,"&lt;&gt;Child",'Data Family'!J:J,"Unemployment"),3)</f>
        <v>0</v>
      </c>
      <c r="J376" s="10" t="s">
        <v>3002</v>
      </c>
      <c r="K376" s="7" t="s">
        <v>691</v>
      </c>
      <c r="L376" s="7">
        <v>45084</v>
      </c>
      <c r="M376" s="7">
        <v>45815</v>
      </c>
      <c r="N376" s="7"/>
      <c r="O376" s="4" t="str">
        <f t="shared" ca="1" si="28"/>
        <v>End of Contract</v>
      </c>
      <c r="P376" s="4" t="str">
        <f t="shared" ca="1" si="27"/>
        <v>Non-Active</v>
      </c>
      <c r="Q376" s="4" t="str">
        <f t="shared" si="24"/>
        <v>PKWT</v>
      </c>
      <c r="R376" s="7" t="s">
        <v>2982</v>
      </c>
      <c r="S376" s="15" t="s">
        <v>2677</v>
      </c>
      <c r="T376" s="15" t="s">
        <v>739</v>
      </c>
      <c r="U376" s="15" t="s">
        <v>3000</v>
      </c>
      <c r="V376" s="4" t="s">
        <v>2640</v>
      </c>
      <c r="W376" s="15" t="s">
        <v>2639</v>
      </c>
      <c r="X376" s="4" t="str">
        <f>_xlfn.XLOOKUP(V376,Reference!$O:$O,Reference!$N:$N,"Tidak Ketemu")</f>
        <v>G12</v>
      </c>
      <c r="Y376" s="4" t="str">
        <f t="shared" si="23"/>
        <v>TK/0</v>
      </c>
      <c r="Z376" s="10">
        <v>118394270630000</v>
      </c>
      <c r="AA376" s="10">
        <v>16061839425</v>
      </c>
      <c r="AB376" s="4">
        <v>1183942761</v>
      </c>
      <c r="AC376" s="7" t="s">
        <v>3728</v>
      </c>
      <c r="AD376" s="10">
        <v>702938417500</v>
      </c>
      <c r="AE376" s="6">
        <v>81382938410</v>
      </c>
      <c r="AF376" s="6" t="s">
        <v>3799</v>
      </c>
      <c r="AG376" s="6" t="s">
        <v>694</v>
      </c>
      <c r="AN376" s="4"/>
    </row>
    <row r="377" spans="1:40" x14ac:dyDescent="0.35">
      <c r="A377" s="5">
        <v>202456371</v>
      </c>
      <c r="B377" s="16" t="s">
        <v>3482</v>
      </c>
      <c r="C377" s="5" t="s">
        <v>3662</v>
      </c>
      <c r="D377" s="5" t="s">
        <v>3572</v>
      </c>
      <c r="E377" s="6" t="s">
        <v>809</v>
      </c>
      <c r="F377" s="7">
        <v>36810</v>
      </c>
      <c r="G377" s="10" t="s">
        <v>676</v>
      </c>
      <c r="H377" s="15" t="s">
        <v>666</v>
      </c>
      <c r="I377" s="4">
        <f>MIN(COUNTIFS('Data Family'!A:A,A377,'Data Family'!F:F,"Child")+COUNTIFS('Data Family'!A:A,A377,'Data Family'!F:F,"&lt;&gt;Child",'Data Family'!J:J,"Housewife")+COUNTIFS('Data Family'!A:A,A377,'Data Family'!F:F,"&lt;&gt;Child",'Data Family'!J:J,"Unemployment"),3)</f>
        <v>0</v>
      </c>
      <c r="J377" s="10" t="s">
        <v>791</v>
      </c>
      <c r="K377" s="7" t="s">
        <v>691</v>
      </c>
      <c r="L377" s="7">
        <v>45393</v>
      </c>
      <c r="M377" s="7">
        <v>45758</v>
      </c>
      <c r="N377" s="7"/>
      <c r="O377" s="4" t="str">
        <f t="shared" ca="1" si="28"/>
        <v>End of Contract</v>
      </c>
      <c r="P377" s="4" t="str">
        <f t="shared" ca="1" si="27"/>
        <v>Non-Active</v>
      </c>
      <c r="Q377" s="4" t="str">
        <f t="shared" si="24"/>
        <v>PKWT</v>
      </c>
      <c r="R377" s="7" t="s">
        <v>2978</v>
      </c>
      <c r="S377" s="15" t="s">
        <v>2991</v>
      </c>
      <c r="T377" s="15" t="s">
        <v>657</v>
      </c>
      <c r="U377" s="15" t="s">
        <v>2996</v>
      </c>
      <c r="V377" s="4" t="s">
        <v>2640</v>
      </c>
      <c r="W377" s="15" t="s">
        <v>658</v>
      </c>
      <c r="X377" s="4" t="str">
        <f>_xlfn.XLOOKUP(V377,Reference!$O:$O,Reference!$N:$N,"Tidak Ketemu")</f>
        <v>G12</v>
      </c>
      <c r="Y377" s="4" t="str">
        <f t="shared" si="23"/>
        <v>TK/0</v>
      </c>
      <c r="Z377" s="10">
        <v>239481520140000</v>
      </c>
      <c r="AA377" s="10">
        <v>18073948151</v>
      </c>
      <c r="AB377" s="4">
        <v>2394815263</v>
      </c>
      <c r="AC377" s="7" t="s">
        <v>3728</v>
      </c>
      <c r="AD377" s="10">
        <v>1410018472936</v>
      </c>
      <c r="AE377" s="6">
        <v>87819384725</v>
      </c>
      <c r="AF377" s="6" t="s">
        <v>3800</v>
      </c>
      <c r="AG377" s="6" t="s">
        <v>656</v>
      </c>
      <c r="AN377" s="4"/>
    </row>
    <row r="378" spans="1:40" x14ac:dyDescent="0.35">
      <c r="A378" s="5">
        <v>202278617</v>
      </c>
      <c r="B378" s="16" t="s">
        <v>3483</v>
      </c>
      <c r="C378" s="5" t="s">
        <v>3663</v>
      </c>
      <c r="D378" s="5" t="s">
        <v>3573</v>
      </c>
      <c r="E378" s="6" t="s">
        <v>649</v>
      </c>
      <c r="F378" s="7">
        <v>36037</v>
      </c>
      <c r="G378" s="10" t="s">
        <v>676</v>
      </c>
      <c r="H378" s="15" t="s">
        <v>666</v>
      </c>
      <c r="I378" s="4">
        <f>MIN(COUNTIFS('Data Family'!A:A,A378,'Data Family'!F:F,"Child")+COUNTIFS('Data Family'!A:A,A378,'Data Family'!F:F,"&lt;&gt;Child",'Data Family'!J:J,"Housewife")+COUNTIFS('Data Family'!A:A,A378,'Data Family'!F:F,"&lt;&gt;Child",'Data Family'!J:J,"Unemployment"),3)</f>
        <v>0</v>
      </c>
      <c r="J378" s="10" t="s">
        <v>791</v>
      </c>
      <c r="K378" s="7" t="s">
        <v>691</v>
      </c>
      <c r="L378" s="7">
        <v>44925</v>
      </c>
      <c r="M378" s="7">
        <v>45656</v>
      </c>
      <c r="N378" s="7"/>
      <c r="O378" s="4" t="str">
        <f t="shared" ca="1" si="28"/>
        <v>End of Contract</v>
      </c>
      <c r="P378" s="4" t="str">
        <f t="shared" ca="1" si="27"/>
        <v>Non-Active</v>
      </c>
      <c r="Q378" s="4" t="str">
        <f t="shared" si="24"/>
        <v>PKWT</v>
      </c>
      <c r="R378" s="7" t="s">
        <v>2981</v>
      </c>
      <c r="S378" s="15" t="s">
        <v>2683</v>
      </c>
      <c r="T378" s="15" t="s">
        <v>681</v>
      </c>
      <c r="U378" s="15" t="s">
        <v>2995</v>
      </c>
      <c r="V378" s="4" t="s">
        <v>2640</v>
      </c>
      <c r="W378" s="15" t="s">
        <v>2666</v>
      </c>
      <c r="X378" s="4" t="str">
        <f>_xlfn.XLOOKUP(V378,Reference!$O:$O,Reference!$N:$N,"Tidak Ketemu")</f>
        <v>G12</v>
      </c>
      <c r="Y378" s="4" t="str">
        <f t="shared" si="23"/>
        <v>TK/0</v>
      </c>
      <c r="Z378" s="10">
        <v>341938470250000</v>
      </c>
      <c r="AA378" s="10">
        <v>19084193842</v>
      </c>
      <c r="AB378" s="4">
        <v>3419384761</v>
      </c>
      <c r="AC378" s="7" t="s">
        <v>3728</v>
      </c>
      <c r="AD378" s="10">
        <v>4530291846</v>
      </c>
      <c r="AE378" s="6">
        <v>81293847152</v>
      </c>
      <c r="AF378" s="6" t="s">
        <v>3801</v>
      </c>
      <c r="AG378" s="6" t="s">
        <v>818</v>
      </c>
      <c r="AN378" s="4"/>
    </row>
    <row r="379" spans="1:40" x14ac:dyDescent="0.35">
      <c r="A379" s="5">
        <v>202335074</v>
      </c>
      <c r="B379" s="16" t="s">
        <v>3485</v>
      </c>
      <c r="C379" s="5" t="s">
        <v>3665</v>
      </c>
      <c r="D379" s="5" t="s">
        <v>3575</v>
      </c>
      <c r="E379" s="6" t="s">
        <v>649</v>
      </c>
      <c r="F379" s="7">
        <v>35887</v>
      </c>
      <c r="G379" s="10" t="s">
        <v>676</v>
      </c>
      <c r="H379" s="15" t="s">
        <v>666</v>
      </c>
      <c r="I379" s="4">
        <f>MIN(COUNTIFS('Data Family'!A:A,A379,'Data Family'!F:F,"Child")+COUNTIFS('Data Family'!A:A,A379,'Data Family'!F:F,"&lt;&gt;Child",'Data Family'!J:J,"Housewife")+COUNTIFS('Data Family'!A:A,A379,'Data Family'!F:F,"&lt;&gt;Child",'Data Family'!J:J,"Unemployment"),3)</f>
        <v>0</v>
      </c>
      <c r="J379" s="10" t="s">
        <v>791</v>
      </c>
      <c r="K379" s="7" t="s">
        <v>701</v>
      </c>
      <c r="L379" s="7">
        <v>45232</v>
      </c>
      <c r="M379" s="7">
        <v>45598</v>
      </c>
      <c r="N379" s="7"/>
      <c r="O379" s="4" t="str">
        <f t="shared" ca="1" si="28"/>
        <v>End of Contract</v>
      </c>
      <c r="P379" s="4" t="str">
        <f t="shared" ca="1" si="27"/>
        <v>Non-Active</v>
      </c>
      <c r="Q379" s="4" t="str">
        <f t="shared" si="24"/>
        <v>PKWT</v>
      </c>
      <c r="R379" s="7" t="s">
        <v>2982</v>
      </c>
      <c r="S379" s="15" t="s">
        <v>2682</v>
      </c>
      <c r="T379" s="15" t="s">
        <v>714</v>
      </c>
      <c r="U379" s="15" t="s">
        <v>714</v>
      </c>
      <c r="V379" s="4" t="s">
        <v>659</v>
      </c>
      <c r="W379" s="15" t="s">
        <v>715</v>
      </c>
      <c r="X379" s="4" t="str">
        <f>_xlfn.XLOOKUP(V379,Reference!$O:$O,Reference!$N:$N,"Tidak Ketemu")</f>
        <v>G11</v>
      </c>
      <c r="Y379" s="4" t="str">
        <f t="shared" si="23"/>
        <v>TK/0</v>
      </c>
      <c r="Z379" s="10">
        <v>153948270360000</v>
      </c>
      <c r="AA379" s="10">
        <v>16015394823</v>
      </c>
      <c r="AB379" s="4">
        <v>1539482716</v>
      </c>
      <c r="AC379" s="7" t="s">
        <v>3728</v>
      </c>
      <c r="AD379" s="10">
        <v>739281746</v>
      </c>
      <c r="AE379" s="6">
        <v>81310394827</v>
      </c>
      <c r="AF379" s="6" t="s">
        <v>3802</v>
      </c>
      <c r="AG379" s="6" t="s">
        <v>680</v>
      </c>
      <c r="AN379" s="4"/>
    </row>
    <row r="380" spans="1:40" x14ac:dyDescent="0.35">
      <c r="A380" s="5">
        <v>202252678</v>
      </c>
      <c r="B380" s="16" t="s">
        <v>3486</v>
      </c>
      <c r="C380" s="5" t="s">
        <v>3666</v>
      </c>
      <c r="D380" s="5" t="s">
        <v>3576</v>
      </c>
      <c r="E380" s="6" t="s">
        <v>664</v>
      </c>
      <c r="F380" s="7">
        <v>36113</v>
      </c>
      <c r="G380" s="10" t="s">
        <v>676</v>
      </c>
      <c r="H380" s="15" t="s">
        <v>666</v>
      </c>
      <c r="I380" s="4">
        <f>MIN(COUNTIFS('Data Family'!A:A,A380,'Data Family'!F:F,"Child")+COUNTIFS('Data Family'!A:A,A380,'Data Family'!F:F,"&lt;&gt;Child",'Data Family'!J:J,"Housewife")+COUNTIFS('Data Family'!A:A,A380,'Data Family'!F:F,"&lt;&gt;Child",'Data Family'!J:J,"Unemployment"),3)</f>
        <v>0</v>
      </c>
      <c r="J380" s="10" t="s">
        <v>791</v>
      </c>
      <c r="K380" s="7" t="s">
        <v>691</v>
      </c>
      <c r="L380" s="7">
        <v>44695</v>
      </c>
      <c r="M380" s="7">
        <v>45791</v>
      </c>
      <c r="N380" s="7"/>
      <c r="O380" s="4" t="str">
        <f t="shared" ca="1" si="28"/>
        <v>End of Contract</v>
      </c>
      <c r="P380" s="4" t="str">
        <f t="shared" ca="1" si="27"/>
        <v>Non-Active</v>
      </c>
      <c r="Q380" s="4" t="str">
        <f t="shared" si="24"/>
        <v>PKWT</v>
      </c>
      <c r="R380" s="7" t="s">
        <v>2978</v>
      </c>
      <c r="S380" s="15" t="s">
        <v>2991</v>
      </c>
      <c r="T380" s="15" t="s">
        <v>657</v>
      </c>
      <c r="U380" s="15" t="s">
        <v>2996</v>
      </c>
      <c r="V380" s="4" t="s">
        <v>2640</v>
      </c>
      <c r="W380" s="15" t="s">
        <v>658</v>
      </c>
      <c r="X380" s="4" t="str">
        <f>_xlfn.XLOOKUP(V380,Reference!$O:$O,Reference!$N:$N,"Tidak Ketemu")</f>
        <v>G12</v>
      </c>
      <c r="Y380" s="4" t="str">
        <f t="shared" si="23"/>
        <v>TK/0</v>
      </c>
      <c r="Z380" s="10">
        <v>264918250410000</v>
      </c>
      <c r="AA380" s="10">
        <v>18026491821</v>
      </c>
      <c r="AB380" s="4">
        <v>2649182573</v>
      </c>
      <c r="AC380" s="7" t="s">
        <v>3728</v>
      </c>
      <c r="AD380" s="10">
        <v>53201083947501</v>
      </c>
      <c r="AE380" s="6">
        <v>85293847156</v>
      </c>
      <c r="AF380" s="6" t="s">
        <v>3803</v>
      </c>
      <c r="AG380" s="6" t="s">
        <v>694</v>
      </c>
      <c r="AN380" s="4"/>
    </row>
    <row r="381" spans="1:40" x14ac:dyDescent="0.35">
      <c r="A381" s="5">
        <v>202364609</v>
      </c>
      <c r="B381" s="16" t="s">
        <v>3488</v>
      </c>
      <c r="C381" s="5" t="s">
        <v>3668</v>
      </c>
      <c r="D381" s="5" t="s">
        <v>3578</v>
      </c>
      <c r="E381" s="6" t="s">
        <v>649</v>
      </c>
      <c r="F381" s="7">
        <v>36200</v>
      </c>
      <c r="G381" s="10" t="s">
        <v>648</v>
      </c>
      <c r="H381" s="15" t="s">
        <v>666</v>
      </c>
      <c r="I381" s="4">
        <f>MIN(COUNTIFS('Data Family'!A:A,A381,'Data Family'!F:F,"Child")+COUNTIFS('Data Family'!A:A,A381,'Data Family'!F:F,"&lt;&gt;Child",'Data Family'!J:J,"Housewife")+COUNTIFS('Data Family'!A:A,A381,'Data Family'!F:F,"&lt;&gt;Child",'Data Family'!J:J,"Unemployment"),3)</f>
        <v>0</v>
      </c>
      <c r="J381" s="10" t="s">
        <v>791</v>
      </c>
      <c r="K381" s="7" t="s">
        <v>677</v>
      </c>
      <c r="L381" s="7">
        <v>45147</v>
      </c>
      <c r="M381" s="7">
        <v>45513</v>
      </c>
      <c r="N381" s="7">
        <v>45513</v>
      </c>
      <c r="O381" s="4" t="s">
        <v>2674</v>
      </c>
      <c r="P381" s="4" t="str">
        <f t="shared" ca="1" si="27"/>
        <v>Non-Active</v>
      </c>
      <c r="Q381" s="4" t="str">
        <f t="shared" si="24"/>
        <v>PKWT</v>
      </c>
      <c r="R381" s="7" t="s">
        <v>2982</v>
      </c>
      <c r="S381" s="15" t="s">
        <v>2683</v>
      </c>
      <c r="T381" s="15" t="s">
        <v>794</v>
      </c>
      <c r="U381" s="15" t="s">
        <v>2694</v>
      </c>
      <c r="V381" s="4" t="s">
        <v>670</v>
      </c>
      <c r="W381" s="15" t="s">
        <v>2631</v>
      </c>
      <c r="X381" s="4" t="str">
        <f>_xlfn.XLOOKUP(V381,Reference!$O:$O,Reference!$N:$N,"Tidak Ketemu")</f>
        <v>G13</v>
      </c>
      <c r="Y381" s="4" t="str">
        <f t="shared" si="23"/>
        <v>TK/0</v>
      </c>
      <c r="Z381" s="10">
        <v>371938460520000</v>
      </c>
      <c r="AA381" s="10">
        <v>19037193842</v>
      </c>
      <c r="AB381" s="4">
        <v>3719384615</v>
      </c>
      <c r="AC381" s="7" t="s">
        <v>3728</v>
      </c>
      <c r="AD381" s="10">
        <v>705192837600</v>
      </c>
      <c r="AE381" s="6">
        <v>81294837105</v>
      </c>
      <c r="AF381" s="6" t="s">
        <v>3804</v>
      </c>
      <c r="AG381" s="6" t="s">
        <v>694</v>
      </c>
      <c r="AN381" s="4"/>
    </row>
    <row r="382" spans="1:40" x14ac:dyDescent="0.35">
      <c r="A382" s="5">
        <v>202319584</v>
      </c>
      <c r="B382" s="16" t="s">
        <v>3489</v>
      </c>
      <c r="C382" s="5" t="s">
        <v>3669</v>
      </c>
      <c r="D382" s="5" t="s">
        <v>3579</v>
      </c>
      <c r="E382" s="6" t="s">
        <v>3437</v>
      </c>
      <c r="F382" s="7">
        <v>35991</v>
      </c>
      <c r="G382" s="10" t="s">
        <v>648</v>
      </c>
      <c r="H382" s="15" t="s">
        <v>666</v>
      </c>
      <c r="I382" s="4">
        <f>MIN(COUNTIFS('Data Family'!A:A,A382,'Data Family'!F:F,"Child")+COUNTIFS('Data Family'!A:A,A382,'Data Family'!F:F,"&lt;&gt;Child",'Data Family'!J:J,"Housewife")+COUNTIFS('Data Family'!A:A,A382,'Data Family'!F:F,"&lt;&gt;Child",'Data Family'!J:J,"Unemployment"),3)</f>
        <v>0</v>
      </c>
      <c r="J382" s="10" t="s">
        <v>3002</v>
      </c>
      <c r="K382" s="7" t="s">
        <v>691</v>
      </c>
      <c r="L382" s="7">
        <v>45000</v>
      </c>
      <c r="M382" s="7">
        <v>45731</v>
      </c>
      <c r="N382" s="7"/>
      <c r="O382" s="4" t="str">
        <f ca="1">IF(AND(M382&lt;&gt;"", M382&lt;=TODAY(), N382=""), "End of Contract", "")</f>
        <v>End of Contract</v>
      </c>
      <c r="P382" s="4" t="str">
        <f t="shared" ca="1" si="27"/>
        <v>Non-Active</v>
      </c>
      <c r="Q382" s="4" t="str">
        <f t="shared" si="24"/>
        <v>PKWT</v>
      </c>
      <c r="R382" s="7" t="s">
        <v>2981</v>
      </c>
      <c r="S382" s="15" t="s">
        <v>2643</v>
      </c>
      <c r="T382" s="15" t="s">
        <v>739</v>
      </c>
      <c r="U382" s="15" t="s">
        <v>3000</v>
      </c>
      <c r="V382" s="4" t="s">
        <v>3073</v>
      </c>
      <c r="W382" s="15" t="s">
        <v>740</v>
      </c>
      <c r="X382" s="4" t="str">
        <f>_xlfn.XLOOKUP(V382,Reference!$O:$O,Reference!$N:$N,"Tidak Ketemu")</f>
        <v>G10</v>
      </c>
      <c r="Y382" s="4" t="str">
        <f t="shared" si="23"/>
        <v>TK/0</v>
      </c>
      <c r="Z382" s="10">
        <v>182947350630000</v>
      </c>
      <c r="AA382" s="10">
        <v>17048294731</v>
      </c>
      <c r="AB382" s="4">
        <v>1829473562</v>
      </c>
      <c r="AC382" s="7" t="s">
        <v>3728</v>
      </c>
      <c r="AD382" s="10">
        <v>1130019384726</v>
      </c>
      <c r="AE382" s="6">
        <v>81394810293</v>
      </c>
      <c r="AF382" s="6" t="s">
        <v>3805</v>
      </c>
      <c r="AG382" s="6" t="s">
        <v>694</v>
      </c>
      <c r="AN382" s="4"/>
    </row>
    <row r="383" spans="1:40" x14ac:dyDescent="0.35">
      <c r="A383" s="5">
        <v>202267731</v>
      </c>
      <c r="B383" s="16" t="s">
        <v>3493</v>
      </c>
      <c r="C383" s="5" t="s">
        <v>3673</v>
      </c>
      <c r="D383" s="5" t="s">
        <v>3583</v>
      </c>
      <c r="E383" s="6" t="s">
        <v>738</v>
      </c>
      <c r="F383" s="7">
        <v>35823</v>
      </c>
      <c r="G383" s="10" t="s">
        <v>648</v>
      </c>
      <c r="H383" s="15" t="s">
        <v>666</v>
      </c>
      <c r="I383" s="4">
        <f>MIN(COUNTIFS('Data Family'!A:A,A383,'Data Family'!F:F,"Child")+COUNTIFS('Data Family'!A:A,A383,'Data Family'!F:F,"&lt;&gt;Child",'Data Family'!J:J,"Housewife")+COUNTIFS('Data Family'!A:A,A383,'Data Family'!F:F,"&lt;&gt;Child",'Data Family'!J:J,"Unemployment"),3)</f>
        <v>0</v>
      </c>
      <c r="J383" s="10" t="s">
        <v>791</v>
      </c>
      <c r="K383" s="7" t="s">
        <v>691</v>
      </c>
      <c r="L383" s="7">
        <v>44801</v>
      </c>
      <c r="M383" s="7">
        <v>45166</v>
      </c>
      <c r="N383" s="7">
        <v>45166</v>
      </c>
      <c r="O383" s="4" t="s">
        <v>2674</v>
      </c>
      <c r="P383" s="4" t="str">
        <f t="shared" ca="1" si="27"/>
        <v>Non-Active</v>
      </c>
      <c r="Q383" s="4" t="str">
        <f t="shared" si="24"/>
        <v>PKWT</v>
      </c>
      <c r="R383" s="7" t="s">
        <v>2982</v>
      </c>
      <c r="S383" s="15" t="s">
        <v>2677</v>
      </c>
      <c r="T383" s="15" t="s">
        <v>2643</v>
      </c>
      <c r="U383" s="15" t="s">
        <v>2676</v>
      </c>
      <c r="V383" s="4" t="s">
        <v>2640</v>
      </c>
      <c r="W383" s="15" t="s">
        <v>2653</v>
      </c>
      <c r="X383" s="4" t="str">
        <f>_xlfn.XLOOKUP(V383,Reference!$O:$O,Reference!$N:$N,"Tidak Ketemu")</f>
        <v>G12</v>
      </c>
      <c r="Y383" s="4" t="str">
        <f t="shared" si="23"/>
        <v>TK/0</v>
      </c>
      <c r="Z383" s="10">
        <v>293846150140000</v>
      </c>
      <c r="AA383" s="10">
        <v>18059384612</v>
      </c>
      <c r="AB383" s="4">
        <v>2938461571</v>
      </c>
      <c r="AC383" s="7" t="s">
        <v>3728</v>
      </c>
      <c r="AD383" s="10">
        <v>7120193845</v>
      </c>
      <c r="AE383" s="6">
        <v>85619384715</v>
      </c>
      <c r="AF383" s="6" t="s">
        <v>3806</v>
      </c>
      <c r="AG383" s="6" t="s">
        <v>778</v>
      </c>
      <c r="AN383" s="4"/>
    </row>
    <row r="384" spans="1:40" x14ac:dyDescent="0.35">
      <c r="A384" s="5">
        <v>202433796</v>
      </c>
      <c r="B384" s="16" t="s">
        <v>3495</v>
      </c>
      <c r="C384" s="5" t="s">
        <v>3675</v>
      </c>
      <c r="D384" s="5" t="s">
        <v>3585</v>
      </c>
      <c r="E384" s="6" t="s">
        <v>689</v>
      </c>
      <c r="F384" s="7">
        <v>36470</v>
      </c>
      <c r="G384" s="10" t="s">
        <v>648</v>
      </c>
      <c r="H384" s="15" t="s">
        <v>666</v>
      </c>
      <c r="I384" s="4">
        <f>MIN(COUNTIFS('Data Family'!A:A,A384,'Data Family'!F:F,"Child")+COUNTIFS('Data Family'!A:A,A384,'Data Family'!F:F,"&lt;&gt;Child",'Data Family'!J:J,"Housewife")+COUNTIFS('Data Family'!A:A,A384,'Data Family'!F:F,"&lt;&gt;Child",'Data Family'!J:J,"Unemployment"),3)</f>
        <v>0</v>
      </c>
      <c r="J384" s="10" t="s">
        <v>791</v>
      </c>
      <c r="K384" s="7" t="s">
        <v>691</v>
      </c>
      <c r="L384" s="7">
        <v>45449</v>
      </c>
      <c r="M384" s="7">
        <v>46179</v>
      </c>
      <c r="N384" s="7"/>
      <c r="O384" s="4" t="str">
        <f t="shared" ref="O384:O389" ca="1" si="29">IF(AND(M384&lt;&gt;"", M384&lt;=TODAY(), N384=""), "End of Contract", "")</f>
        <v>End of Contract</v>
      </c>
      <c r="P384" s="4" t="str">
        <f t="shared" ca="1" si="27"/>
        <v>Non-Active</v>
      </c>
      <c r="Q384" s="4" t="str">
        <f t="shared" si="24"/>
        <v>PKWT</v>
      </c>
      <c r="R384" s="7" t="s">
        <v>2982</v>
      </c>
      <c r="S384" s="15" t="s">
        <v>2682</v>
      </c>
      <c r="T384" s="15" t="s">
        <v>739</v>
      </c>
      <c r="U384" s="15" t="s">
        <v>3000</v>
      </c>
      <c r="V384" s="4" t="s">
        <v>3073</v>
      </c>
      <c r="W384" s="15" t="s">
        <v>2638</v>
      </c>
      <c r="X384" s="4" t="str">
        <f>_xlfn.XLOOKUP(V384,Reference!$O:$O,Reference!$N:$N,"Tidak Ketemu")</f>
        <v>G10</v>
      </c>
      <c r="Y384" s="4" t="str">
        <f t="shared" si="23"/>
        <v>TK/0</v>
      </c>
      <c r="Z384" s="10">
        <v>128394150250000</v>
      </c>
      <c r="AA384" s="10">
        <v>16062839413</v>
      </c>
      <c r="AB384" s="4">
        <v>1283941562</v>
      </c>
      <c r="AC384" s="7" t="s">
        <v>3728</v>
      </c>
      <c r="AD384" s="10">
        <v>293817456</v>
      </c>
      <c r="AE384" s="6">
        <v>87819283746</v>
      </c>
      <c r="AF384" s="6" t="s">
        <v>3807</v>
      </c>
      <c r="AG384" s="6" t="s">
        <v>694</v>
      </c>
      <c r="AN384" s="4"/>
    </row>
    <row r="385" spans="1:40" x14ac:dyDescent="0.35">
      <c r="A385" s="5">
        <v>202544327</v>
      </c>
      <c r="B385" s="16" t="s">
        <v>3500</v>
      </c>
      <c r="C385" s="5" t="s">
        <v>3680</v>
      </c>
      <c r="D385" s="5" t="s">
        <v>3590</v>
      </c>
      <c r="E385" s="6" t="s">
        <v>738</v>
      </c>
      <c r="F385" s="7">
        <v>37117</v>
      </c>
      <c r="G385" s="10" t="s">
        <v>648</v>
      </c>
      <c r="H385" s="15" t="s">
        <v>666</v>
      </c>
      <c r="I385" s="4">
        <f>MIN(COUNTIFS('Data Family'!A:A,A385,'Data Family'!F:F,"Child")+COUNTIFS('Data Family'!A:A,A385,'Data Family'!F:F,"&lt;&gt;Child",'Data Family'!J:J,"Housewife")+COUNTIFS('Data Family'!A:A,A385,'Data Family'!F:F,"&lt;&gt;Child",'Data Family'!J:J,"Unemployment"),3)</f>
        <v>0</v>
      </c>
      <c r="J385" s="10" t="s">
        <v>791</v>
      </c>
      <c r="K385" s="7" t="s">
        <v>691</v>
      </c>
      <c r="L385" s="7">
        <v>45671</v>
      </c>
      <c r="M385" s="7">
        <v>46036</v>
      </c>
      <c r="N385" s="7"/>
      <c r="O385" s="4" t="str">
        <f t="shared" ca="1" si="29"/>
        <v>End of Contract</v>
      </c>
      <c r="P385" s="4" t="str">
        <f t="shared" ca="1" si="27"/>
        <v>Non-Active</v>
      </c>
      <c r="Q385" s="4" t="str">
        <f t="shared" si="24"/>
        <v>PKWT</v>
      </c>
      <c r="R385" s="7" t="s">
        <v>2981</v>
      </c>
      <c r="S385" s="15" t="s">
        <v>2683</v>
      </c>
      <c r="T385" s="15" t="s">
        <v>794</v>
      </c>
      <c r="U385" s="15" t="s">
        <v>2688</v>
      </c>
      <c r="V385" s="4" t="s">
        <v>2640</v>
      </c>
      <c r="W385" s="15" t="s">
        <v>3074</v>
      </c>
      <c r="X385" s="4" t="str">
        <f>_xlfn.XLOOKUP(V385,Reference!$O:$O,Reference!$N:$N,"Tidak Ketemu")</f>
        <v>G12</v>
      </c>
      <c r="Y385" s="4" t="str">
        <f t="shared" si="23"/>
        <v>TK/0</v>
      </c>
      <c r="Z385" s="10">
        <v>249182730360000</v>
      </c>
      <c r="AA385" s="10">
        <v>18074918271</v>
      </c>
      <c r="AB385" s="4">
        <v>2491827351</v>
      </c>
      <c r="AC385" s="7" t="s">
        <v>3728</v>
      </c>
      <c r="AD385" s="10">
        <v>14201048293506</v>
      </c>
      <c r="AE385" s="6">
        <v>81283746102</v>
      </c>
      <c r="AF385" s="6" t="s">
        <v>3808</v>
      </c>
      <c r="AG385" s="6" t="s">
        <v>778</v>
      </c>
      <c r="AN385" s="4"/>
    </row>
    <row r="386" spans="1:40" x14ac:dyDescent="0.35">
      <c r="A386" s="5">
        <v>202496287</v>
      </c>
      <c r="B386" s="16" t="s">
        <v>3503</v>
      </c>
      <c r="C386" s="5" t="s">
        <v>3683</v>
      </c>
      <c r="D386" s="5" t="s">
        <v>3593</v>
      </c>
      <c r="E386" s="6" t="s">
        <v>742</v>
      </c>
      <c r="F386" s="7">
        <v>36564</v>
      </c>
      <c r="G386" s="10" t="s">
        <v>648</v>
      </c>
      <c r="H386" s="15" t="s">
        <v>666</v>
      </c>
      <c r="I386" s="4">
        <f>MIN(COUNTIFS('Data Family'!A:A,A386,'Data Family'!F:F,"Child")+COUNTIFS('Data Family'!A:A,A386,'Data Family'!F:F,"&lt;&gt;Child",'Data Family'!J:J,"Housewife")+COUNTIFS('Data Family'!A:A,A386,'Data Family'!F:F,"&lt;&gt;Child",'Data Family'!J:J,"Unemployment"),3)</f>
        <v>0</v>
      </c>
      <c r="J386" s="10" t="s">
        <v>791</v>
      </c>
      <c r="K386" s="7" t="s">
        <v>701</v>
      </c>
      <c r="L386" s="7">
        <v>45481</v>
      </c>
      <c r="M386" s="7">
        <v>45846</v>
      </c>
      <c r="N386" s="7"/>
      <c r="O386" s="4" t="str">
        <f t="shared" ca="1" si="29"/>
        <v>End of Contract</v>
      </c>
      <c r="P386" s="4" t="str">
        <f t="shared" ca="1" si="27"/>
        <v>Non-Active</v>
      </c>
      <c r="Q386" s="4" t="str">
        <f t="shared" si="24"/>
        <v>PKWT</v>
      </c>
      <c r="R386" s="7" t="s">
        <v>2982</v>
      </c>
      <c r="S386" s="15" t="s">
        <v>2643</v>
      </c>
      <c r="T386" s="15" t="s">
        <v>681</v>
      </c>
      <c r="U386" s="15" t="s">
        <v>2988</v>
      </c>
      <c r="V386" s="4" t="s">
        <v>659</v>
      </c>
      <c r="W386" s="15" t="s">
        <v>3067</v>
      </c>
      <c r="X386" s="4" t="str">
        <f>_xlfn.XLOOKUP(V386,Reference!$O:$O,Reference!$N:$N,"Tidak Ketemu")</f>
        <v>G11</v>
      </c>
      <c r="Y386" s="4" t="str">
        <f t="shared" ref="Y386:Y402" si="30">IF(AND(G386="Female",H386="Married"),"TK/0",IF(H386="Married","K/"&amp;I386,"TK/"&amp;I386))</f>
        <v>TK/0</v>
      </c>
      <c r="Z386" s="10">
        <v>351928360410000</v>
      </c>
      <c r="AA386" s="10">
        <v>19085192832</v>
      </c>
      <c r="AB386" s="4">
        <v>3519283671</v>
      </c>
      <c r="AC386" s="7" t="s">
        <v>3728</v>
      </c>
      <c r="AD386" s="10">
        <v>709182374600</v>
      </c>
      <c r="AE386" s="6">
        <v>81392837465</v>
      </c>
      <c r="AF386" s="6" t="s">
        <v>3809</v>
      </c>
      <c r="AG386" s="6" t="s">
        <v>680</v>
      </c>
      <c r="AN386" s="4"/>
    </row>
    <row r="387" spans="1:40" x14ac:dyDescent="0.35">
      <c r="A387" s="5">
        <v>202327015</v>
      </c>
      <c r="B387" s="16" t="s">
        <v>3505</v>
      </c>
      <c r="C387" s="5" t="s">
        <v>3685</v>
      </c>
      <c r="D387" s="5" t="s">
        <v>3595</v>
      </c>
      <c r="E387" s="6" t="s">
        <v>768</v>
      </c>
      <c r="F387" s="7">
        <v>35515</v>
      </c>
      <c r="G387" s="10" t="s">
        <v>648</v>
      </c>
      <c r="H387" s="15" t="s">
        <v>666</v>
      </c>
      <c r="I387" s="4">
        <f>MIN(COUNTIFS('Data Family'!A:A,A387,'Data Family'!F:F,"Child")+COUNTIFS('Data Family'!A:A,A387,'Data Family'!F:F,"&lt;&gt;Child",'Data Family'!J:J,"Housewife")+COUNTIFS('Data Family'!A:A,A387,'Data Family'!F:F,"&lt;&gt;Child",'Data Family'!J:J,"Unemployment"),3)</f>
        <v>0</v>
      </c>
      <c r="J387" s="10" t="s">
        <v>791</v>
      </c>
      <c r="K387" s="7" t="s">
        <v>691</v>
      </c>
      <c r="L387" s="7">
        <v>45225</v>
      </c>
      <c r="M387" s="7">
        <v>45956</v>
      </c>
      <c r="N387" s="7"/>
      <c r="O387" s="4" t="str">
        <f t="shared" ca="1" si="29"/>
        <v>End of Contract</v>
      </c>
      <c r="P387" s="4" t="str">
        <f t="shared" ca="1" si="27"/>
        <v>Non-Active</v>
      </c>
      <c r="Q387" s="4" t="str">
        <f t="shared" ref="Q387:Q402" si="31">IF(M387="","PKWTT",IF(DATEDIF(L387,M387,"M")&gt;63,"PKWTT",IF(DATEDIF(L387,M387,"M")&gt;60,"PKWT",IF(DATEDIF(L387,M387,"M")&gt;36,"PKWT",IF(DATEDIF(L387,M387,"M")&gt;12, "PKWT","PKWT")))))</f>
        <v>PKWT</v>
      </c>
      <c r="R387" s="7" t="s">
        <v>2982</v>
      </c>
      <c r="S387" s="15" t="s">
        <v>2676</v>
      </c>
      <c r="T387" s="15" t="s">
        <v>739</v>
      </c>
      <c r="U387" s="15" t="s">
        <v>3000</v>
      </c>
      <c r="V387" s="4" t="s">
        <v>3073</v>
      </c>
      <c r="W387" s="15" t="s">
        <v>740</v>
      </c>
      <c r="X387" s="4" t="str">
        <f>_xlfn.XLOOKUP(V387,Reference!$O:$O,Reference!$N:$N,"Tidak Ketemu")</f>
        <v>G10</v>
      </c>
      <c r="Y387" s="4" t="str">
        <f t="shared" si="30"/>
        <v>TK/0</v>
      </c>
      <c r="Z387" s="10">
        <v>163948150520000</v>
      </c>
      <c r="AA387" s="10">
        <v>17016394815</v>
      </c>
      <c r="AB387" s="4">
        <v>1639481562</v>
      </c>
      <c r="AC387" s="7" t="s">
        <v>3728</v>
      </c>
      <c r="AD387" s="10">
        <v>1370018472931</v>
      </c>
      <c r="AE387" s="6">
        <v>85219283741</v>
      </c>
      <c r="AF387" s="6" t="s">
        <v>3810</v>
      </c>
      <c r="AG387" s="6" t="s">
        <v>778</v>
      </c>
      <c r="AN387" s="4"/>
    </row>
    <row r="388" spans="1:40" x14ac:dyDescent="0.35">
      <c r="A388" s="5">
        <v>202388483</v>
      </c>
      <c r="B388" s="16" t="s">
        <v>3506</v>
      </c>
      <c r="C388" s="5" t="s">
        <v>3686</v>
      </c>
      <c r="D388" s="5" t="s">
        <v>3596</v>
      </c>
      <c r="E388" s="6" t="s">
        <v>689</v>
      </c>
      <c r="F388" s="7">
        <v>36437</v>
      </c>
      <c r="G388" s="10" t="s">
        <v>648</v>
      </c>
      <c r="H388" s="15" t="s">
        <v>666</v>
      </c>
      <c r="I388" s="4">
        <f>MIN(COUNTIFS('Data Family'!A:A,A388,'Data Family'!F:F,"Child")+COUNTIFS('Data Family'!A:A,A388,'Data Family'!F:F,"&lt;&gt;Child",'Data Family'!J:J,"Housewife")+COUNTIFS('Data Family'!A:A,A388,'Data Family'!F:F,"&lt;&gt;Child",'Data Family'!J:J,"Unemployment"),3)</f>
        <v>0</v>
      </c>
      <c r="J388" s="10" t="s">
        <v>791</v>
      </c>
      <c r="K388" s="7" t="s">
        <v>701</v>
      </c>
      <c r="L388" s="7">
        <v>45020</v>
      </c>
      <c r="M388" s="7">
        <v>46116</v>
      </c>
      <c r="N388" s="7"/>
      <c r="O388" s="4" t="str">
        <f t="shared" ca="1" si="29"/>
        <v>End of Contract</v>
      </c>
      <c r="P388" s="4" t="str">
        <f t="shared" ca="1" si="27"/>
        <v>Non-Active</v>
      </c>
      <c r="Q388" s="4" t="str">
        <f t="shared" si="31"/>
        <v>PKWT</v>
      </c>
      <c r="R388" s="7" t="s">
        <v>2981</v>
      </c>
      <c r="S388" s="15" t="s">
        <v>2679</v>
      </c>
      <c r="T388" s="15" t="s">
        <v>714</v>
      </c>
      <c r="U388" s="15" t="s">
        <v>714</v>
      </c>
      <c r="V388" s="4" t="s">
        <v>659</v>
      </c>
      <c r="W388" s="15" t="s">
        <v>715</v>
      </c>
      <c r="X388" s="4" t="str">
        <f>_xlfn.XLOOKUP(V388,Reference!$O:$O,Reference!$N:$N,"Tidak Ketemu")</f>
        <v>G11</v>
      </c>
      <c r="Y388" s="4" t="str">
        <f t="shared" si="30"/>
        <v>TK/0</v>
      </c>
      <c r="Z388" s="10">
        <v>274938210630000</v>
      </c>
      <c r="AA388" s="10">
        <v>18027493821</v>
      </c>
      <c r="AB388" s="4">
        <v>2749382156</v>
      </c>
      <c r="AC388" s="7" t="s">
        <v>3728</v>
      </c>
      <c r="AD388" s="10">
        <v>3091823746</v>
      </c>
      <c r="AE388" s="6">
        <v>81928374105</v>
      </c>
      <c r="AF388" s="6" t="s">
        <v>3811</v>
      </c>
      <c r="AG388" s="6" t="s">
        <v>656</v>
      </c>
      <c r="AN388" s="4"/>
    </row>
    <row r="389" spans="1:40" x14ac:dyDescent="0.35">
      <c r="A389" s="5">
        <v>202210474</v>
      </c>
      <c r="B389" s="16" t="s">
        <v>3507</v>
      </c>
      <c r="C389" s="5" t="s">
        <v>3687</v>
      </c>
      <c r="D389" s="5" t="s">
        <v>3597</v>
      </c>
      <c r="E389" s="6" t="s">
        <v>768</v>
      </c>
      <c r="F389" s="7">
        <v>35265</v>
      </c>
      <c r="G389" s="10" t="s">
        <v>676</v>
      </c>
      <c r="H389" s="15" t="s">
        <v>651</v>
      </c>
      <c r="I389" s="4">
        <f>MIN(COUNTIFS('Data Family'!A:A,A389,'Data Family'!F:F,"Child")+COUNTIFS('Data Family'!A:A,A389,'Data Family'!F:F,"&lt;&gt;Child",'Data Family'!J:J,"Housewife")+COUNTIFS('Data Family'!A:A,A389,'Data Family'!F:F,"&lt;&gt;Child",'Data Family'!J:J,"Unemployment"),3)</f>
        <v>0</v>
      </c>
      <c r="J389" s="10" t="s">
        <v>791</v>
      </c>
      <c r="K389" s="7" t="s">
        <v>691</v>
      </c>
      <c r="L389" s="7">
        <v>43849</v>
      </c>
      <c r="M389" s="7"/>
      <c r="N389" s="7"/>
      <c r="O389" s="4" t="str">
        <f t="shared" ca="1" si="29"/>
        <v/>
      </c>
      <c r="P389" s="4" t="str">
        <f t="shared" ca="1" si="27"/>
        <v>Active</v>
      </c>
      <c r="Q389" s="4" t="str">
        <f t="shared" si="31"/>
        <v>PKWTT</v>
      </c>
      <c r="R389" s="7" t="s">
        <v>2982</v>
      </c>
      <c r="S389" s="15" t="s">
        <v>2679</v>
      </c>
      <c r="T389" s="15" t="s">
        <v>2999</v>
      </c>
      <c r="U389" s="15" t="s">
        <v>1169</v>
      </c>
      <c r="V389" s="4" t="s">
        <v>2624</v>
      </c>
      <c r="W389" s="15" t="s">
        <v>3919</v>
      </c>
      <c r="X389" s="4" t="str">
        <f>_xlfn.XLOOKUP(V389,Reference!$O:$O,Reference!$N:$N,"Tidak Ketemu")</f>
        <v>G07</v>
      </c>
      <c r="Y389" s="4" t="str">
        <f t="shared" si="30"/>
        <v>TK/0</v>
      </c>
      <c r="Z389" s="10">
        <v>385192470140000</v>
      </c>
      <c r="AA389" s="10">
        <v>19038519241</v>
      </c>
      <c r="AB389" s="4">
        <v>3851924716</v>
      </c>
      <c r="AC389" s="7" t="s">
        <v>3728</v>
      </c>
      <c r="AD389" s="10">
        <v>819238476</v>
      </c>
      <c r="AE389" s="6">
        <v>81238471956</v>
      </c>
      <c r="AF389" s="6" t="s">
        <v>3812</v>
      </c>
      <c r="AG389" s="6" t="s">
        <v>704</v>
      </c>
      <c r="AN389" s="4"/>
    </row>
    <row r="390" spans="1:40" x14ac:dyDescent="0.35">
      <c r="A390" s="5">
        <v>202395985</v>
      </c>
      <c r="B390" s="16" t="s">
        <v>3509</v>
      </c>
      <c r="C390" s="5" t="s">
        <v>3689</v>
      </c>
      <c r="D390" s="5" t="s">
        <v>3599</v>
      </c>
      <c r="E390" s="6" t="s">
        <v>809</v>
      </c>
      <c r="F390" s="7">
        <v>36583</v>
      </c>
      <c r="G390" s="10" t="s">
        <v>648</v>
      </c>
      <c r="H390" s="15" t="s">
        <v>666</v>
      </c>
      <c r="I390" s="4">
        <f>MIN(COUNTIFS('Data Family'!A:A,A390,'Data Family'!F:F,"Child")+COUNTIFS('Data Family'!A:A,A390,'Data Family'!F:F,"&lt;&gt;Child",'Data Family'!J:J,"Housewife")+COUNTIFS('Data Family'!A:A,A390,'Data Family'!F:F,"&lt;&gt;Child",'Data Family'!J:J,"Unemployment"),3)</f>
        <v>0</v>
      </c>
      <c r="J390" s="10" t="s">
        <v>791</v>
      </c>
      <c r="K390" s="7" t="s">
        <v>701</v>
      </c>
      <c r="L390" s="7">
        <v>45196</v>
      </c>
      <c r="M390" s="7">
        <v>45562</v>
      </c>
      <c r="N390" s="7">
        <v>45562</v>
      </c>
      <c r="O390" s="4" t="s">
        <v>2674</v>
      </c>
      <c r="P390" s="4" t="str">
        <f t="shared" ca="1" si="27"/>
        <v>Non-Active</v>
      </c>
      <c r="Q390" s="4" t="str">
        <f t="shared" si="31"/>
        <v>PKWT</v>
      </c>
      <c r="R390" s="7" t="s">
        <v>2980</v>
      </c>
      <c r="S390" s="15" t="s">
        <v>2985</v>
      </c>
      <c r="T390" s="15" t="s">
        <v>732</v>
      </c>
      <c r="U390" s="15" t="s">
        <v>732</v>
      </c>
      <c r="V390" s="4" t="s">
        <v>659</v>
      </c>
      <c r="W390" s="15" t="s">
        <v>3853</v>
      </c>
      <c r="X390" s="4" t="str">
        <f>_xlfn.XLOOKUP(V390,Reference!$O:$O,Reference!$N:$N,"Tidak Ketemu")</f>
        <v>G11</v>
      </c>
      <c r="Y390" s="4" t="str">
        <f t="shared" si="30"/>
        <v>TK/0</v>
      </c>
      <c r="Z390" s="10">
        <v>194826350250000</v>
      </c>
      <c r="AA390" s="10">
        <v>17049482631</v>
      </c>
      <c r="AB390" s="4">
        <v>1948263571</v>
      </c>
      <c r="AC390" s="7" t="s">
        <v>3728</v>
      </c>
      <c r="AD390" s="10">
        <v>62101093842504</v>
      </c>
      <c r="AE390" s="6">
        <v>81384719215</v>
      </c>
      <c r="AF390" s="6" t="s">
        <v>3813</v>
      </c>
      <c r="AG390" s="6" t="s">
        <v>731</v>
      </c>
      <c r="AN390" s="4"/>
    </row>
    <row r="391" spans="1:40" x14ac:dyDescent="0.35">
      <c r="A391" s="5">
        <v>202279361</v>
      </c>
      <c r="B391" s="16" t="s">
        <v>3511</v>
      </c>
      <c r="C391" s="5" t="s">
        <v>3691</v>
      </c>
      <c r="D391" s="5" t="s">
        <v>3601</v>
      </c>
      <c r="E391" s="6" t="s">
        <v>809</v>
      </c>
      <c r="F391" s="7">
        <v>35800</v>
      </c>
      <c r="G391" s="10" t="s">
        <v>648</v>
      </c>
      <c r="H391" s="15" t="s">
        <v>666</v>
      </c>
      <c r="I391" s="4">
        <f>MIN(COUNTIFS('Data Family'!A:A,A391,'Data Family'!F:F,"Child")+COUNTIFS('Data Family'!A:A,A391,'Data Family'!F:F,"&lt;&gt;Child",'Data Family'!J:J,"Housewife")+COUNTIFS('Data Family'!A:A,A391,'Data Family'!F:F,"&lt;&gt;Child",'Data Family'!J:J,"Unemployment"),3)</f>
        <v>0</v>
      </c>
      <c r="J391" s="10" t="s">
        <v>791</v>
      </c>
      <c r="K391" s="7" t="s">
        <v>701</v>
      </c>
      <c r="L391" s="7">
        <v>44747</v>
      </c>
      <c r="M391" s="7">
        <v>45112</v>
      </c>
      <c r="N391" s="7">
        <v>45112</v>
      </c>
      <c r="O391" s="4" t="s">
        <v>2674</v>
      </c>
      <c r="P391" s="4" t="str">
        <f t="shared" ca="1" si="27"/>
        <v>Non-Active</v>
      </c>
      <c r="Q391" s="4" t="str">
        <f t="shared" si="31"/>
        <v>PKWT</v>
      </c>
      <c r="R391" s="7" t="s">
        <v>2982</v>
      </c>
      <c r="S391" s="15" t="s">
        <v>2682</v>
      </c>
      <c r="T391" s="15" t="s">
        <v>2643</v>
      </c>
      <c r="U391" s="15" t="s">
        <v>2994</v>
      </c>
      <c r="V391" s="4" t="s">
        <v>2640</v>
      </c>
      <c r="W391" s="15" t="s">
        <v>2656</v>
      </c>
      <c r="X391" s="4" t="str">
        <f>_xlfn.XLOOKUP(V391,Reference!$O:$O,Reference!$N:$N,"Tidak Ketemu")</f>
        <v>G12</v>
      </c>
      <c r="Y391" s="4" t="str">
        <f t="shared" si="30"/>
        <v>TK/0</v>
      </c>
      <c r="Z391" s="10">
        <v>215483920360000</v>
      </c>
      <c r="AA391" s="10">
        <v>18051548392</v>
      </c>
      <c r="AB391" s="4">
        <v>2154839261</v>
      </c>
      <c r="AC391" s="7" t="s">
        <v>3728</v>
      </c>
      <c r="AD391" s="10">
        <v>701923847600</v>
      </c>
      <c r="AE391" s="6">
        <v>85693847210</v>
      </c>
      <c r="AF391" s="6" t="s">
        <v>3814</v>
      </c>
      <c r="AG391" s="6" t="s">
        <v>704</v>
      </c>
      <c r="AN391" s="4"/>
    </row>
    <row r="392" spans="1:40" x14ac:dyDescent="0.35">
      <c r="A392" s="5">
        <v>202315486</v>
      </c>
      <c r="B392" s="16" t="s">
        <v>3514</v>
      </c>
      <c r="C392" s="5" t="s">
        <v>3694</v>
      </c>
      <c r="D392" s="5" t="s">
        <v>3604</v>
      </c>
      <c r="E392" s="6" t="s">
        <v>689</v>
      </c>
      <c r="F392" s="7">
        <v>36049</v>
      </c>
      <c r="G392" s="10" t="s">
        <v>676</v>
      </c>
      <c r="H392" s="15" t="s">
        <v>666</v>
      </c>
      <c r="I392" s="4">
        <f>MIN(COUNTIFS('Data Family'!A:A,A392,'Data Family'!F:F,"Child")+COUNTIFS('Data Family'!A:A,A392,'Data Family'!F:F,"&lt;&gt;Child",'Data Family'!J:J,"Housewife")+COUNTIFS('Data Family'!A:A,A392,'Data Family'!F:F,"&lt;&gt;Child",'Data Family'!J:J,"Unemployment"),3)</f>
        <v>0</v>
      </c>
      <c r="J392" s="10" t="s">
        <v>791</v>
      </c>
      <c r="K392" s="7" t="s">
        <v>701</v>
      </c>
      <c r="L392" s="7">
        <v>44996</v>
      </c>
      <c r="M392" s="7">
        <v>45727</v>
      </c>
      <c r="N392" s="7"/>
      <c r="O392" s="4" t="str">
        <f t="shared" ref="O392:O400" ca="1" si="32">IF(AND(M392&lt;&gt;"", M392&lt;=TODAY(), N392=""), "End of Contract", "")</f>
        <v>End of Contract</v>
      </c>
      <c r="P392" s="4" t="str">
        <f t="shared" ca="1" si="27"/>
        <v>Non-Active</v>
      </c>
      <c r="Q392" s="4" t="str">
        <f t="shared" si="31"/>
        <v>PKWT</v>
      </c>
      <c r="R392" s="7" t="s">
        <v>2982</v>
      </c>
      <c r="S392" s="15" t="s">
        <v>2693</v>
      </c>
      <c r="T392" s="15" t="s">
        <v>657</v>
      </c>
      <c r="U392" s="15" t="s">
        <v>2996</v>
      </c>
      <c r="V392" s="4" t="s">
        <v>2640</v>
      </c>
      <c r="W392" s="15" t="s">
        <v>658</v>
      </c>
      <c r="X392" s="4" t="str">
        <f>_xlfn.XLOOKUP(V392,Reference!$O:$O,Reference!$N:$N,"Tidak Ketemu")</f>
        <v>G12</v>
      </c>
      <c r="Y392" s="4" t="str">
        <f t="shared" si="30"/>
        <v>TK/0</v>
      </c>
      <c r="Z392" s="10">
        <v>329514830410000</v>
      </c>
      <c r="AA392" s="10">
        <v>19062951483</v>
      </c>
      <c r="AB392" s="4">
        <v>3295148372</v>
      </c>
      <c r="AC392" s="7" t="s">
        <v>3728</v>
      </c>
      <c r="AD392" s="10">
        <v>1420018374925</v>
      </c>
      <c r="AE392" s="6">
        <v>81239485102</v>
      </c>
      <c r="AF392" s="6" t="s">
        <v>3815</v>
      </c>
      <c r="AG392" s="6" t="s">
        <v>731</v>
      </c>
      <c r="AN392" s="4"/>
    </row>
    <row r="393" spans="1:40" x14ac:dyDescent="0.35">
      <c r="A393" s="5">
        <v>202475925</v>
      </c>
      <c r="B393" s="16" t="s">
        <v>3516</v>
      </c>
      <c r="C393" s="5" t="s">
        <v>3696</v>
      </c>
      <c r="D393" s="5" t="s">
        <v>3606</v>
      </c>
      <c r="E393" s="6" t="s">
        <v>809</v>
      </c>
      <c r="F393" s="7">
        <v>36579</v>
      </c>
      <c r="G393" s="10" t="s">
        <v>676</v>
      </c>
      <c r="H393" s="15" t="s">
        <v>666</v>
      </c>
      <c r="I393" s="4">
        <f>MIN(COUNTIFS('Data Family'!A:A,A393,'Data Family'!F:F,"Child")+COUNTIFS('Data Family'!A:A,A393,'Data Family'!F:F,"&lt;&gt;Child",'Data Family'!J:J,"Housewife")+COUNTIFS('Data Family'!A:A,A393,'Data Family'!F:F,"&lt;&gt;Child",'Data Family'!J:J,"Unemployment"),3)</f>
        <v>0</v>
      </c>
      <c r="J393" s="10" t="s">
        <v>791</v>
      </c>
      <c r="K393" s="7" t="s">
        <v>701</v>
      </c>
      <c r="L393" s="7">
        <v>45466</v>
      </c>
      <c r="M393" s="7">
        <v>45831</v>
      </c>
      <c r="N393" s="7"/>
      <c r="O393" s="4" t="str">
        <f t="shared" ca="1" si="32"/>
        <v>End of Contract</v>
      </c>
      <c r="P393" s="4" t="str">
        <f t="shared" ca="1" si="27"/>
        <v>Non-Active</v>
      </c>
      <c r="Q393" s="4" t="str">
        <f t="shared" si="31"/>
        <v>PKWT</v>
      </c>
      <c r="R393" s="7" t="s">
        <v>2981</v>
      </c>
      <c r="S393" s="15" t="s">
        <v>2685</v>
      </c>
      <c r="T393" s="15" t="s">
        <v>657</v>
      </c>
      <c r="U393" s="15" t="s">
        <v>2996</v>
      </c>
      <c r="V393" s="4" t="s">
        <v>2640</v>
      </c>
      <c r="W393" s="15" t="s">
        <v>658</v>
      </c>
      <c r="X393" s="4" t="str">
        <f>_xlfn.XLOOKUP(V393,Reference!$O:$O,Reference!$N:$N,"Tidak Ketemu")</f>
        <v>G12</v>
      </c>
      <c r="Y393" s="4" t="str">
        <f t="shared" si="30"/>
        <v>TK/0</v>
      </c>
      <c r="Z393" s="10">
        <v>329514830410000</v>
      </c>
      <c r="AA393" s="10">
        <v>19062951483</v>
      </c>
      <c r="AB393" s="4">
        <v>3295148372</v>
      </c>
      <c r="AC393" s="7" t="s">
        <v>3728</v>
      </c>
      <c r="AD393" s="10">
        <v>1420018374925</v>
      </c>
      <c r="AE393" s="6">
        <v>81239485102</v>
      </c>
      <c r="AF393" s="6" t="s">
        <v>3815</v>
      </c>
      <c r="AG393" s="6" t="s">
        <v>656</v>
      </c>
      <c r="AN393" s="4"/>
    </row>
    <row r="394" spans="1:40" x14ac:dyDescent="0.35">
      <c r="A394" s="5">
        <v>202292941</v>
      </c>
      <c r="B394" s="16" t="s">
        <v>3519</v>
      </c>
      <c r="C394" s="5" t="s">
        <v>3699</v>
      </c>
      <c r="D394" s="5" t="s">
        <v>3609</v>
      </c>
      <c r="E394" s="6" t="s">
        <v>738</v>
      </c>
      <c r="F394" s="7">
        <v>35657</v>
      </c>
      <c r="G394" s="10" t="s">
        <v>676</v>
      </c>
      <c r="H394" s="15" t="s">
        <v>666</v>
      </c>
      <c r="I394" s="4">
        <f>MIN(COUNTIFS('Data Family'!A:A,A394,'Data Family'!F:F,"Child")+COUNTIFS('Data Family'!A:A,A394,'Data Family'!F:F,"&lt;&gt;Child",'Data Family'!J:J,"Housewife")+COUNTIFS('Data Family'!A:A,A394,'Data Family'!F:F,"&lt;&gt;Child",'Data Family'!J:J,"Unemployment"),3)</f>
        <v>0</v>
      </c>
      <c r="J394" s="10" t="s">
        <v>791</v>
      </c>
      <c r="K394" s="7" t="s">
        <v>701</v>
      </c>
      <c r="L394" s="7">
        <v>44607</v>
      </c>
      <c r="M394" s="7">
        <v>44972</v>
      </c>
      <c r="N394" s="7"/>
      <c r="O394" s="4" t="str">
        <f t="shared" ca="1" si="32"/>
        <v>End of Contract</v>
      </c>
      <c r="P394" s="4" t="str">
        <f t="shared" ca="1" si="27"/>
        <v>Non-Active</v>
      </c>
      <c r="Q394" s="4" t="str">
        <f t="shared" si="31"/>
        <v>PKWT</v>
      </c>
      <c r="R394" s="7" t="s">
        <v>2982</v>
      </c>
      <c r="S394" s="15" t="s">
        <v>2679</v>
      </c>
      <c r="T394" s="15" t="s">
        <v>714</v>
      </c>
      <c r="U394" s="15" t="s">
        <v>714</v>
      </c>
      <c r="V394" s="4" t="s">
        <v>3073</v>
      </c>
      <c r="W394" s="15" t="s">
        <v>3413</v>
      </c>
      <c r="X394" s="4" t="str">
        <f>_xlfn.XLOOKUP(V394,Reference!$O:$O,Reference!$N:$N,"Tidak Ketemu")</f>
        <v>G10</v>
      </c>
      <c r="Y394" s="4" t="str">
        <f t="shared" si="30"/>
        <v>TK/0</v>
      </c>
      <c r="Z394" s="10">
        <v>329514830410000</v>
      </c>
      <c r="AA394" s="10">
        <v>19062951483</v>
      </c>
      <c r="AB394" s="4">
        <v>3295148372</v>
      </c>
      <c r="AC394" s="7" t="s">
        <v>3728</v>
      </c>
      <c r="AD394" s="10">
        <v>1420018374925</v>
      </c>
      <c r="AE394" s="6">
        <v>81239485102</v>
      </c>
      <c r="AF394" s="6" t="s">
        <v>3815</v>
      </c>
      <c r="AG394" s="6" t="s">
        <v>818</v>
      </c>
      <c r="AN394" s="4"/>
    </row>
    <row r="395" spans="1:40" x14ac:dyDescent="0.35">
      <c r="A395" s="5">
        <v>202474174</v>
      </c>
      <c r="B395" s="16" t="s">
        <v>3521</v>
      </c>
      <c r="C395" s="5" t="s">
        <v>3701</v>
      </c>
      <c r="D395" s="5" t="s">
        <v>3611</v>
      </c>
      <c r="E395" s="6" t="s">
        <v>768</v>
      </c>
      <c r="F395" s="7">
        <v>36586</v>
      </c>
      <c r="G395" s="10" t="s">
        <v>676</v>
      </c>
      <c r="H395" s="15" t="s">
        <v>666</v>
      </c>
      <c r="I395" s="4">
        <f>MIN(COUNTIFS('Data Family'!A:A,A395,'Data Family'!F:F,"Child")+COUNTIFS('Data Family'!A:A,A395,'Data Family'!F:F,"&lt;&gt;Child",'Data Family'!J:J,"Housewife")+COUNTIFS('Data Family'!A:A,A395,'Data Family'!F:F,"&lt;&gt;Child",'Data Family'!J:J,"Unemployment"),3)</f>
        <v>0</v>
      </c>
      <c r="J395" s="10" t="s">
        <v>791</v>
      </c>
      <c r="K395" s="7" t="s">
        <v>701</v>
      </c>
      <c r="L395" s="7">
        <v>45536</v>
      </c>
      <c r="M395" s="7">
        <v>45901</v>
      </c>
      <c r="N395" s="7"/>
      <c r="O395" s="4" t="str">
        <f t="shared" ca="1" si="32"/>
        <v>End of Contract</v>
      </c>
      <c r="P395" s="4" t="str">
        <f t="shared" ca="1" si="27"/>
        <v>Non-Active</v>
      </c>
      <c r="Q395" s="4" t="str">
        <f t="shared" si="31"/>
        <v>PKWT</v>
      </c>
      <c r="R395" s="7" t="s">
        <v>2982</v>
      </c>
      <c r="S395" s="15" t="s">
        <v>2685</v>
      </c>
      <c r="T395" s="15" t="s">
        <v>657</v>
      </c>
      <c r="U395" s="15" t="s">
        <v>2996</v>
      </c>
      <c r="V395" s="4" t="s">
        <v>2640</v>
      </c>
      <c r="W395" s="15" t="s">
        <v>658</v>
      </c>
      <c r="X395" s="4" t="str">
        <f>_xlfn.XLOOKUP(V395,Reference!$O:$O,Reference!$N:$N,"Tidak Ketemu")</f>
        <v>G12</v>
      </c>
      <c r="Y395" s="4" t="str">
        <f t="shared" si="30"/>
        <v>TK/0</v>
      </c>
      <c r="Z395" s="10">
        <v>329514830410000</v>
      </c>
      <c r="AA395" s="10">
        <v>19062951483</v>
      </c>
      <c r="AB395" s="4">
        <v>3295148372</v>
      </c>
      <c r="AC395" s="7" t="s">
        <v>3728</v>
      </c>
      <c r="AD395" s="10">
        <v>1420018374925</v>
      </c>
      <c r="AE395" s="6">
        <v>81239485102</v>
      </c>
      <c r="AF395" s="6" t="s">
        <v>3815</v>
      </c>
      <c r="AG395" s="6" t="s">
        <v>731</v>
      </c>
      <c r="AN395" s="4"/>
    </row>
    <row r="396" spans="1:40" x14ac:dyDescent="0.35">
      <c r="A396" s="5">
        <v>202581968</v>
      </c>
      <c r="B396" s="16" t="s">
        <v>3522</v>
      </c>
      <c r="C396" s="5" t="s">
        <v>3702</v>
      </c>
      <c r="D396" s="5" t="s">
        <v>3612</v>
      </c>
      <c r="E396" s="6" t="s">
        <v>742</v>
      </c>
      <c r="F396" s="7">
        <v>36756</v>
      </c>
      <c r="G396" s="10" t="s">
        <v>648</v>
      </c>
      <c r="H396" s="15" t="s">
        <v>666</v>
      </c>
      <c r="I396" s="4">
        <f>MIN(COUNTIFS('Data Family'!A:A,A396,'Data Family'!F:F,"Child")+COUNTIFS('Data Family'!A:A,A396,'Data Family'!F:F,"&lt;&gt;Child",'Data Family'!J:J,"Housewife")+COUNTIFS('Data Family'!A:A,A396,'Data Family'!F:F,"&lt;&gt;Child",'Data Family'!J:J,"Unemployment"),3)</f>
        <v>0</v>
      </c>
      <c r="J396" s="10" t="s">
        <v>791</v>
      </c>
      <c r="K396" s="7" t="s">
        <v>701</v>
      </c>
      <c r="L396" s="7">
        <v>45706</v>
      </c>
      <c r="M396" s="7">
        <v>46071</v>
      </c>
      <c r="N396" s="7"/>
      <c r="O396" s="4" t="str">
        <f t="shared" ca="1" si="32"/>
        <v>End of Contract</v>
      </c>
      <c r="P396" s="4" t="str">
        <f t="shared" ca="1" si="27"/>
        <v>Non-Active</v>
      </c>
      <c r="Q396" s="4" t="str">
        <f t="shared" si="31"/>
        <v>PKWT</v>
      </c>
      <c r="R396" s="7" t="s">
        <v>2981</v>
      </c>
      <c r="S396" s="15" t="s">
        <v>2691</v>
      </c>
      <c r="T396" s="15" t="s">
        <v>794</v>
      </c>
      <c r="U396" s="15" t="s">
        <v>2694</v>
      </c>
      <c r="V396" s="4" t="s">
        <v>670</v>
      </c>
      <c r="W396" s="15" t="s">
        <v>2631</v>
      </c>
      <c r="X396" s="4" t="str">
        <f>_xlfn.XLOOKUP(V396,Reference!$O:$O,Reference!$N:$N,"Tidak Ketemu")</f>
        <v>G13</v>
      </c>
      <c r="Y396" s="4" t="str">
        <f t="shared" si="30"/>
        <v>TK/0</v>
      </c>
      <c r="Z396" s="10">
        <v>329514830410000</v>
      </c>
      <c r="AA396" s="10">
        <v>19062951483</v>
      </c>
      <c r="AB396" s="4">
        <v>3295148372</v>
      </c>
      <c r="AC396" s="7" t="s">
        <v>3728</v>
      </c>
      <c r="AD396" s="10">
        <v>1420018374925</v>
      </c>
      <c r="AE396" s="6">
        <v>81239485102</v>
      </c>
      <c r="AF396" s="6" t="s">
        <v>3815</v>
      </c>
      <c r="AG396" s="6" t="s">
        <v>731</v>
      </c>
      <c r="AN396" s="4"/>
    </row>
    <row r="397" spans="1:40" x14ac:dyDescent="0.35">
      <c r="A397" s="5">
        <v>202251428</v>
      </c>
      <c r="B397" s="16" t="s">
        <v>3527</v>
      </c>
      <c r="C397" s="5" t="s">
        <v>3707</v>
      </c>
      <c r="D397" s="5" t="s">
        <v>3617</v>
      </c>
      <c r="E397" s="6" t="s">
        <v>738</v>
      </c>
      <c r="F397" s="7">
        <v>34749</v>
      </c>
      <c r="G397" s="10" t="s">
        <v>676</v>
      </c>
      <c r="H397" s="15" t="s">
        <v>666</v>
      </c>
      <c r="I397" s="4">
        <f>MIN(COUNTIFS('Data Family'!A:A,A397,'Data Family'!F:F,"Child")+COUNTIFS('Data Family'!A:A,A397,'Data Family'!F:F,"&lt;&gt;Child",'Data Family'!J:J,"Housewife")+COUNTIFS('Data Family'!A:A,A397,'Data Family'!F:F,"&lt;&gt;Child",'Data Family'!J:J,"Unemployment"),3)</f>
        <v>0</v>
      </c>
      <c r="J397" s="10" t="s">
        <v>791</v>
      </c>
      <c r="K397" s="7" t="s">
        <v>677</v>
      </c>
      <c r="L397" s="7">
        <v>44792</v>
      </c>
      <c r="M397" s="7">
        <v>45523</v>
      </c>
      <c r="N397" s="7"/>
      <c r="O397" s="4" t="str">
        <f t="shared" ca="1" si="32"/>
        <v>End of Contract</v>
      </c>
      <c r="P397" s="4" t="str">
        <f t="shared" ca="1" si="27"/>
        <v>Non-Active</v>
      </c>
      <c r="Q397" s="4" t="str">
        <f t="shared" si="31"/>
        <v>PKWT</v>
      </c>
      <c r="R397" s="7" t="s">
        <v>2982</v>
      </c>
      <c r="S397" s="15" t="s">
        <v>2643</v>
      </c>
      <c r="T397" s="15" t="s">
        <v>714</v>
      </c>
      <c r="U397" s="15" t="s">
        <v>714</v>
      </c>
      <c r="V397" s="4" t="s">
        <v>659</v>
      </c>
      <c r="W397" s="15" t="s">
        <v>3414</v>
      </c>
      <c r="X397" s="4" t="str">
        <f>_xlfn.XLOOKUP(V397,Reference!$O:$O,Reference!$N:$N,"Tidak Ketemu")</f>
        <v>G11</v>
      </c>
      <c r="Y397" s="4" t="str">
        <f t="shared" si="30"/>
        <v>TK/0</v>
      </c>
      <c r="Z397" s="10">
        <v>329514830410000</v>
      </c>
      <c r="AA397" s="10">
        <v>19062951483</v>
      </c>
      <c r="AB397" s="4">
        <v>3295148372</v>
      </c>
      <c r="AC397" s="7" t="s">
        <v>3728</v>
      </c>
      <c r="AD397" s="10">
        <v>1420018374925</v>
      </c>
      <c r="AE397" s="6">
        <v>81239485102</v>
      </c>
      <c r="AF397" s="6" t="s">
        <v>3815</v>
      </c>
      <c r="AG397" s="6" t="s">
        <v>731</v>
      </c>
      <c r="AN397" s="4"/>
    </row>
    <row r="398" spans="1:40" x14ac:dyDescent="0.35">
      <c r="A398" s="5">
        <v>202487224</v>
      </c>
      <c r="B398" s="16" t="s">
        <v>3529</v>
      </c>
      <c r="C398" s="5" t="s">
        <v>3709</v>
      </c>
      <c r="D398" s="5" t="s">
        <v>3619</v>
      </c>
      <c r="E398" s="6" t="s">
        <v>768</v>
      </c>
      <c r="F398" s="7">
        <v>36615</v>
      </c>
      <c r="G398" s="10" t="s">
        <v>676</v>
      </c>
      <c r="H398" s="15" t="s">
        <v>666</v>
      </c>
      <c r="I398" s="4">
        <f>MIN(COUNTIFS('Data Family'!A:A,A398,'Data Family'!F:F,"Child")+COUNTIFS('Data Family'!A:A,A398,'Data Family'!F:F,"&lt;&gt;Child",'Data Family'!J:J,"Housewife")+COUNTIFS('Data Family'!A:A,A398,'Data Family'!F:F,"&lt;&gt;Child",'Data Family'!J:J,"Unemployment"),3)</f>
        <v>0</v>
      </c>
      <c r="J398" s="10" t="s">
        <v>791</v>
      </c>
      <c r="K398" s="7" t="s">
        <v>701</v>
      </c>
      <c r="L398" s="7">
        <v>45595</v>
      </c>
      <c r="M398" s="7">
        <v>45960</v>
      </c>
      <c r="N398" s="7"/>
      <c r="O398" s="4" t="str">
        <f t="shared" ca="1" si="32"/>
        <v>End of Contract</v>
      </c>
      <c r="P398" s="4" t="str">
        <f t="shared" ca="1" si="27"/>
        <v>Non-Active</v>
      </c>
      <c r="Q398" s="4" t="str">
        <f t="shared" si="31"/>
        <v>PKWT</v>
      </c>
      <c r="R398" s="7" t="s">
        <v>2981</v>
      </c>
      <c r="S398" s="15" t="s">
        <v>2693</v>
      </c>
      <c r="T398" s="15" t="s">
        <v>657</v>
      </c>
      <c r="U398" s="15" t="s">
        <v>2996</v>
      </c>
      <c r="V398" s="4" t="s">
        <v>2640</v>
      </c>
      <c r="W398" s="15" t="s">
        <v>658</v>
      </c>
      <c r="X398" s="4" t="str">
        <f>_xlfn.XLOOKUP(V398,Reference!$O:$O,Reference!$N:$N,"Tidak Ketemu")</f>
        <v>G12</v>
      </c>
      <c r="Y398" s="4" t="str">
        <f t="shared" si="30"/>
        <v>TK/0</v>
      </c>
      <c r="Z398" s="10">
        <v>329514830410000</v>
      </c>
      <c r="AA398" s="10">
        <v>19062951483</v>
      </c>
      <c r="AB398" s="4">
        <v>3295148372</v>
      </c>
      <c r="AC398" s="7" t="s">
        <v>3728</v>
      </c>
      <c r="AD398" s="10">
        <v>1420018374925</v>
      </c>
      <c r="AE398" s="6">
        <v>81239485102</v>
      </c>
      <c r="AF398" s="6" t="s">
        <v>3815</v>
      </c>
      <c r="AG398" s="6" t="s">
        <v>680</v>
      </c>
      <c r="AN398" s="4"/>
    </row>
    <row r="399" spans="1:40" x14ac:dyDescent="0.35">
      <c r="A399" s="5">
        <v>202258935</v>
      </c>
      <c r="B399" s="16" t="s">
        <v>3531</v>
      </c>
      <c r="C399" s="5" t="s">
        <v>3711</v>
      </c>
      <c r="D399" s="5" t="s">
        <v>3621</v>
      </c>
      <c r="E399" s="6" t="s">
        <v>809</v>
      </c>
      <c r="F399" s="7">
        <v>35746</v>
      </c>
      <c r="G399" s="10" t="s">
        <v>648</v>
      </c>
      <c r="H399" s="15" t="s">
        <v>666</v>
      </c>
      <c r="I399" s="4">
        <f>MIN(COUNTIFS('Data Family'!A:A,A399,'Data Family'!F:F,"Child")+COUNTIFS('Data Family'!A:A,A399,'Data Family'!F:F,"&lt;&gt;Child",'Data Family'!J:J,"Housewife")+COUNTIFS('Data Family'!A:A,A399,'Data Family'!F:F,"&lt;&gt;Child",'Data Family'!J:J,"Unemployment"),3)</f>
        <v>0</v>
      </c>
      <c r="J399" s="10" t="s">
        <v>791</v>
      </c>
      <c r="K399" s="7" t="s">
        <v>691</v>
      </c>
      <c r="L399" s="7">
        <v>44632</v>
      </c>
      <c r="M399" s="7">
        <v>45728</v>
      </c>
      <c r="N399" s="7"/>
      <c r="O399" s="4" t="str">
        <f t="shared" ca="1" si="32"/>
        <v>End of Contract</v>
      </c>
      <c r="P399" s="4" t="str">
        <f t="shared" ca="1" si="27"/>
        <v>Non-Active</v>
      </c>
      <c r="Q399" s="4" t="str">
        <f t="shared" si="31"/>
        <v>PKWT</v>
      </c>
      <c r="R399" s="7" t="s">
        <v>2981</v>
      </c>
      <c r="S399" s="15" t="s">
        <v>2643</v>
      </c>
      <c r="T399" s="15" t="s">
        <v>794</v>
      </c>
      <c r="U399" s="15" t="s">
        <v>2688</v>
      </c>
      <c r="V399" s="4" t="s">
        <v>659</v>
      </c>
      <c r="W399" s="15" t="s">
        <v>3071</v>
      </c>
      <c r="X399" s="4" t="str">
        <f>_xlfn.XLOOKUP(V399,Reference!$O:$O,Reference!$N:$N,"Tidak Ketemu")</f>
        <v>G11</v>
      </c>
      <c r="Y399" s="4" t="str">
        <f t="shared" si="30"/>
        <v>TK/0</v>
      </c>
      <c r="Z399" s="10">
        <v>329514830410000</v>
      </c>
      <c r="AA399" s="10">
        <v>19062951483</v>
      </c>
      <c r="AB399" s="4">
        <v>3295148372</v>
      </c>
      <c r="AC399" s="7" t="s">
        <v>3728</v>
      </c>
      <c r="AD399" s="10">
        <v>1420018374925</v>
      </c>
      <c r="AE399" s="6">
        <v>81239485102</v>
      </c>
      <c r="AF399" s="6" t="s">
        <v>3815</v>
      </c>
      <c r="AG399" s="6" t="s">
        <v>778</v>
      </c>
      <c r="AN399" s="4"/>
    </row>
    <row r="400" spans="1:40" x14ac:dyDescent="0.35">
      <c r="A400" s="5">
        <v>202449029</v>
      </c>
      <c r="B400" s="16" t="s">
        <v>3534</v>
      </c>
      <c r="C400" s="5" t="s">
        <v>3714</v>
      </c>
      <c r="D400" s="5" t="s">
        <v>3624</v>
      </c>
      <c r="E400" s="6" t="s">
        <v>649</v>
      </c>
      <c r="F400" s="7">
        <v>36570</v>
      </c>
      <c r="G400" s="10" t="s">
        <v>676</v>
      </c>
      <c r="H400" s="15" t="s">
        <v>666</v>
      </c>
      <c r="I400" s="4">
        <f>MIN(COUNTIFS('Data Family'!A:A,A400,'Data Family'!F:F,"Child")+COUNTIFS('Data Family'!A:A,A400,'Data Family'!F:F,"&lt;&gt;Child",'Data Family'!J:J,"Housewife")+COUNTIFS('Data Family'!A:A,A400,'Data Family'!F:F,"&lt;&gt;Child",'Data Family'!J:J,"Unemployment"),3)</f>
        <v>0</v>
      </c>
      <c r="J400" s="10" t="s">
        <v>791</v>
      </c>
      <c r="K400" s="7" t="s">
        <v>701</v>
      </c>
      <c r="L400" s="7">
        <v>45487</v>
      </c>
      <c r="M400" s="7">
        <v>46217</v>
      </c>
      <c r="N400" s="7"/>
      <c r="O400" s="4" t="str">
        <f t="shared" ca="1" si="32"/>
        <v>End of Contract</v>
      </c>
      <c r="P400" s="4" t="str">
        <f t="shared" ca="1" si="27"/>
        <v>Non-Active</v>
      </c>
      <c r="Q400" s="4" t="str">
        <f t="shared" si="31"/>
        <v>PKWT</v>
      </c>
      <c r="R400" s="7" t="s">
        <v>2981</v>
      </c>
      <c r="S400" s="15" t="s">
        <v>2691</v>
      </c>
      <c r="T400" s="15" t="s">
        <v>657</v>
      </c>
      <c r="U400" s="15" t="s">
        <v>2996</v>
      </c>
      <c r="V400" s="4" t="s">
        <v>2640</v>
      </c>
      <c r="W400" s="15" t="s">
        <v>658</v>
      </c>
      <c r="X400" s="4" t="str">
        <f>_xlfn.XLOOKUP(V400,Reference!$O:$O,Reference!$N:$N,"Tidak Ketemu")</f>
        <v>G12</v>
      </c>
      <c r="Y400" s="4" t="str">
        <f t="shared" si="30"/>
        <v>TK/0</v>
      </c>
      <c r="Z400" s="10">
        <v>329514830410000</v>
      </c>
      <c r="AA400" s="10">
        <v>19062951483</v>
      </c>
      <c r="AB400" s="4">
        <v>3295148372</v>
      </c>
      <c r="AC400" s="7" t="s">
        <v>3728</v>
      </c>
      <c r="AD400" s="10">
        <v>1420018374925</v>
      </c>
      <c r="AE400" s="6">
        <v>81239485102</v>
      </c>
      <c r="AF400" s="6" t="s">
        <v>3815</v>
      </c>
      <c r="AG400" s="6" t="s">
        <v>656</v>
      </c>
      <c r="AN400" s="4"/>
    </row>
    <row r="401" spans="1:40" x14ac:dyDescent="0.35">
      <c r="A401" s="5">
        <v>202297670</v>
      </c>
      <c r="B401" s="16" t="s">
        <v>3535</v>
      </c>
      <c r="C401" s="5" t="s">
        <v>3715</v>
      </c>
      <c r="D401" s="5" t="s">
        <v>3625</v>
      </c>
      <c r="E401" s="6" t="s">
        <v>809</v>
      </c>
      <c r="F401" s="7">
        <v>35727</v>
      </c>
      <c r="G401" s="10" t="s">
        <v>648</v>
      </c>
      <c r="H401" s="15" t="s">
        <v>666</v>
      </c>
      <c r="I401" s="4">
        <f>MIN(COUNTIFS('Data Family'!A:A,A401,'Data Family'!F:F,"Child")+COUNTIFS('Data Family'!A:A,A401,'Data Family'!F:F,"&lt;&gt;Child",'Data Family'!J:J,"Housewife")+COUNTIFS('Data Family'!A:A,A401,'Data Family'!F:F,"&lt;&gt;Child",'Data Family'!J:J,"Unemployment"),3)</f>
        <v>0</v>
      </c>
      <c r="J401" s="10" t="s">
        <v>791</v>
      </c>
      <c r="K401" s="7" t="s">
        <v>701</v>
      </c>
      <c r="L401" s="7">
        <v>44675</v>
      </c>
      <c r="M401" s="7">
        <v>45040</v>
      </c>
      <c r="N401" s="7">
        <v>45040</v>
      </c>
      <c r="O401" s="4" t="s">
        <v>2674</v>
      </c>
      <c r="P401" s="4" t="str">
        <f t="shared" ca="1" si="27"/>
        <v>Non-Active</v>
      </c>
      <c r="Q401" s="4" t="str">
        <f t="shared" si="31"/>
        <v>PKWT</v>
      </c>
      <c r="R401" s="7" t="s">
        <v>2982</v>
      </c>
      <c r="S401" s="15" t="s">
        <v>2682</v>
      </c>
      <c r="T401" s="15" t="s">
        <v>794</v>
      </c>
      <c r="U401" s="15" t="s">
        <v>2690</v>
      </c>
      <c r="V401" s="4" t="s">
        <v>2640</v>
      </c>
      <c r="W401" s="15" t="s">
        <v>795</v>
      </c>
      <c r="X401" s="4" t="str">
        <f>_xlfn.XLOOKUP(V401,Reference!$O:$O,Reference!$N:$N,"Tidak Ketemu")</f>
        <v>G12</v>
      </c>
      <c r="Y401" s="4" t="str">
        <f t="shared" si="30"/>
        <v>TK/0</v>
      </c>
      <c r="Z401" s="10">
        <v>329514830410000</v>
      </c>
      <c r="AA401" s="10">
        <v>19062951483</v>
      </c>
      <c r="AB401" s="4">
        <v>3295148372</v>
      </c>
      <c r="AC401" s="7" t="s">
        <v>3728</v>
      </c>
      <c r="AD401" s="10">
        <v>1420018374925</v>
      </c>
      <c r="AE401" s="6">
        <v>81239485102</v>
      </c>
      <c r="AF401" s="6" t="s">
        <v>3815</v>
      </c>
      <c r="AG401" s="6" t="s">
        <v>731</v>
      </c>
      <c r="AN401" s="4"/>
    </row>
    <row r="402" spans="1:40" x14ac:dyDescent="0.35">
      <c r="A402" s="5">
        <v>202575152</v>
      </c>
      <c r="B402" s="16" t="s">
        <v>3536</v>
      </c>
      <c r="C402" s="5" t="s">
        <v>3716</v>
      </c>
      <c r="D402" s="5" t="s">
        <v>3626</v>
      </c>
      <c r="E402" s="6" t="s">
        <v>649</v>
      </c>
      <c r="F402" s="7">
        <v>36899</v>
      </c>
      <c r="G402" s="10" t="s">
        <v>676</v>
      </c>
      <c r="H402" s="15" t="s">
        <v>666</v>
      </c>
      <c r="I402" s="4">
        <f>MIN(COUNTIFS('Data Family'!A:A,A402,'Data Family'!F:F,"Child")+COUNTIFS('Data Family'!A:A,A402,'Data Family'!F:F,"&lt;&gt;Child",'Data Family'!J:J,"Housewife")+COUNTIFS('Data Family'!A:A,A402,'Data Family'!F:F,"&lt;&gt;Child",'Data Family'!J:J,"Unemployment"),3)</f>
        <v>0</v>
      </c>
      <c r="J402" s="10" t="s">
        <v>791</v>
      </c>
      <c r="K402" s="7" t="s">
        <v>701</v>
      </c>
      <c r="L402" s="7">
        <v>45785</v>
      </c>
      <c r="M402" s="7">
        <v>46150</v>
      </c>
      <c r="N402" s="7"/>
      <c r="O402" s="4" t="str">
        <f ca="1">IF(AND(M402&lt;&gt;"", M402&lt;=TODAY(), N402=""), "End of Contract", "")</f>
        <v>End of Contract</v>
      </c>
      <c r="P402" s="4" t="str">
        <f t="shared" ca="1" si="27"/>
        <v>Non-Active</v>
      </c>
      <c r="Q402" s="4" t="str">
        <f t="shared" si="31"/>
        <v>PKWT</v>
      </c>
      <c r="R402" s="7" t="s">
        <v>2982</v>
      </c>
      <c r="S402" s="15" t="s">
        <v>2686</v>
      </c>
      <c r="T402" s="15" t="s">
        <v>657</v>
      </c>
      <c r="U402" s="15" t="s">
        <v>2996</v>
      </c>
      <c r="V402" s="4" t="s">
        <v>2640</v>
      </c>
      <c r="W402" s="15" t="s">
        <v>658</v>
      </c>
      <c r="X402" s="4" t="str">
        <f>_xlfn.XLOOKUP(V402,Reference!$O:$O,Reference!$N:$N,"Tidak Ketemu")</f>
        <v>G12</v>
      </c>
      <c r="Y402" s="4" t="str">
        <f t="shared" si="30"/>
        <v>TK/0</v>
      </c>
      <c r="Z402" s="10">
        <v>329514830410000</v>
      </c>
      <c r="AA402" s="10">
        <v>19062951483</v>
      </c>
      <c r="AB402" s="4">
        <v>3295148372</v>
      </c>
      <c r="AC402" s="7" t="s">
        <v>3728</v>
      </c>
      <c r="AD402" s="10">
        <v>1420018374925</v>
      </c>
      <c r="AE402" s="6">
        <v>81239485102</v>
      </c>
      <c r="AF402" s="6" t="s">
        <v>3815</v>
      </c>
      <c r="AG402" s="6" t="s">
        <v>694</v>
      </c>
      <c r="AN402" s="4"/>
    </row>
  </sheetData>
  <phoneticPr fontId="5" type="noConversion"/>
  <pageMargins left="0.23622047244094491" right="0.23622047244094491" top="0.74803149606299213" bottom="0.74803149606299213" header="0.31496062992125984" footer="0.31496062992125984"/>
  <pageSetup paperSize="19" scale="10" fitToWidth="0" orientation="landscape" cellComments="atEnd" r:id="rId1"/>
  <headerFooter>
    <oddHeader>&amp;LCreated by: Wahyudiansyah&amp;CHR Dashboard PT. Dumi Bumi Tbk</oddHeader>
  </headerFooter>
  <tableParts count="1">
    <tablePart r:id="rId2"/>
  </tableParts>
  <extLst>
    <ext xmlns:x14="http://schemas.microsoft.com/office/spreadsheetml/2009/9/main" uri="{CCE6A557-97BC-4b89-ADB6-D9C93CAAB3DF}">
      <x14:dataValidations xmlns:xm="http://schemas.microsoft.com/office/excel/2006/main" count="15">
        <x14:dataValidation type="list" allowBlank="1" showInputMessage="1" showErrorMessage="1" xr:uid="{292D1612-807A-4E2E-B844-67DEF3EE1494}">
          <x14:formula1>
            <xm:f>Reference!$J$2:$J$69</xm:f>
          </x14:formula1>
          <xm:sqref>R2:R402</xm:sqref>
        </x14:dataValidation>
        <x14:dataValidation type="list" allowBlank="1" showInputMessage="1" showErrorMessage="1" xr:uid="{20A79125-B618-4576-8CF4-C81611400E89}">
          <x14:formula1>
            <xm:f>Reference!$A$6:$A$11</xm:f>
          </x14:formula1>
          <xm:sqref>J2:J402</xm:sqref>
        </x14:dataValidation>
        <x14:dataValidation type="list" allowBlank="1" showInputMessage="1" showErrorMessage="1" xr:uid="{B98D90C8-F540-43D8-B6CC-E2852AA3A57F}">
          <x14:formula1>
            <xm:f>Reference!$A$2:$A$3</xm:f>
          </x14:formula1>
          <xm:sqref>G2:G402</xm:sqref>
        </x14:dataValidation>
        <x14:dataValidation type="list" allowBlank="1" showInputMessage="1" showErrorMessage="1" xr:uid="{C371BF66-7B32-42F2-9B2C-0D59704BF113}">
          <x14:formula1>
            <xm:f>Reference!$A$14:$A$17</xm:f>
          </x14:formula1>
          <xm:sqref>K2:K402</xm:sqref>
        </x14:dataValidation>
        <x14:dataValidation type="list" allowBlank="1" showInputMessage="1" showErrorMessage="1" xr:uid="{9CD987EB-16CB-4879-A228-35BE742E01B4}">
          <x14:formula1>
            <xm:f>Reference!$A$21:$A$22</xm:f>
          </x14:formula1>
          <xm:sqref>P2:P402</xm:sqref>
        </x14:dataValidation>
        <x14:dataValidation type="list" allowBlank="1" showInputMessage="1" showErrorMessage="1" xr:uid="{6202B9EC-1544-41F7-9EFA-8DC3E0CC34C6}">
          <x14:formula1>
            <xm:f>INDIRECT(VLOOKUP(R2,Reference!$J$2:$L$101,3,FALSE))</xm:f>
          </x14:formula1>
          <xm:sqref>S2:S402</xm:sqref>
        </x14:dataValidation>
        <x14:dataValidation type="list" allowBlank="1" showInputMessage="1" showErrorMessage="1" xr:uid="{4D384BB8-A492-4857-AAC0-41469A215F6F}">
          <x14:formula1>
            <xm:f>IF($N2="",Reference!$R$12,Reference!$R$7:$R$13)</xm:f>
          </x14:formula1>
          <xm:sqref>O2:O402</xm:sqref>
        </x14:dataValidation>
        <x14:dataValidation type="list" allowBlank="1" showInputMessage="1" showErrorMessage="1" xr:uid="{820FC2E0-F8BD-4DD7-A5FE-413BD5F5EA1F}">
          <x14:formula1>
            <xm:f>Reference!$A$25:$A$26</xm:f>
          </x14:formula1>
          <xm:sqref>Q2:Q402</xm:sqref>
        </x14:dataValidation>
        <x14:dataValidation type="list" allowBlank="1" showInputMessage="1" showErrorMessage="1" xr:uid="{33E91BEA-F432-458B-8CAA-8842F8506873}">
          <x14:formula1>
            <xm:f>Reference!$F$2:$F$103</xm:f>
          </x14:formula1>
          <xm:sqref>V2:V10 V12:V402</xm:sqref>
        </x14:dataValidation>
        <x14:dataValidation type="list" allowBlank="1" showInputMessage="1" showErrorMessage="1" xr:uid="{69FF9990-A18D-49C8-805A-AB6F2A09E47A}">
          <x14:formula1>
            <xm:f>INDIRECT(_xlfn.XLOOKUP(T2&amp;U2&amp;V2,Reference!$D$2:$D$100&amp;Reference!$E$2:$E$100&amp;Reference!$F$2:$F$100,Reference!$G$2:$G$100))</xm:f>
          </x14:formula1>
          <xm:sqref>W2:W402</xm:sqref>
        </x14:dataValidation>
        <x14:dataValidation type="list" allowBlank="1" showInputMessage="1" showErrorMessage="1" xr:uid="{D23E0448-C955-4773-B331-9F3DFE02CA0E}">
          <x14:formula1>
            <xm:f>_xlfn.UNIQUE(_xlfn._xlws.FILTER(Reference!$E$2:$E$500,Reference!$D$2:$D$500=T403))</xm:f>
          </x14:formula1>
          <xm:sqref>U403:U1048576</xm:sqref>
        </x14:dataValidation>
        <x14:dataValidation type="list" allowBlank="1" showInputMessage="1" showErrorMessage="1" xr:uid="{E686B99F-D70D-4F43-9319-CDFADA95ECF3}">
          <x14:formula1>
            <xm:f>Reference!$A$45:$A$48</xm:f>
          </x14:formula1>
          <xm:sqref>H2:H402</xm:sqref>
        </x14:dataValidation>
        <x14:dataValidation type="list" allowBlank="1" showInputMessage="1" showErrorMessage="1" xr:uid="{01380A42-D51B-421F-90AF-FC28FADFDC8F}">
          <x14:formula1>
            <xm:f>Reference!$Q$16:$Q$35</xm:f>
          </x14:formula1>
          <xm:sqref>T2:T402</xm:sqref>
        </x14:dataValidation>
        <x14:dataValidation type="list" allowBlank="1" showInputMessage="1" showErrorMessage="1" xr:uid="{306C4780-76FF-4C51-967F-D086ED2566D6}">
          <x14:formula1>
            <xm:f>INDIRECT(_xlfn.XLOOKUP($T2,Reference!$Q$18:$Q$54,Reference!$R$18:$R$54))</xm:f>
          </x14:formula1>
          <xm:sqref>U2:U402</xm:sqref>
        </x14:dataValidation>
        <x14:dataValidation type="list" allowBlank="1" showInputMessage="1" showErrorMessage="1" xr:uid="{F3C781FE-E499-4D6C-B911-7182083AEF6D}">
          <x14:formula1>
            <xm:f>Reference!$H$2:$H$103</xm:f>
          </x14:formula1>
          <xm:sqref>V11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C41C-BB47-479E-962E-BB100DF734AA}">
  <dimension ref="A1:AF312"/>
  <sheetViews>
    <sheetView topLeftCell="O21" zoomScale="58" zoomScaleNormal="58" workbookViewId="0">
      <selection activeCell="Z50" sqref="Z50"/>
    </sheetView>
  </sheetViews>
  <sheetFormatPr defaultRowHeight="14.5" x14ac:dyDescent="0.35"/>
  <cols>
    <col min="1" max="3" width="35.6328125" customWidth="1"/>
    <col min="4" max="4" width="20.7265625" customWidth="1"/>
    <col min="5" max="5" width="12.6328125" customWidth="1"/>
    <col min="6" max="6" width="15.6328125" customWidth="1"/>
    <col min="7" max="7" width="20.6328125" customWidth="1"/>
    <col min="8" max="8" width="25.1796875" style="6" customWidth="1"/>
    <col min="9" max="9" width="15.6328125" customWidth="1"/>
    <col min="10" max="10" width="11.6328125" customWidth="1"/>
    <col min="11" max="12" width="15.6328125" customWidth="1"/>
    <col min="13" max="13" width="11.6328125" customWidth="1"/>
    <col min="14" max="15" width="15.6328125" customWidth="1"/>
    <col min="16" max="16" width="25.7265625" customWidth="1"/>
    <col min="17" max="17" width="20.81640625" customWidth="1"/>
    <col min="18" max="23" width="15.6328125" customWidth="1"/>
    <col min="24" max="24" width="20.7265625" customWidth="1"/>
    <col min="25" max="25" width="25.7265625" customWidth="1"/>
    <col min="26" max="26" width="46.6328125" customWidth="1"/>
    <col min="27" max="27" width="20.6328125" customWidth="1"/>
    <col min="28" max="28" width="35.81640625" customWidth="1"/>
    <col min="29" max="30" width="20.6328125" customWidth="1"/>
    <col min="31" max="31" width="15.7265625" customWidth="1"/>
    <col min="32" max="32" width="20.6328125" customWidth="1"/>
  </cols>
  <sheetData>
    <row r="1" spans="1:32" s="4" customFormat="1" ht="26" customHeight="1" x14ac:dyDescent="0.35">
      <c r="A1" s="3" t="s">
        <v>0</v>
      </c>
      <c r="B1" s="2" t="s">
        <v>1</v>
      </c>
      <c r="C1" s="2" t="s">
        <v>2</v>
      </c>
      <c r="D1" s="2" t="s">
        <v>3</v>
      </c>
      <c r="E1" s="2" t="s">
        <v>4</v>
      </c>
      <c r="F1" s="2" t="s">
        <v>5</v>
      </c>
      <c r="G1" s="2" t="s">
        <v>18</v>
      </c>
      <c r="H1" s="2" t="s">
        <v>2662</v>
      </c>
      <c r="I1" s="2" t="s">
        <v>6</v>
      </c>
      <c r="J1" s="2" t="s">
        <v>7</v>
      </c>
      <c r="K1" s="2" t="s">
        <v>8</v>
      </c>
      <c r="L1" s="2" t="s">
        <v>9</v>
      </c>
      <c r="M1" s="2" t="s">
        <v>10</v>
      </c>
      <c r="N1" s="2" t="s">
        <v>11</v>
      </c>
      <c r="O1" s="2" t="s">
        <v>2661</v>
      </c>
      <c r="P1" s="2" t="s">
        <v>12</v>
      </c>
      <c r="Q1" s="2" t="s">
        <v>13</v>
      </c>
      <c r="R1" s="2" t="s">
        <v>14</v>
      </c>
      <c r="S1" s="2" t="s">
        <v>15</v>
      </c>
      <c r="T1" s="2" t="s">
        <v>2669</v>
      </c>
      <c r="U1" s="2" t="s">
        <v>2667</v>
      </c>
      <c r="V1" s="2" t="s">
        <v>2668</v>
      </c>
      <c r="W1" s="2" t="s">
        <v>2671</v>
      </c>
      <c r="X1" s="2" t="s">
        <v>2670</v>
      </c>
      <c r="Y1" s="2" t="s">
        <v>16</v>
      </c>
      <c r="Z1" s="2" t="s">
        <v>17</v>
      </c>
      <c r="AA1" s="2" t="s">
        <v>24</v>
      </c>
      <c r="AB1" s="2" t="s">
        <v>19</v>
      </c>
      <c r="AC1" s="2" t="s">
        <v>20</v>
      </c>
      <c r="AD1" s="2" t="s">
        <v>21</v>
      </c>
      <c r="AE1" s="2" t="s">
        <v>22</v>
      </c>
      <c r="AF1" s="2" t="s">
        <v>23</v>
      </c>
    </row>
    <row r="2" spans="1:32" x14ac:dyDescent="0.35">
      <c r="A2" s="5">
        <f t="shared" ref="A2:A65" si="0">VALUE(YEAR(R2)&amp;TEXT(R2,"0000"))</f>
        <v>202144393</v>
      </c>
      <c r="B2" s="5" t="s">
        <v>25</v>
      </c>
      <c r="C2" s="5" t="s">
        <v>336</v>
      </c>
      <c r="D2" s="6" t="s">
        <v>647</v>
      </c>
      <c r="E2" s="6" t="s">
        <v>648</v>
      </c>
      <c r="F2" s="6" t="s">
        <v>649</v>
      </c>
      <c r="G2" s="6" t="s">
        <v>2695</v>
      </c>
      <c r="H2" s="6" t="s">
        <v>2686</v>
      </c>
      <c r="I2" s="7">
        <v>31552</v>
      </c>
      <c r="J2" s="6">
        <f t="shared" ref="J2:J65" ca="1" si="1">IF(I2="","",DATEDIF(I2,TODAY(),"Y"))</f>
        <v>40</v>
      </c>
      <c r="K2" s="6" t="s">
        <v>791</v>
      </c>
      <c r="L2" s="6" t="s">
        <v>651</v>
      </c>
      <c r="M2" s="6" t="s">
        <v>652</v>
      </c>
      <c r="N2" s="6" t="s">
        <v>653</v>
      </c>
      <c r="O2" s="6" t="s">
        <v>654</v>
      </c>
      <c r="P2" s="6" t="s">
        <v>655</v>
      </c>
      <c r="Q2" s="6" t="s">
        <v>656</v>
      </c>
      <c r="R2" s="7">
        <v>44393</v>
      </c>
      <c r="S2" s="4" t="str">
        <f t="shared" ref="S2:S65" ca="1" si="2">IF(AND(T2&lt;&gt;"",U2&lt;&gt;""),"PKWT","PKWTT")</f>
        <v>PKWTT</v>
      </c>
      <c r="T2" s="10" t="str">
        <f t="shared" ref="T2:T65" ca="1" si="3">IF(R2&gt;TODAY(),"",IF(DATEDIF(R2,TODAY(),"Y")&gt;=5,"",IF(DATEDIF(R2,TODAY(),"Y")&lt;1,1,IF(DATEDIF(R2,TODAY(),"Y")&lt;3,2,3))))</f>
        <v/>
      </c>
      <c r="U2" s="7" t="str">
        <f t="shared" ref="U2:U65" ca="1" si="4">IF(T2="","",IF(T2=1,EDATE(R2,12)-1,IF(T2=2,EDATE(R2,36)-1,IF(T2=3,EDATE(R2,60)-1,""))))</f>
        <v/>
      </c>
      <c r="V2" s="7">
        <v>46218</v>
      </c>
      <c r="W2" s="7" t="s">
        <v>2673</v>
      </c>
      <c r="X2" s="4" t="str">
        <f ca="1">IF(U2&lt;&gt;"","Non-Active",IF(S2="PKWTT","Active",IF(U2&gt;=TODAY(),"Active","Non-Active")))</f>
        <v>Active</v>
      </c>
      <c r="Y2" s="6" t="s">
        <v>657</v>
      </c>
      <c r="Z2" s="6" t="s">
        <v>658</v>
      </c>
      <c r="AA2" s="6" t="s">
        <v>659</v>
      </c>
      <c r="AC2" s="6" t="s">
        <v>660</v>
      </c>
      <c r="AD2" s="6" t="s">
        <v>661</v>
      </c>
      <c r="AE2" s="6" t="s">
        <v>847</v>
      </c>
      <c r="AF2" s="6" t="s">
        <v>662</v>
      </c>
    </row>
    <row r="3" spans="1:32" x14ac:dyDescent="0.35">
      <c r="A3" s="5">
        <f t="shared" si="0"/>
        <v>202445405</v>
      </c>
      <c r="B3" s="5" t="s">
        <v>26</v>
      </c>
      <c r="C3" s="5" t="s">
        <v>337</v>
      </c>
      <c r="D3" s="6" t="s">
        <v>663</v>
      </c>
      <c r="E3" s="6" t="s">
        <v>648</v>
      </c>
      <c r="F3" s="6" t="s">
        <v>664</v>
      </c>
      <c r="G3" s="6" t="s">
        <v>2695</v>
      </c>
      <c r="H3" s="6" t="s">
        <v>2686</v>
      </c>
      <c r="I3" s="7">
        <v>38019</v>
      </c>
      <c r="J3" s="6">
        <f t="shared" ca="1" si="1"/>
        <v>22</v>
      </c>
      <c r="K3" s="6" t="s">
        <v>791</v>
      </c>
      <c r="L3" s="6" t="s">
        <v>666</v>
      </c>
      <c r="M3" s="6" t="s">
        <v>652</v>
      </c>
      <c r="N3" s="6" t="s">
        <v>653</v>
      </c>
      <c r="O3" s="6" t="s">
        <v>667</v>
      </c>
      <c r="P3" s="6" t="s">
        <v>668</v>
      </c>
      <c r="Q3" s="6" t="s">
        <v>656</v>
      </c>
      <c r="R3" s="7">
        <v>45405</v>
      </c>
      <c r="S3" s="4" t="str">
        <f t="shared" ca="1" si="2"/>
        <v>PKWT</v>
      </c>
      <c r="T3" s="10">
        <f t="shared" ca="1" si="3"/>
        <v>2</v>
      </c>
      <c r="U3" s="7">
        <f t="shared" ca="1" si="4"/>
        <v>46499</v>
      </c>
      <c r="V3" s="7">
        <v>46215</v>
      </c>
      <c r="W3" s="7" t="s">
        <v>2674</v>
      </c>
      <c r="X3" s="4" t="str">
        <f t="shared" ref="X3:X66" ca="1" si="5">IF(V3&lt;&gt;"","Non-Active",IF(S3="PKWTT","Active",IF(U3&gt;=TODAY(),"Active","Non-Active")))</f>
        <v>Non-Active</v>
      </c>
      <c r="Y3" s="6" t="s">
        <v>657</v>
      </c>
      <c r="Z3" s="6" t="s">
        <v>669</v>
      </c>
      <c r="AA3" s="6" t="s">
        <v>670</v>
      </c>
      <c r="AC3" s="6" t="s">
        <v>672</v>
      </c>
      <c r="AD3" s="6" t="s">
        <v>673</v>
      </c>
      <c r="AE3" s="6" t="s">
        <v>847</v>
      </c>
      <c r="AF3" s="6" t="s">
        <v>674</v>
      </c>
    </row>
    <row r="4" spans="1:32" x14ac:dyDescent="0.35">
      <c r="A4" s="5">
        <f t="shared" si="0"/>
        <v>201843144</v>
      </c>
      <c r="B4" s="5" t="s">
        <v>27</v>
      </c>
      <c r="C4" s="5" t="s">
        <v>338</v>
      </c>
      <c r="D4" s="6" t="s">
        <v>675</v>
      </c>
      <c r="E4" s="6" t="s">
        <v>676</v>
      </c>
      <c r="F4" s="6" t="s">
        <v>649</v>
      </c>
      <c r="G4" s="6" t="s">
        <v>2663</v>
      </c>
      <c r="H4" s="6" t="s">
        <v>2693</v>
      </c>
      <c r="I4" s="7">
        <v>34368</v>
      </c>
      <c r="J4" s="6">
        <f t="shared" ca="1" si="1"/>
        <v>32</v>
      </c>
      <c r="K4" s="6" t="s">
        <v>791</v>
      </c>
      <c r="L4" s="6" t="s">
        <v>651</v>
      </c>
      <c r="M4" s="6" t="s">
        <v>677</v>
      </c>
      <c r="N4" s="6" t="s">
        <v>653</v>
      </c>
      <c r="O4" s="6" t="s">
        <v>678</v>
      </c>
      <c r="P4" s="6" t="s">
        <v>679</v>
      </c>
      <c r="Q4" s="6" t="s">
        <v>680</v>
      </c>
      <c r="R4" s="7">
        <v>43144</v>
      </c>
      <c r="S4" s="4" t="str">
        <f t="shared" ca="1" si="2"/>
        <v>PKWTT</v>
      </c>
      <c r="T4" s="10" t="str">
        <f t="shared" ca="1" si="3"/>
        <v/>
      </c>
      <c r="U4" s="7" t="str">
        <f t="shared" ca="1" si="4"/>
        <v/>
      </c>
      <c r="V4" s="7"/>
      <c r="W4" s="7"/>
      <c r="X4" s="4" t="str">
        <f t="shared" ca="1" si="5"/>
        <v>Active</v>
      </c>
      <c r="Y4" s="6" t="s">
        <v>681</v>
      </c>
      <c r="Z4" s="6" t="s">
        <v>682</v>
      </c>
      <c r="AA4" s="6" t="s">
        <v>683</v>
      </c>
      <c r="AC4" s="6" t="s">
        <v>685</v>
      </c>
      <c r="AD4" s="6" t="s">
        <v>686</v>
      </c>
      <c r="AE4" s="6" t="s">
        <v>847</v>
      </c>
      <c r="AF4" s="6" t="s">
        <v>687</v>
      </c>
    </row>
    <row r="5" spans="1:32" ht="14.5" customHeight="1" x14ac:dyDescent="0.35">
      <c r="A5" s="5">
        <f t="shared" si="0"/>
        <v>201943549</v>
      </c>
      <c r="B5" s="5" t="s">
        <v>28</v>
      </c>
      <c r="C5" s="5" t="s">
        <v>339</v>
      </c>
      <c r="D5" s="6" t="s">
        <v>688</v>
      </c>
      <c r="E5" s="6" t="s">
        <v>648</v>
      </c>
      <c r="F5" s="6" t="s">
        <v>689</v>
      </c>
      <c r="G5" s="6" t="s">
        <v>2663</v>
      </c>
      <c r="H5" s="6" t="s">
        <v>2682</v>
      </c>
      <c r="I5" s="7">
        <v>32485</v>
      </c>
      <c r="J5" s="6">
        <f t="shared" ca="1" si="1"/>
        <v>37</v>
      </c>
      <c r="K5" s="6" t="s">
        <v>791</v>
      </c>
      <c r="L5" s="6" t="s">
        <v>651</v>
      </c>
      <c r="M5" s="6" t="s">
        <v>691</v>
      </c>
      <c r="N5" s="6" t="s">
        <v>653</v>
      </c>
      <c r="O5" s="6" t="s">
        <v>692</v>
      </c>
      <c r="P5" s="6" t="s">
        <v>693</v>
      </c>
      <c r="Q5" s="6" t="s">
        <v>694</v>
      </c>
      <c r="R5" s="7">
        <v>43549</v>
      </c>
      <c r="S5" s="4" t="str">
        <f t="shared" ca="1" si="2"/>
        <v>PKWTT</v>
      </c>
      <c r="T5" s="10" t="str">
        <f t="shared" ca="1" si="3"/>
        <v/>
      </c>
      <c r="U5" s="7" t="str">
        <f t="shared" ca="1" si="4"/>
        <v/>
      </c>
      <c r="V5" s="7"/>
      <c r="W5" s="7"/>
      <c r="X5" s="4" t="str">
        <f t="shared" ca="1" si="5"/>
        <v>Active</v>
      </c>
      <c r="Y5" s="6" t="s">
        <v>2643</v>
      </c>
      <c r="Z5" s="6" t="s">
        <v>2645</v>
      </c>
      <c r="AA5" s="6" t="s">
        <v>2642</v>
      </c>
      <c r="AC5" s="6" t="s">
        <v>697</v>
      </c>
      <c r="AD5" s="6" t="s">
        <v>698</v>
      </c>
      <c r="AE5" s="6" t="s">
        <v>847</v>
      </c>
      <c r="AF5" s="6" t="s">
        <v>699</v>
      </c>
    </row>
    <row r="6" spans="1:32" ht="14.5" customHeight="1" x14ac:dyDescent="0.35">
      <c r="A6" s="5">
        <f t="shared" si="0"/>
        <v>201742831</v>
      </c>
      <c r="B6" s="5" t="s">
        <v>29</v>
      </c>
      <c r="C6" s="5" t="s">
        <v>340</v>
      </c>
      <c r="D6" s="6" t="s">
        <v>700</v>
      </c>
      <c r="E6" s="6" t="s">
        <v>648</v>
      </c>
      <c r="F6" s="6" t="s">
        <v>649</v>
      </c>
      <c r="G6" s="6" t="s">
        <v>2695</v>
      </c>
      <c r="H6" s="6" t="s">
        <v>2686</v>
      </c>
      <c r="I6" s="7">
        <v>31788</v>
      </c>
      <c r="J6" s="6">
        <f t="shared" ca="1" si="1"/>
        <v>39</v>
      </c>
      <c r="K6" s="6" t="s">
        <v>791</v>
      </c>
      <c r="L6" s="6" t="s">
        <v>651</v>
      </c>
      <c r="M6" s="6" t="s">
        <v>701</v>
      </c>
      <c r="N6" s="6" t="s">
        <v>653</v>
      </c>
      <c r="O6" s="6" t="s">
        <v>702</v>
      </c>
      <c r="P6" s="6" t="s">
        <v>703</v>
      </c>
      <c r="Q6" s="6" t="s">
        <v>704</v>
      </c>
      <c r="R6" s="7">
        <v>42831</v>
      </c>
      <c r="S6" s="4" t="str">
        <f t="shared" ca="1" si="2"/>
        <v>PKWTT</v>
      </c>
      <c r="T6" s="10" t="str">
        <f t="shared" ca="1" si="3"/>
        <v/>
      </c>
      <c r="U6" s="7" t="str">
        <f t="shared" ca="1" si="4"/>
        <v/>
      </c>
      <c r="V6" s="7"/>
      <c r="W6" s="7"/>
      <c r="X6" s="4" t="str">
        <f t="shared" ca="1" si="5"/>
        <v>Active</v>
      </c>
      <c r="Y6" s="6" t="s">
        <v>657</v>
      </c>
      <c r="Z6" s="6" t="s">
        <v>705</v>
      </c>
      <c r="AA6" s="6" t="s">
        <v>706</v>
      </c>
      <c r="AC6" s="6" t="s">
        <v>708</v>
      </c>
      <c r="AD6" s="6" t="s">
        <v>709</v>
      </c>
      <c r="AE6" s="6" t="s">
        <v>847</v>
      </c>
      <c r="AF6" s="6" t="s">
        <v>710</v>
      </c>
    </row>
    <row r="7" spans="1:32" ht="14.5" customHeight="1" x14ac:dyDescent="0.35">
      <c r="A7" s="5">
        <f t="shared" si="0"/>
        <v>202043954</v>
      </c>
      <c r="B7" s="5" t="s">
        <v>30</v>
      </c>
      <c r="C7" s="5" t="s">
        <v>341</v>
      </c>
      <c r="D7" s="6" t="s">
        <v>711</v>
      </c>
      <c r="E7" s="6" t="s">
        <v>676</v>
      </c>
      <c r="F7" s="6" t="s">
        <v>649</v>
      </c>
      <c r="G7" s="6" t="s">
        <v>2663</v>
      </c>
      <c r="H7" s="6" t="s">
        <v>2676</v>
      </c>
      <c r="I7" s="7">
        <v>28118</v>
      </c>
      <c r="J7" s="6">
        <f t="shared" ca="1" si="1"/>
        <v>49</v>
      </c>
      <c r="K7" s="6" t="s">
        <v>791</v>
      </c>
      <c r="L7" s="6" t="s">
        <v>651</v>
      </c>
      <c r="M7" s="6" t="s">
        <v>652</v>
      </c>
      <c r="N7" s="6" t="s">
        <v>653</v>
      </c>
      <c r="O7" s="6" t="s">
        <v>712</v>
      </c>
      <c r="P7" s="6" t="s">
        <v>713</v>
      </c>
      <c r="Q7" s="6" t="s">
        <v>656</v>
      </c>
      <c r="R7" s="7">
        <v>43954</v>
      </c>
      <c r="S7" s="4" t="str">
        <f t="shared" ca="1" si="2"/>
        <v>PKWTT</v>
      </c>
      <c r="T7" s="10" t="str">
        <f t="shared" ca="1" si="3"/>
        <v/>
      </c>
      <c r="U7" s="7" t="str">
        <f t="shared" ca="1" si="4"/>
        <v/>
      </c>
      <c r="V7" s="7"/>
      <c r="W7" s="7"/>
      <c r="X7" s="4" t="str">
        <f t="shared" ca="1" si="5"/>
        <v>Active</v>
      </c>
      <c r="Y7" s="6" t="s">
        <v>714</v>
      </c>
      <c r="Z7" s="6" t="s">
        <v>715</v>
      </c>
      <c r="AA7" s="6" t="s">
        <v>659</v>
      </c>
      <c r="AC7" s="6" t="s">
        <v>717</v>
      </c>
      <c r="AD7" s="6" t="s">
        <v>718</v>
      </c>
      <c r="AE7" s="6" t="s">
        <v>847</v>
      </c>
      <c r="AF7" s="6" t="s">
        <v>719</v>
      </c>
    </row>
    <row r="8" spans="1:32" x14ac:dyDescent="0.35">
      <c r="A8" s="5">
        <f t="shared" si="0"/>
        <v>202043916</v>
      </c>
      <c r="B8" s="5" t="s">
        <v>31</v>
      </c>
      <c r="C8" s="5" t="s">
        <v>342</v>
      </c>
      <c r="D8" s="6" t="s">
        <v>720</v>
      </c>
      <c r="E8" s="6" t="s">
        <v>648</v>
      </c>
      <c r="F8" s="6" t="s">
        <v>664</v>
      </c>
      <c r="G8" s="6" t="s">
        <v>2663</v>
      </c>
      <c r="H8" s="6" t="s">
        <v>2682</v>
      </c>
      <c r="I8" s="7">
        <v>30657</v>
      </c>
      <c r="J8" s="6">
        <f t="shared" ca="1" si="1"/>
        <v>42</v>
      </c>
      <c r="K8" s="6" t="s">
        <v>791</v>
      </c>
      <c r="L8" s="6" t="s">
        <v>651</v>
      </c>
      <c r="M8" s="6" t="s">
        <v>677</v>
      </c>
      <c r="N8" s="6" t="s">
        <v>653</v>
      </c>
      <c r="O8" s="6" t="s">
        <v>722</v>
      </c>
      <c r="P8" s="6" t="s">
        <v>723</v>
      </c>
      <c r="Q8" s="6" t="s">
        <v>656</v>
      </c>
      <c r="R8" s="7">
        <v>43916</v>
      </c>
      <c r="S8" s="4" t="str">
        <f t="shared" ca="1" si="2"/>
        <v>PKWTT</v>
      </c>
      <c r="T8" s="10" t="str">
        <f t="shared" ca="1" si="3"/>
        <v/>
      </c>
      <c r="U8" s="7" t="str">
        <f t="shared" ca="1" si="4"/>
        <v/>
      </c>
      <c r="V8" s="7"/>
      <c r="W8" s="7"/>
      <c r="X8" s="4" t="str">
        <f t="shared" ca="1" si="5"/>
        <v>Active</v>
      </c>
      <c r="Y8" s="6" t="s">
        <v>681</v>
      </c>
      <c r="Z8" s="6" t="s">
        <v>682</v>
      </c>
      <c r="AA8" s="6" t="s">
        <v>683</v>
      </c>
      <c r="AC8" s="6" t="s">
        <v>725</v>
      </c>
      <c r="AD8" s="6" t="s">
        <v>726</v>
      </c>
      <c r="AE8" s="6" t="s">
        <v>847</v>
      </c>
      <c r="AF8" s="6" t="s">
        <v>727</v>
      </c>
    </row>
    <row r="9" spans="1:32" ht="14.5" customHeight="1" x14ac:dyDescent="0.35">
      <c r="A9" s="5">
        <f t="shared" si="0"/>
        <v>202044026</v>
      </c>
      <c r="B9" s="5" t="s">
        <v>32</v>
      </c>
      <c r="C9" s="5" t="s">
        <v>343</v>
      </c>
      <c r="D9" s="6" t="s">
        <v>728</v>
      </c>
      <c r="E9" s="6" t="s">
        <v>676</v>
      </c>
      <c r="F9" s="6" t="s">
        <v>649</v>
      </c>
      <c r="G9" s="6" t="s">
        <v>2663</v>
      </c>
      <c r="H9" s="6" t="s">
        <v>2689</v>
      </c>
      <c r="I9" s="7">
        <v>29849</v>
      </c>
      <c r="J9" s="6">
        <f t="shared" ca="1" si="1"/>
        <v>44</v>
      </c>
      <c r="K9" s="6" t="s">
        <v>791</v>
      </c>
      <c r="L9" s="6" t="s">
        <v>666</v>
      </c>
      <c r="M9" s="6" t="s">
        <v>677</v>
      </c>
      <c r="N9" s="6" t="s">
        <v>653</v>
      </c>
      <c r="O9" s="6" t="s">
        <v>729</v>
      </c>
      <c r="P9" s="6" t="s">
        <v>730</v>
      </c>
      <c r="Q9" s="6" t="s">
        <v>731</v>
      </c>
      <c r="R9" s="7">
        <v>44026</v>
      </c>
      <c r="S9" s="4" t="str">
        <f t="shared" ca="1" si="2"/>
        <v>PKWTT</v>
      </c>
      <c r="T9" s="10" t="str">
        <f t="shared" ca="1" si="3"/>
        <v/>
      </c>
      <c r="U9" s="7" t="str">
        <f t="shared" ca="1" si="4"/>
        <v/>
      </c>
      <c r="V9" s="7"/>
      <c r="W9" s="7"/>
      <c r="X9" s="4" t="str">
        <f t="shared" ca="1" si="5"/>
        <v>Active</v>
      </c>
      <c r="Y9" s="6" t="s">
        <v>732</v>
      </c>
      <c r="Z9" s="6" t="s">
        <v>733</v>
      </c>
      <c r="AA9" s="6" t="s">
        <v>659</v>
      </c>
      <c r="AC9" s="6" t="s">
        <v>735</v>
      </c>
      <c r="AD9" s="6" t="s">
        <v>736</v>
      </c>
      <c r="AE9" s="6" t="s">
        <v>847</v>
      </c>
      <c r="AF9" s="6" t="s">
        <v>737</v>
      </c>
    </row>
    <row r="10" spans="1:32" ht="14.5" customHeight="1" x14ac:dyDescent="0.35">
      <c r="A10" s="5">
        <f t="shared" si="0"/>
        <v>201943527</v>
      </c>
      <c r="B10" s="5" t="s">
        <v>243</v>
      </c>
      <c r="C10" s="5" t="s">
        <v>554</v>
      </c>
      <c r="D10" s="6" t="s">
        <v>2636</v>
      </c>
      <c r="E10" s="6" t="s">
        <v>648</v>
      </c>
      <c r="F10" s="6" t="s">
        <v>689</v>
      </c>
      <c r="G10" s="6" t="s">
        <v>2663</v>
      </c>
      <c r="H10" s="6" t="s">
        <v>2689</v>
      </c>
      <c r="I10" s="7">
        <v>27804</v>
      </c>
      <c r="J10" s="6">
        <f t="shared" ca="1" si="1"/>
        <v>50</v>
      </c>
      <c r="K10" s="6" t="s">
        <v>791</v>
      </c>
      <c r="L10" s="6" t="s">
        <v>651</v>
      </c>
      <c r="M10" s="6" t="s">
        <v>677</v>
      </c>
      <c r="N10" s="6" t="s">
        <v>653</v>
      </c>
      <c r="O10" s="6" t="s">
        <v>2121</v>
      </c>
      <c r="P10" s="6" t="s">
        <v>1032</v>
      </c>
      <c r="Q10" s="6" t="s">
        <v>704</v>
      </c>
      <c r="R10" s="7">
        <v>43527</v>
      </c>
      <c r="S10" s="4" t="str">
        <f t="shared" ca="1" si="2"/>
        <v>PKWTT</v>
      </c>
      <c r="T10" s="10" t="str">
        <f t="shared" ca="1" si="3"/>
        <v/>
      </c>
      <c r="U10" s="7" t="str">
        <f t="shared" ca="1" si="4"/>
        <v/>
      </c>
      <c r="V10" s="7"/>
      <c r="W10" s="7"/>
      <c r="X10" s="4" t="str">
        <f t="shared" ca="1" si="5"/>
        <v>Active</v>
      </c>
      <c r="Y10" s="6" t="s">
        <v>739</v>
      </c>
      <c r="Z10" s="6" t="s">
        <v>2635</v>
      </c>
      <c r="AA10" s="6" t="s">
        <v>2621</v>
      </c>
      <c r="AC10" s="6" t="s">
        <v>2123</v>
      </c>
      <c r="AD10" s="6" t="s">
        <v>2124</v>
      </c>
      <c r="AE10" s="6" t="s">
        <v>847</v>
      </c>
      <c r="AF10" s="6" t="s">
        <v>2125</v>
      </c>
    </row>
    <row r="11" spans="1:32" ht="14.5" customHeight="1" x14ac:dyDescent="0.35">
      <c r="A11" s="5">
        <f t="shared" si="0"/>
        <v>202044023</v>
      </c>
      <c r="B11" s="5" t="s">
        <v>33</v>
      </c>
      <c r="C11" s="5" t="s">
        <v>344</v>
      </c>
      <c r="D11" s="6" t="s">
        <v>741</v>
      </c>
      <c r="E11" s="6" t="s">
        <v>676</v>
      </c>
      <c r="F11" s="6" t="s">
        <v>742</v>
      </c>
      <c r="G11" s="6" t="s">
        <v>2695</v>
      </c>
      <c r="H11" s="6" t="s">
        <v>2687</v>
      </c>
      <c r="I11" s="7">
        <v>37720</v>
      </c>
      <c r="J11" s="6">
        <f t="shared" ca="1" si="1"/>
        <v>23</v>
      </c>
      <c r="K11" s="6" t="s">
        <v>791</v>
      </c>
      <c r="L11" s="6" t="s">
        <v>666</v>
      </c>
      <c r="M11" s="6" t="s">
        <v>701</v>
      </c>
      <c r="N11" s="6" t="s">
        <v>653</v>
      </c>
      <c r="O11" s="6" t="s">
        <v>743</v>
      </c>
      <c r="P11" s="6" t="s">
        <v>744</v>
      </c>
      <c r="Q11" s="6" t="s">
        <v>704</v>
      </c>
      <c r="R11" s="7">
        <v>44023</v>
      </c>
      <c r="S11" s="4" t="str">
        <f t="shared" ca="1" si="2"/>
        <v>PKWTT</v>
      </c>
      <c r="T11" s="10" t="str">
        <f t="shared" ca="1" si="3"/>
        <v/>
      </c>
      <c r="U11" s="7" t="str">
        <f t="shared" ca="1" si="4"/>
        <v/>
      </c>
      <c r="V11" s="7"/>
      <c r="W11" s="7"/>
      <c r="X11" s="4" t="str">
        <f t="shared" ca="1" si="5"/>
        <v>Active</v>
      </c>
      <c r="Y11" s="6" t="s">
        <v>681</v>
      </c>
      <c r="Z11" s="6" t="s">
        <v>682</v>
      </c>
      <c r="AA11" s="6" t="s">
        <v>683</v>
      </c>
      <c r="AC11" s="6" t="s">
        <v>746</v>
      </c>
      <c r="AD11" s="6" t="s">
        <v>747</v>
      </c>
      <c r="AE11" s="6" t="s">
        <v>847</v>
      </c>
      <c r="AF11" s="6" t="s">
        <v>748</v>
      </c>
    </row>
    <row r="12" spans="1:32" ht="14.5" customHeight="1" x14ac:dyDescent="0.35">
      <c r="A12" s="5">
        <f t="shared" si="0"/>
        <v>202044061</v>
      </c>
      <c r="B12" s="5" t="s">
        <v>34</v>
      </c>
      <c r="C12" s="5" t="s">
        <v>345</v>
      </c>
      <c r="D12" s="6" t="s">
        <v>749</v>
      </c>
      <c r="E12" s="6" t="s">
        <v>676</v>
      </c>
      <c r="F12" s="6" t="s">
        <v>738</v>
      </c>
      <c r="G12" s="6" t="s">
        <v>2663</v>
      </c>
      <c r="H12" s="6" t="s">
        <v>2689</v>
      </c>
      <c r="I12" s="7">
        <v>28770</v>
      </c>
      <c r="J12" s="6">
        <f t="shared" ca="1" si="1"/>
        <v>47</v>
      </c>
      <c r="K12" s="6" t="s">
        <v>791</v>
      </c>
      <c r="L12" s="6" t="s">
        <v>651</v>
      </c>
      <c r="M12" s="6" t="s">
        <v>652</v>
      </c>
      <c r="N12" s="6" t="s">
        <v>653</v>
      </c>
      <c r="O12" s="6" t="s">
        <v>750</v>
      </c>
      <c r="P12" s="6" t="s">
        <v>751</v>
      </c>
      <c r="Q12" s="6" t="s">
        <v>656</v>
      </c>
      <c r="R12" s="7">
        <v>44061</v>
      </c>
      <c r="S12" s="4" t="str">
        <f t="shared" ca="1" si="2"/>
        <v>PKWTT</v>
      </c>
      <c r="T12" s="10" t="str">
        <f t="shared" ca="1" si="3"/>
        <v/>
      </c>
      <c r="U12" s="7" t="str">
        <f t="shared" ca="1" si="4"/>
        <v/>
      </c>
      <c r="V12" s="7"/>
      <c r="W12" s="7"/>
      <c r="X12" s="4" t="str">
        <f t="shared" ca="1" si="5"/>
        <v>Active</v>
      </c>
      <c r="Y12" s="6" t="s">
        <v>681</v>
      </c>
      <c r="Z12" s="6" t="s">
        <v>682</v>
      </c>
      <c r="AA12" s="6" t="s">
        <v>683</v>
      </c>
      <c r="AC12" s="6" t="s">
        <v>753</v>
      </c>
      <c r="AD12" s="6" t="s">
        <v>754</v>
      </c>
      <c r="AE12" s="6" t="s">
        <v>847</v>
      </c>
      <c r="AF12" s="6" t="s">
        <v>755</v>
      </c>
    </row>
    <row r="13" spans="1:32" ht="14.5" customHeight="1" x14ac:dyDescent="0.35">
      <c r="A13" s="5">
        <f t="shared" si="0"/>
        <v>202445365</v>
      </c>
      <c r="B13" s="5" t="s">
        <v>35</v>
      </c>
      <c r="C13" s="5" t="s">
        <v>346</v>
      </c>
      <c r="D13" s="6" t="s">
        <v>756</v>
      </c>
      <c r="E13" s="6" t="s">
        <v>648</v>
      </c>
      <c r="F13" s="6" t="s">
        <v>689</v>
      </c>
      <c r="G13" s="6" t="s">
        <v>2695</v>
      </c>
      <c r="H13" s="6" t="s">
        <v>2691</v>
      </c>
      <c r="I13" s="7">
        <v>32002</v>
      </c>
      <c r="J13" s="6">
        <f t="shared" ca="1" si="1"/>
        <v>38</v>
      </c>
      <c r="K13" s="6" t="s">
        <v>791</v>
      </c>
      <c r="L13" s="6" t="s">
        <v>666</v>
      </c>
      <c r="M13" s="6" t="s">
        <v>691</v>
      </c>
      <c r="N13" s="6" t="s">
        <v>653</v>
      </c>
      <c r="O13" s="6" t="s">
        <v>757</v>
      </c>
      <c r="P13" s="6" t="s">
        <v>758</v>
      </c>
      <c r="Q13" s="6" t="s">
        <v>731</v>
      </c>
      <c r="R13" s="7">
        <v>45365</v>
      </c>
      <c r="S13" s="4" t="str">
        <f t="shared" ca="1" si="2"/>
        <v>PKWT</v>
      </c>
      <c r="T13" s="10">
        <f t="shared" ca="1" si="3"/>
        <v>2</v>
      </c>
      <c r="U13" s="7">
        <f t="shared" ca="1" si="4"/>
        <v>46459</v>
      </c>
      <c r="V13" s="7"/>
      <c r="W13" s="7"/>
      <c r="X13" s="4" t="str">
        <f t="shared" ca="1" si="5"/>
        <v>Active</v>
      </c>
      <c r="Y13" s="6" t="s">
        <v>681</v>
      </c>
      <c r="Z13" s="6" t="s">
        <v>759</v>
      </c>
      <c r="AA13" s="6" t="s">
        <v>659</v>
      </c>
      <c r="AC13" s="6" t="s">
        <v>761</v>
      </c>
      <c r="AD13" s="6" t="s">
        <v>762</v>
      </c>
      <c r="AE13" s="6" t="s">
        <v>847</v>
      </c>
      <c r="AF13" s="6" t="s">
        <v>763</v>
      </c>
    </row>
    <row r="14" spans="1:32" ht="14.5" customHeight="1" x14ac:dyDescent="0.35">
      <c r="A14" s="5">
        <f t="shared" si="0"/>
        <v>201843451</v>
      </c>
      <c r="B14" s="5" t="s">
        <v>36</v>
      </c>
      <c r="C14" s="5" t="s">
        <v>347</v>
      </c>
      <c r="D14" s="6" t="s">
        <v>767</v>
      </c>
      <c r="E14" s="6" t="s">
        <v>648</v>
      </c>
      <c r="F14" s="6" t="s">
        <v>768</v>
      </c>
      <c r="G14" s="6" t="s">
        <v>2695</v>
      </c>
      <c r="H14" s="6" t="s">
        <v>2686</v>
      </c>
      <c r="I14" s="7">
        <v>36780</v>
      </c>
      <c r="J14" s="6">
        <f t="shared" ca="1" si="1"/>
        <v>25</v>
      </c>
      <c r="K14" s="6" t="s">
        <v>791</v>
      </c>
      <c r="L14" s="6" t="s">
        <v>651</v>
      </c>
      <c r="M14" s="6" t="s">
        <v>677</v>
      </c>
      <c r="N14" s="6" t="s">
        <v>653</v>
      </c>
      <c r="O14" s="6" t="s">
        <v>769</v>
      </c>
      <c r="P14" s="6" t="s">
        <v>770</v>
      </c>
      <c r="Q14" s="6" t="s">
        <v>656</v>
      </c>
      <c r="R14" s="7">
        <v>43451</v>
      </c>
      <c r="S14" s="4" t="str">
        <f t="shared" ca="1" si="2"/>
        <v>PKWTT</v>
      </c>
      <c r="T14" s="10" t="str">
        <f t="shared" ca="1" si="3"/>
        <v/>
      </c>
      <c r="U14" s="7" t="str">
        <f t="shared" ca="1" si="4"/>
        <v/>
      </c>
      <c r="V14" s="7"/>
      <c r="W14" s="7"/>
      <c r="X14" s="4" t="str">
        <f t="shared" ca="1" si="5"/>
        <v>Active</v>
      </c>
      <c r="Y14" s="6" t="s">
        <v>657</v>
      </c>
      <c r="Z14" s="6" t="s">
        <v>669</v>
      </c>
      <c r="AA14" s="6" t="s">
        <v>670</v>
      </c>
      <c r="AC14" s="6" t="s">
        <v>772</v>
      </c>
      <c r="AD14" s="6" t="s">
        <v>773</v>
      </c>
      <c r="AE14" s="6" t="s">
        <v>847</v>
      </c>
      <c r="AF14" s="6" t="s">
        <v>774</v>
      </c>
    </row>
    <row r="15" spans="1:32" ht="14.5" customHeight="1" x14ac:dyDescent="0.35">
      <c r="A15" s="5">
        <f t="shared" si="0"/>
        <v>202646255</v>
      </c>
      <c r="B15" s="5" t="s">
        <v>37</v>
      </c>
      <c r="C15" s="5" t="s">
        <v>348</v>
      </c>
      <c r="D15" s="6" t="s">
        <v>775</v>
      </c>
      <c r="E15" s="6" t="s">
        <v>648</v>
      </c>
      <c r="F15" s="6" t="s">
        <v>664</v>
      </c>
      <c r="G15" s="6" t="s">
        <v>2695</v>
      </c>
      <c r="H15" s="6" t="s">
        <v>2686</v>
      </c>
      <c r="I15" s="7">
        <v>37521</v>
      </c>
      <c r="J15" s="6">
        <f t="shared" ca="1" si="1"/>
        <v>23</v>
      </c>
      <c r="K15" s="6" t="s">
        <v>791</v>
      </c>
      <c r="L15" s="6" t="s">
        <v>666</v>
      </c>
      <c r="M15" s="6" t="s">
        <v>677</v>
      </c>
      <c r="N15" s="6" t="s">
        <v>653</v>
      </c>
      <c r="O15" s="6" t="s">
        <v>776</v>
      </c>
      <c r="P15" s="6" t="s">
        <v>777</v>
      </c>
      <c r="Q15" s="6" t="s">
        <v>778</v>
      </c>
      <c r="R15" s="7">
        <v>46255</v>
      </c>
      <c r="S15" s="4" t="str">
        <f t="shared" ca="1" si="2"/>
        <v>PKWTT</v>
      </c>
      <c r="T15" s="10" t="str">
        <f t="shared" ca="1" si="3"/>
        <v/>
      </c>
      <c r="U15" s="7" t="str">
        <f t="shared" ca="1" si="4"/>
        <v/>
      </c>
      <c r="V15" s="7"/>
      <c r="W15" s="7"/>
      <c r="X15" s="4" t="str">
        <f t="shared" ca="1" si="5"/>
        <v>Active</v>
      </c>
      <c r="Y15" s="6" t="s">
        <v>657</v>
      </c>
      <c r="Z15" s="6" t="s">
        <v>658</v>
      </c>
      <c r="AA15" s="6" t="s">
        <v>2640</v>
      </c>
      <c r="AC15" s="6" t="s">
        <v>780</v>
      </c>
      <c r="AD15" s="6" t="s">
        <v>781</v>
      </c>
      <c r="AE15" s="6" t="s">
        <v>847</v>
      </c>
      <c r="AF15" s="6" t="s">
        <v>782</v>
      </c>
    </row>
    <row r="16" spans="1:32" ht="14.5" customHeight="1" x14ac:dyDescent="0.35">
      <c r="A16" s="5">
        <f t="shared" si="0"/>
        <v>202545716</v>
      </c>
      <c r="B16" s="5" t="s">
        <v>38</v>
      </c>
      <c r="C16" s="5" t="s">
        <v>349</v>
      </c>
      <c r="D16" s="6" t="s">
        <v>783</v>
      </c>
      <c r="E16" s="6" t="s">
        <v>648</v>
      </c>
      <c r="F16" s="6" t="s">
        <v>649</v>
      </c>
      <c r="G16" s="6" t="s">
        <v>2695</v>
      </c>
      <c r="H16" s="6" t="s">
        <v>2691</v>
      </c>
      <c r="I16" s="7">
        <v>30421</v>
      </c>
      <c r="J16" s="6">
        <f t="shared" ca="1" si="1"/>
        <v>43</v>
      </c>
      <c r="K16" s="6" t="s">
        <v>791</v>
      </c>
      <c r="L16" s="6" t="s">
        <v>666</v>
      </c>
      <c r="M16" s="6" t="s">
        <v>701</v>
      </c>
      <c r="N16" s="6" t="s">
        <v>653</v>
      </c>
      <c r="O16" s="6" t="s">
        <v>784</v>
      </c>
      <c r="P16" s="6" t="s">
        <v>785</v>
      </c>
      <c r="Q16" s="6" t="s">
        <v>704</v>
      </c>
      <c r="R16" s="7">
        <v>45716</v>
      </c>
      <c r="S16" s="4" t="str">
        <f t="shared" ca="1" si="2"/>
        <v>PKWT</v>
      </c>
      <c r="T16" s="10">
        <f t="shared" ca="1" si="3"/>
        <v>2</v>
      </c>
      <c r="U16" s="7">
        <f t="shared" ca="1" si="4"/>
        <v>46810</v>
      </c>
      <c r="V16" s="7"/>
      <c r="W16" s="7"/>
      <c r="X16" s="4" t="str">
        <f t="shared" ca="1" si="5"/>
        <v>Active</v>
      </c>
      <c r="Y16" s="6" t="s">
        <v>681</v>
      </c>
      <c r="Z16" s="6" t="s">
        <v>759</v>
      </c>
      <c r="AA16" s="6" t="s">
        <v>659</v>
      </c>
      <c r="AC16" s="6" t="s">
        <v>787</v>
      </c>
      <c r="AD16" s="6" t="s">
        <v>788</v>
      </c>
      <c r="AE16" s="6" t="s">
        <v>847</v>
      </c>
      <c r="AF16" s="6" t="s">
        <v>789</v>
      </c>
    </row>
    <row r="17" spans="1:32" ht="14.5" customHeight="1" x14ac:dyDescent="0.35">
      <c r="A17" s="5">
        <f t="shared" si="0"/>
        <v>201441771</v>
      </c>
      <c r="B17" s="5" t="s">
        <v>39</v>
      </c>
      <c r="C17" s="5" t="s">
        <v>350</v>
      </c>
      <c r="D17" s="6" t="s">
        <v>790</v>
      </c>
      <c r="E17" s="6" t="s">
        <v>676</v>
      </c>
      <c r="F17" s="6" t="s">
        <v>664</v>
      </c>
      <c r="G17" s="6" t="s">
        <v>2695</v>
      </c>
      <c r="H17" s="6" t="s">
        <v>2686</v>
      </c>
      <c r="I17" s="7">
        <v>34082</v>
      </c>
      <c r="J17" s="6">
        <f t="shared" ca="1" si="1"/>
        <v>33</v>
      </c>
      <c r="K17" s="6" t="s">
        <v>791</v>
      </c>
      <c r="L17" s="6" t="s">
        <v>666</v>
      </c>
      <c r="M17" s="6" t="s">
        <v>652</v>
      </c>
      <c r="N17" s="6" t="s">
        <v>653</v>
      </c>
      <c r="O17" s="6" t="s">
        <v>792</v>
      </c>
      <c r="P17" s="6" t="s">
        <v>793</v>
      </c>
      <c r="Q17" s="6" t="s">
        <v>656</v>
      </c>
      <c r="R17" s="7">
        <v>41771</v>
      </c>
      <c r="S17" s="4" t="str">
        <f t="shared" ca="1" si="2"/>
        <v>PKWTT</v>
      </c>
      <c r="T17" s="10" t="str">
        <f t="shared" ca="1" si="3"/>
        <v/>
      </c>
      <c r="U17" s="7" t="str">
        <f t="shared" ca="1" si="4"/>
        <v/>
      </c>
      <c r="V17" s="7"/>
      <c r="W17" s="7"/>
      <c r="X17" s="4" t="str">
        <f t="shared" ca="1" si="5"/>
        <v>Active</v>
      </c>
      <c r="Y17" s="6" t="s">
        <v>657</v>
      </c>
      <c r="Z17" s="6" t="s">
        <v>795</v>
      </c>
      <c r="AA17" s="6" t="s">
        <v>659</v>
      </c>
      <c r="AC17" s="6" t="s">
        <v>797</v>
      </c>
      <c r="AD17" s="6" t="s">
        <v>798</v>
      </c>
      <c r="AE17" s="6" t="s">
        <v>847</v>
      </c>
      <c r="AF17" s="6" t="s">
        <v>799</v>
      </c>
    </row>
    <row r="18" spans="1:32" ht="14.5" customHeight="1" x14ac:dyDescent="0.35">
      <c r="A18" s="5">
        <f t="shared" si="0"/>
        <v>201943658</v>
      </c>
      <c r="B18" s="5" t="s">
        <v>139</v>
      </c>
      <c r="C18" s="5" t="s">
        <v>450</v>
      </c>
      <c r="D18" s="6" t="s">
        <v>1425</v>
      </c>
      <c r="E18" s="6" t="s">
        <v>648</v>
      </c>
      <c r="F18" s="6" t="s">
        <v>809</v>
      </c>
      <c r="G18" s="6" t="s">
        <v>2663</v>
      </c>
      <c r="H18" s="6" t="s">
        <v>2685</v>
      </c>
      <c r="I18" s="7">
        <v>28095</v>
      </c>
      <c r="J18" s="6">
        <f t="shared" ca="1" si="1"/>
        <v>49</v>
      </c>
      <c r="K18" s="6" t="s">
        <v>791</v>
      </c>
      <c r="L18" s="6" t="s">
        <v>651</v>
      </c>
      <c r="M18" s="6" t="s">
        <v>691</v>
      </c>
      <c r="N18" s="6" t="s">
        <v>653</v>
      </c>
      <c r="O18" s="6" t="s">
        <v>1522</v>
      </c>
      <c r="P18" s="6" t="s">
        <v>1426</v>
      </c>
      <c r="Q18" s="6" t="s">
        <v>778</v>
      </c>
      <c r="R18" s="7">
        <v>43658</v>
      </c>
      <c r="S18" s="4" t="str">
        <f t="shared" ca="1" si="2"/>
        <v>PKWTT</v>
      </c>
      <c r="T18" s="10" t="str">
        <f t="shared" ca="1" si="3"/>
        <v/>
      </c>
      <c r="U18" s="7" t="str">
        <f t="shared" ca="1" si="4"/>
        <v/>
      </c>
      <c r="V18" s="7"/>
      <c r="W18" s="7"/>
      <c r="X18" s="4" t="str">
        <f t="shared" ca="1" si="5"/>
        <v>Active</v>
      </c>
      <c r="Y18" s="6" t="s">
        <v>794</v>
      </c>
      <c r="Z18" s="6" t="s">
        <v>2627</v>
      </c>
      <c r="AA18" s="6" t="s">
        <v>2621</v>
      </c>
      <c r="AC18" s="6" t="s">
        <v>1524</v>
      </c>
      <c r="AD18" s="6" t="s">
        <v>1525</v>
      </c>
      <c r="AE18" s="6" t="s">
        <v>847</v>
      </c>
      <c r="AF18" s="6" t="s">
        <v>1526</v>
      </c>
    </row>
    <row r="19" spans="1:32" ht="14.5" customHeight="1" x14ac:dyDescent="0.35">
      <c r="A19" s="5">
        <f t="shared" si="0"/>
        <v>202044056</v>
      </c>
      <c r="B19" s="5" t="s">
        <v>41</v>
      </c>
      <c r="C19" s="5" t="s">
        <v>352</v>
      </c>
      <c r="D19" s="6" t="s">
        <v>808</v>
      </c>
      <c r="E19" s="6" t="s">
        <v>676</v>
      </c>
      <c r="F19" s="6" t="s">
        <v>809</v>
      </c>
      <c r="G19" s="6" t="s">
        <v>2695</v>
      </c>
      <c r="H19" s="6" t="s">
        <v>2686</v>
      </c>
      <c r="I19" s="7">
        <v>37107</v>
      </c>
      <c r="J19" s="6">
        <f t="shared" ca="1" si="1"/>
        <v>24</v>
      </c>
      <c r="K19" s="6" t="s">
        <v>791</v>
      </c>
      <c r="L19" s="6" t="s">
        <v>651</v>
      </c>
      <c r="M19" s="6" t="s">
        <v>677</v>
      </c>
      <c r="N19" s="6" t="s">
        <v>653</v>
      </c>
      <c r="O19" s="6" t="s">
        <v>810</v>
      </c>
      <c r="P19" s="6" t="s">
        <v>811</v>
      </c>
      <c r="Q19" s="6" t="s">
        <v>778</v>
      </c>
      <c r="R19" s="7">
        <v>44056</v>
      </c>
      <c r="S19" s="4" t="str">
        <f t="shared" ca="1" si="2"/>
        <v>PKWTT</v>
      </c>
      <c r="T19" s="10" t="str">
        <f t="shared" ca="1" si="3"/>
        <v/>
      </c>
      <c r="U19" s="7" t="str">
        <f t="shared" ca="1" si="4"/>
        <v/>
      </c>
      <c r="V19" s="7"/>
      <c r="W19" s="7"/>
      <c r="X19" s="4" t="str">
        <f t="shared" ca="1" si="5"/>
        <v>Active</v>
      </c>
      <c r="Y19" s="6" t="s">
        <v>657</v>
      </c>
      <c r="Z19" s="6" t="s">
        <v>705</v>
      </c>
      <c r="AA19" s="6" t="s">
        <v>706</v>
      </c>
      <c r="AC19" s="6" t="s">
        <v>813</v>
      </c>
      <c r="AD19" s="6" t="s">
        <v>814</v>
      </c>
      <c r="AE19" s="6" t="s">
        <v>847</v>
      </c>
      <c r="AF19" s="6" t="s">
        <v>815</v>
      </c>
    </row>
    <row r="20" spans="1:32" ht="14.5" customHeight="1" x14ac:dyDescent="0.35">
      <c r="A20" s="5">
        <f t="shared" si="0"/>
        <v>202043987</v>
      </c>
      <c r="B20" s="5" t="s">
        <v>102</v>
      </c>
      <c r="C20" s="5" t="s">
        <v>413</v>
      </c>
      <c r="D20" s="6" t="s">
        <v>879</v>
      </c>
      <c r="E20" s="6" t="s">
        <v>676</v>
      </c>
      <c r="F20" s="6" t="s">
        <v>809</v>
      </c>
      <c r="G20" s="6" t="s">
        <v>2663</v>
      </c>
      <c r="H20" s="6" t="s">
        <v>2685</v>
      </c>
      <c r="I20" s="7">
        <v>30031</v>
      </c>
      <c r="J20" s="6">
        <f t="shared" ca="1" si="1"/>
        <v>44</v>
      </c>
      <c r="K20" s="6" t="s">
        <v>791</v>
      </c>
      <c r="L20" s="6" t="s">
        <v>651</v>
      </c>
      <c r="M20" s="6" t="s">
        <v>701</v>
      </c>
      <c r="N20" s="6" t="s">
        <v>653</v>
      </c>
      <c r="O20" s="6" t="s">
        <v>1275</v>
      </c>
      <c r="P20" s="6" t="s">
        <v>881</v>
      </c>
      <c r="Q20" s="6" t="s">
        <v>680</v>
      </c>
      <c r="R20" s="7">
        <v>43987</v>
      </c>
      <c r="S20" s="4" t="str">
        <f t="shared" ca="1" si="2"/>
        <v>PKWTT</v>
      </c>
      <c r="T20" s="10" t="str">
        <f t="shared" ca="1" si="3"/>
        <v/>
      </c>
      <c r="U20" s="7" t="str">
        <f t="shared" ca="1" si="4"/>
        <v/>
      </c>
      <c r="V20" s="7"/>
      <c r="W20" s="7"/>
      <c r="X20" s="4" t="str">
        <f t="shared" ca="1" si="5"/>
        <v>Active</v>
      </c>
      <c r="Y20" s="6" t="s">
        <v>739</v>
      </c>
      <c r="Z20" s="6" t="s">
        <v>2637</v>
      </c>
      <c r="AA20" s="6" t="s">
        <v>2624</v>
      </c>
      <c r="AC20" s="6" t="s">
        <v>1277</v>
      </c>
      <c r="AD20" s="6" t="s">
        <v>1278</v>
      </c>
      <c r="AE20" s="6" t="s">
        <v>847</v>
      </c>
      <c r="AF20" s="6" t="s">
        <v>1279</v>
      </c>
    </row>
    <row r="21" spans="1:32" ht="14.5" customHeight="1" x14ac:dyDescent="0.35">
      <c r="A21" s="5">
        <f t="shared" si="0"/>
        <v>201843299</v>
      </c>
      <c r="B21" s="5" t="s">
        <v>42</v>
      </c>
      <c r="C21" s="5" t="s">
        <v>353</v>
      </c>
      <c r="D21" s="6" t="s">
        <v>820</v>
      </c>
      <c r="E21" s="6" t="s">
        <v>648</v>
      </c>
      <c r="F21" s="6" t="s">
        <v>738</v>
      </c>
      <c r="G21" s="6" t="s">
        <v>2663</v>
      </c>
      <c r="H21" s="6" t="s">
        <v>2689</v>
      </c>
      <c r="I21" s="7">
        <v>35993</v>
      </c>
      <c r="J21" s="6">
        <f t="shared" ca="1" si="1"/>
        <v>28</v>
      </c>
      <c r="K21" s="6" t="s">
        <v>791</v>
      </c>
      <c r="L21" s="6" t="s">
        <v>666</v>
      </c>
      <c r="M21" s="6" t="s">
        <v>701</v>
      </c>
      <c r="N21" s="6" t="s">
        <v>653</v>
      </c>
      <c r="O21" s="6" t="s">
        <v>821</v>
      </c>
      <c r="P21" s="6" t="s">
        <v>822</v>
      </c>
      <c r="Q21" s="6" t="s">
        <v>778</v>
      </c>
      <c r="R21" s="7">
        <v>43299</v>
      </c>
      <c r="S21" s="4" t="str">
        <f t="shared" ca="1" si="2"/>
        <v>PKWTT</v>
      </c>
      <c r="T21" s="10" t="str">
        <f t="shared" ca="1" si="3"/>
        <v/>
      </c>
      <c r="U21" s="7" t="str">
        <f t="shared" ca="1" si="4"/>
        <v/>
      </c>
      <c r="V21" s="7"/>
      <c r="W21" s="7"/>
      <c r="X21" s="4" t="str">
        <f t="shared" ca="1" si="5"/>
        <v>Active</v>
      </c>
      <c r="Y21" s="6" t="s">
        <v>794</v>
      </c>
      <c r="Z21" s="6" t="s">
        <v>795</v>
      </c>
      <c r="AA21" s="6" t="s">
        <v>659</v>
      </c>
      <c r="AC21" s="6" t="s">
        <v>824</v>
      </c>
      <c r="AD21" s="6" t="s">
        <v>825</v>
      </c>
      <c r="AE21" s="6" t="s">
        <v>847</v>
      </c>
      <c r="AF21" s="6" t="s">
        <v>826</v>
      </c>
    </row>
    <row r="22" spans="1:32" ht="14.5" customHeight="1" x14ac:dyDescent="0.35">
      <c r="A22" s="5">
        <f t="shared" si="0"/>
        <v>201943691</v>
      </c>
      <c r="B22" s="5" t="s">
        <v>43</v>
      </c>
      <c r="C22" s="5" t="s">
        <v>354</v>
      </c>
      <c r="D22" s="6" t="s">
        <v>827</v>
      </c>
      <c r="E22" s="6" t="s">
        <v>676</v>
      </c>
      <c r="F22" s="6" t="s">
        <v>689</v>
      </c>
      <c r="G22" s="6" t="s">
        <v>2663</v>
      </c>
      <c r="H22" s="6" t="s">
        <v>2689</v>
      </c>
      <c r="I22" s="7">
        <v>33932</v>
      </c>
      <c r="J22" s="6">
        <f t="shared" ca="1" si="1"/>
        <v>33</v>
      </c>
      <c r="K22" s="6" t="s">
        <v>791</v>
      </c>
      <c r="L22" s="6" t="s">
        <v>651</v>
      </c>
      <c r="M22" s="6" t="s">
        <v>691</v>
      </c>
      <c r="N22" s="6" t="s">
        <v>653</v>
      </c>
      <c r="O22" s="6" t="s">
        <v>828</v>
      </c>
      <c r="P22" s="6" t="s">
        <v>829</v>
      </c>
      <c r="Q22" s="6" t="s">
        <v>818</v>
      </c>
      <c r="R22" s="7">
        <v>43691</v>
      </c>
      <c r="S22" s="4" t="str">
        <f t="shared" ca="1" si="2"/>
        <v>PKWTT</v>
      </c>
      <c r="T22" s="10" t="str">
        <f t="shared" ca="1" si="3"/>
        <v/>
      </c>
      <c r="U22" s="7" t="str">
        <f t="shared" ca="1" si="4"/>
        <v/>
      </c>
      <c r="V22" s="7"/>
      <c r="W22" s="7"/>
      <c r="X22" s="4" t="str">
        <f t="shared" ca="1" si="5"/>
        <v>Active</v>
      </c>
      <c r="Y22" s="6" t="s">
        <v>681</v>
      </c>
      <c r="Z22" s="6" t="s">
        <v>682</v>
      </c>
      <c r="AA22" s="6" t="s">
        <v>683</v>
      </c>
      <c r="AC22" s="6" t="s">
        <v>831</v>
      </c>
      <c r="AD22" s="6" t="s">
        <v>832</v>
      </c>
      <c r="AE22" s="6" t="s">
        <v>847</v>
      </c>
      <c r="AF22" s="6" t="s">
        <v>833</v>
      </c>
    </row>
    <row r="23" spans="1:32" ht="14.5" customHeight="1" x14ac:dyDescent="0.35">
      <c r="A23" s="5">
        <f t="shared" si="0"/>
        <v>201843367</v>
      </c>
      <c r="B23" s="5" t="s">
        <v>44</v>
      </c>
      <c r="C23" s="5" t="s">
        <v>355</v>
      </c>
      <c r="D23" s="6" t="s">
        <v>834</v>
      </c>
      <c r="E23" s="6" t="s">
        <v>648</v>
      </c>
      <c r="F23" s="6" t="s">
        <v>768</v>
      </c>
      <c r="G23" s="6" t="s">
        <v>2695</v>
      </c>
      <c r="H23" s="6" t="s">
        <v>2686</v>
      </c>
      <c r="I23" s="7">
        <v>29495</v>
      </c>
      <c r="J23" s="6">
        <f t="shared" ca="1" si="1"/>
        <v>45</v>
      </c>
      <c r="K23" s="6" t="s">
        <v>791</v>
      </c>
      <c r="L23" s="6" t="s">
        <v>666</v>
      </c>
      <c r="M23" s="6" t="s">
        <v>652</v>
      </c>
      <c r="N23" s="6" t="s">
        <v>653</v>
      </c>
      <c r="O23" s="6" t="s">
        <v>835</v>
      </c>
      <c r="P23" s="6" t="s">
        <v>836</v>
      </c>
      <c r="Q23" s="6" t="s">
        <v>680</v>
      </c>
      <c r="R23" s="7">
        <v>43367</v>
      </c>
      <c r="S23" s="4" t="str">
        <f t="shared" ca="1" si="2"/>
        <v>PKWTT</v>
      </c>
      <c r="T23" s="10" t="str">
        <f t="shared" ca="1" si="3"/>
        <v/>
      </c>
      <c r="U23" s="7" t="str">
        <f t="shared" ca="1" si="4"/>
        <v/>
      </c>
      <c r="V23" s="7"/>
      <c r="W23" s="7"/>
      <c r="X23" s="4" t="str">
        <f t="shared" ca="1" si="5"/>
        <v>Active</v>
      </c>
      <c r="Y23" s="6" t="s">
        <v>657</v>
      </c>
      <c r="Z23" s="6" t="s">
        <v>658</v>
      </c>
      <c r="AA23" s="6" t="s">
        <v>659</v>
      </c>
      <c r="AC23" s="6" t="s">
        <v>838</v>
      </c>
      <c r="AD23" s="6" t="s">
        <v>839</v>
      </c>
      <c r="AE23" s="6" t="s">
        <v>847</v>
      </c>
      <c r="AF23" s="6" t="s">
        <v>840</v>
      </c>
    </row>
    <row r="24" spans="1:32" ht="14.5" customHeight="1" x14ac:dyDescent="0.35">
      <c r="A24" s="5">
        <f t="shared" si="0"/>
        <v>202545810</v>
      </c>
      <c r="B24" s="5" t="s">
        <v>45</v>
      </c>
      <c r="C24" s="5" t="s">
        <v>356</v>
      </c>
      <c r="D24" s="6" t="s">
        <v>842</v>
      </c>
      <c r="E24" s="6" t="s">
        <v>676</v>
      </c>
      <c r="F24" s="6" t="s">
        <v>664</v>
      </c>
      <c r="G24" s="6" t="s">
        <v>2663</v>
      </c>
      <c r="H24" s="6" t="s">
        <v>2689</v>
      </c>
      <c r="I24" s="7">
        <v>37843</v>
      </c>
      <c r="J24" s="6">
        <f t="shared" ca="1" si="1"/>
        <v>22</v>
      </c>
      <c r="K24" s="6" t="s">
        <v>791</v>
      </c>
      <c r="L24" s="6" t="s">
        <v>666</v>
      </c>
      <c r="M24" s="6" t="s">
        <v>652</v>
      </c>
      <c r="N24" s="6" t="s">
        <v>653</v>
      </c>
      <c r="O24" s="6" t="s">
        <v>843</v>
      </c>
      <c r="P24" s="6" t="s">
        <v>844</v>
      </c>
      <c r="Q24" s="6" t="s">
        <v>656</v>
      </c>
      <c r="R24" s="7">
        <v>45810</v>
      </c>
      <c r="S24" s="4" t="str">
        <f t="shared" ca="1" si="2"/>
        <v>PKWT</v>
      </c>
      <c r="T24" s="10">
        <f t="shared" ca="1" si="3"/>
        <v>2</v>
      </c>
      <c r="U24" s="7">
        <f t="shared" ca="1" si="4"/>
        <v>46905</v>
      </c>
      <c r="V24" s="7"/>
      <c r="W24" s="7"/>
      <c r="X24" s="4" t="str">
        <f t="shared" ca="1" si="5"/>
        <v>Active</v>
      </c>
      <c r="Y24" s="6" t="s">
        <v>681</v>
      </c>
      <c r="Z24" s="6" t="s">
        <v>759</v>
      </c>
      <c r="AA24" s="6" t="s">
        <v>659</v>
      </c>
      <c r="AC24" s="6" t="s">
        <v>845</v>
      </c>
      <c r="AD24" s="6" t="s">
        <v>846</v>
      </c>
      <c r="AE24" s="6" t="s">
        <v>847</v>
      </c>
      <c r="AF24" s="6" t="s">
        <v>848</v>
      </c>
    </row>
    <row r="25" spans="1:32" ht="14.5" customHeight="1" x14ac:dyDescent="0.35">
      <c r="A25" s="5">
        <f t="shared" si="0"/>
        <v>201642610</v>
      </c>
      <c r="B25" s="5" t="s">
        <v>46</v>
      </c>
      <c r="C25" s="5" t="s">
        <v>357</v>
      </c>
      <c r="D25" s="6" t="s">
        <v>849</v>
      </c>
      <c r="E25" s="6" t="s">
        <v>676</v>
      </c>
      <c r="F25" s="6" t="s">
        <v>649</v>
      </c>
      <c r="G25" s="6" t="s">
        <v>2695</v>
      </c>
      <c r="H25" s="6" t="s">
        <v>2686</v>
      </c>
      <c r="I25" s="7">
        <v>32041</v>
      </c>
      <c r="J25" s="6">
        <f t="shared" ca="1" si="1"/>
        <v>38</v>
      </c>
      <c r="K25" s="6" t="s">
        <v>791</v>
      </c>
      <c r="L25" s="6" t="s">
        <v>651</v>
      </c>
      <c r="M25" s="6" t="s">
        <v>701</v>
      </c>
      <c r="N25" s="6" t="s">
        <v>653</v>
      </c>
      <c r="O25" s="6" t="s">
        <v>850</v>
      </c>
      <c r="P25" s="6" t="s">
        <v>851</v>
      </c>
      <c r="Q25" s="6" t="s">
        <v>778</v>
      </c>
      <c r="R25" s="7">
        <v>42610</v>
      </c>
      <c r="S25" s="4" t="str">
        <f t="shared" ca="1" si="2"/>
        <v>PKWTT</v>
      </c>
      <c r="T25" s="10" t="str">
        <f t="shared" ca="1" si="3"/>
        <v/>
      </c>
      <c r="U25" s="7" t="str">
        <f t="shared" ca="1" si="4"/>
        <v/>
      </c>
      <c r="V25" s="7"/>
      <c r="W25" s="7"/>
      <c r="X25" s="4" t="str">
        <f t="shared" ca="1" si="5"/>
        <v>Active</v>
      </c>
      <c r="Y25" s="6" t="s">
        <v>657</v>
      </c>
      <c r="Z25" s="6" t="s">
        <v>705</v>
      </c>
      <c r="AA25" s="6" t="s">
        <v>706</v>
      </c>
      <c r="AC25" s="6" t="s">
        <v>853</v>
      </c>
      <c r="AD25" s="6" t="s">
        <v>854</v>
      </c>
      <c r="AE25" s="6" t="s">
        <v>847</v>
      </c>
      <c r="AF25" s="6" t="s">
        <v>855</v>
      </c>
    </row>
    <row r="26" spans="1:32" ht="14.5" customHeight="1" x14ac:dyDescent="0.35">
      <c r="A26" s="5">
        <f t="shared" si="0"/>
        <v>201943809</v>
      </c>
      <c r="B26" s="5" t="s">
        <v>88</v>
      </c>
      <c r="C26" s="5" t="s">
        <v>399</v>
      </c>
      <c r="D26" s="6" t="s">
        <v>1171</v>
      </c>
      <c r="E26" s="6" t="s">
        <v>676</v>
      </c>
      <c r="F26" s="6" t="s">
        <v>742</v>
      </c>
      <c r="G26" s="6" t="s">
        <v>2663</v>
      </c>
      <c r="H26" s="6" t="s">
        <v>2689</v>
      </c>
      <c r="I26" s="7">
        <v>34582</v>
      </c>
      <c r="J26" s="6">
        <f t="shared" ca="1" si="1"/>
        <v>31</v>
      </c>
      <c r="K26" s="6" t="s">
        <v>791</v>
      </c>
      <c r="L26" s="6" t="s">
        <v>666</v>
      </c>
      <c r="M26" s="6" t="s">
        <v>701</v>
      </c>
      <c r="N26" s="6" t="s">
        <v>653</v>
      </c>
      <c r="O26" s="6" t="s">
        <v>1172</v>
      </c>
      <c r="P26" s="6" t="s">
        <v>1173</v>
      </c>
      <c r="Q26" s="6" t="s">
        <v>731</v>
      </c>
      <c r="R26" s="7">
        <v>43809</v>
      </c>
      <c r="S26" s="4" t="str">
        <f t="shared" ca="1" si="2"/>
        <v>PKWTT</v>
      </c>
      <c r="T26" s="10" t="str">
        <f t="shared" ca="1" si="3"/>
        <v/>
      </c>
      <c r="U26" s="7" t="str">
        <f t="shared" ca="1" si="4"/>
        <v/>
      </c>
      <c r="V26" s="7"/>
      <c r="W26" s="7"/>
      <c r="X26" s="4" t="str">
        <f t="shared" ca="1" si="5"/>
        <v>Active</v>
      </c>
      <c r="Y26" s="6" t="s">
        <v>739</v>
      </c>
      <c r="Z26" s="6" t="s">
        <v>2638</v>
      </c>
      <c r="AA26" s="6" t="s">
        <v>683</v>
      </c>
      <c r="AC26" s="6" t="s">
        <v>1175</v>
      </c>
      <c r="AD26" s="6" t="s">
        <v>1176</v>
      </c>
      <c r="AE26" s="6" t="s">
        <v>847</v>
      </c>
      <c r="AF26" s="6" t="s">
        <v>1177</v>
      </c>
    </row>
    <row r="27" spans="1:32" ht="14.5" customHeight="1" x14ac:dyDescent="0.35">
      <c r="A27" s="5">
        <f t="shared" si="0"/>
        <v>202043864</v>
      </c>
      <c r="B27" s="5" t="s">
        <v>47</v>
      </c>
      <c r="C27" s="5" t="s">
        <v>358</v>
      </c>
      <c r="D27" s="6" t="s">
        <v>2646</v>
      </c>
      <c r="E27" s="6" t="s">
        <v>676</v>
      </c>
      <c r="F27" s="6" t="s">
        <v>742</v>
      </c>
      <c r="G27" s="6" t="s">
        <v>2663</v>
      </c>
      <c r="H27" s="6" t="s">
        <v>2689</v>
      </c>
      <c r="I27" s="7">
        <v>32753</v>
      </c>
      <c r="J27" s="6">
        <f t="shared" ca="1" si="1"/>
        <v>36</v>
      </c>
      <c r="K27" s="6" t="s">
        <v>791</v>
      </c>
      <c r="L27" s="6" t="s">
        <v>651</v>
      </c>
      <c r="M27" s="6" t="s">
        <v>691</v>
      </c>
      <c r="N27" s="6" t="s">
        <v>653</v>
      </c>
      <c r="O27" s="6" t="s">
        <v>858</v>
      </c>
      <c r="P27" s="8" t="s">
        <v>2647</v>
      </c>
      <c r="Q27" s="6" t="s">
        <v>680</v>
      </c>
      <c r="R27" s="7">
        <v>43864</v>
      </c>
      <c r="S27" s="4" t="str">
        <f t="shared" ca="1" si="2"/>
        <v>PKWTT</v>
      </c>
      <c r="T27" s="10" t="str">
        <f t="shared" ca="1" si="3"/>
        <v/>
      </c>
      <c r="U27" s="7" t="str">
        <f t="shared" ca="1" si="4"/>
        <v/>
      </c>
      <c r="V27" s="7"/>
      <c r="W27" s="7"/>
      <c r="X27" s="4" t="str">
        <f t="shared" ca="1" si="5"/>
        <v>Active</v>
      </c>
      <c r="Y27" s="6" t="s">
        <v>2643</v>
      </c>
      <c r="Z27" s="6" t="s">
        <v>2644</v>
      </c>
      <c r="AA27" s="6" t="s">
        <v>2621</v>
      </c>
      <c r="AC27" s="6" t="s">
        <v>860</v>
      </c>
      <c r="AD27" s="6" t="s">
        <v>861</v>
      </c>
      <c r="AE27" s="6" t="s">
        <v>847</v>
      </c>
      <c r="AF27" s="6" t="s">
        <v>862</v>
      </c>
    </row>
    <row r="28" spans="1:32" ht="14.5" customHeight="1" x14ac:dyDescent="0.35">
      <c r="A28" s="5">
        <f t="shared" si="0"/>
        <v>202144474</v>
      </c>
      <c r="B28" s="5" t="s">
        <v>111</v>
      </c>
      <c r="C28" s="5" t="s">
        <v>422</v>
      </c>
      <c r="D28" s="6" t="s">
        <v>1332</v>
      </c>
      <c r="E28" s="6" t="s">
        <v>648</v>
      </c>
      <c r="F28" s="6" t="s">
        <v>689</v>
      </c>
      <c r="G28" s="6" t="s">
        <v>2663</v>
      </c>
      <c r="H28" s="6" t="s">
        <v>2685</v>
      </c>
      <c r="I28" s="7">
        <v>35634</v>
      </c>
      <c r="J28" s="6">
        <f t="shared" ca="1" si="1"/>
        <v>29</v>
      </c>
      <c r="K28" s="6" t="s">
        <v>791</v>
      </c>
      <c r="L28" s="6" t="s">
        <v>651</v>
      </c>
      <c r="M28" s="6" t="s">
        <v>652</v>
      </c>
      <c r="N28" s="6" t="s">
        <v>653</v>
      </c>
      <c r="O28" s="6" t="s">
        <v>1333</v>
      </c>
      <c r="P28" s="6" t="s">
        <v>1334</v>
      </c>
      <c r="Q28" s="6" t="s">
        <v>731</v>
      </c>
      <c r="R28" s="7">
        <v>44474</v>
      </c>
      <c r="S28" s="4" t="str">
        <f t="shared" ca="1" si="2"/>
        <v>PKWT</v>
      </c>
      <c r="T28" s="10">
        <f t="shared" ca="1" si="3"/>
        <v>3</v>
      </c>
      <c r="U28" s="7">
        <f t="shared" ca="1" si="4"/>
        <v>46299</v>
      </c>
      <c r="V28" s="7"/>
      <c r="W28" s="7"/>
      <c r="X28" s="4" t="str">
        <f t="shared" ca="1" si="5"/>
        <v>Active</v>
      </c>
      <c r="Y28" s="6" t="s">
        <v>739</v>
      </c>
      <c r="Z28" s="6" t="s">
        <v>2638</v>
      </c>
      <c r="AA28" s="6" t="s">
        <v>683</v>
      </c>
      <c r="AC28" s="6" t="s">
        <v>1336</v>
      </c>
      <c r="AD28" s="6" t="s">
        <v>1337</v>
      </c>
      <c r="AE28" s="6" t="s">
        <v>847</v>
      </c>
      <c r="AF28" s="6" t="s">
        <v>1338</v>
      </c>
    </row>
    <row r="29" spans="1:32" ht="14.5" customHeight="1" x14ac:dyDescent="0.35">
      <c r="A29" s="5">
        <f t="shared" si="0"/>
        <v>202545996</v>
      </c>
      <c r="B29" s="5" t="s">
        <v>48</v>
      </c>
      <c r="C29" s="5" t="s">
        <v>359</v>
      </c>
      <c r="D29" s="6" t="s">
        <v>865</v>
      </c>
      <c r="E29" s="6" t="s">
        <v>676</v>
      </c>
      <c r="F29" s="6" t="s">
        <v>689</v>
      </c>
      <c r="G29" s="6" t="s">
        <v>2695</v>
      </c>
      <c r="H29" s="6" t="s">
        <v>2686</v>
      </c>
      <c r="I29" s="7">
        <v>39768</v>
      </c>
      <c r="J29" s="6">
        <f t="shared" ca="1" si="1"/>
        <v>17</v>
      </c>
      <c r="K29" s="6" t="s">
        <v>791</v>
      </c>
      <c r="L29" s="6" t="s">
        <v>666</v>
      </c>
      <c r="M29" s="6" t="s">
        <v>652</v>
      </c>
      <c r="N29" s="6" t="s">
        <v>653</v>
      </c>
      <c r="O29" s="6" t="s">
        <v>866</v>
      </c>
      <c r="P29" s="6" t="s">
        <v>867</v>
      </c>
      <c r="Q29" s="6" t="s">
        <v>778</v>
      </c>
      <c r="R29" s="7">
        <v>45996</v>
      </c>
      <c r="S29" s="4" t="str">
        <f t="shared" ca="1" si="2"/>
        <v>PKWT</v>
      </c>
      <c r="T29" s="10">
        <f t="shared" ca="1" si="3"/>
        <v>1</v>
      </c>
      <c r="U29" s="7">
        <f t="shared" ca="1" si="4"/>
        <v>46360</v>
      </c>
      <c r="V29" s="7"/>
      <c r="W29" s="7"/>
      <c r="X29" s="4" t="str">
        <f t="shared" ca="1" si="5"/>
        <v>Active</v>
      </c>
      <c r="Y29" s="6" t="s">
        <v>732</v>
      </c>
      <c r="Z29" s="6" t="s">
        <v>733</v>
      </c>
      <c r="AA29" s="6" t="s">
        <v>2640</v>
      </c>
      <c r="AC29" s="6" t="s">
        <v>869</v>
      </c>
      <c r="AD29" s="6" t="s">
        <v>870</v>
      </c>
      <c r="AE29" s="6" t="s">
        <v>847</v>
      </c>
      <c r="AF29" s="6" t="s">
        <v>871</v>
      </c>
    </row>
    <row r="30" spans="1:32" ht="14.5" customHeight="1" x14ac:dyDescent="0.35">
      <c r="A30" s="5">
        <f t="shared" si="0"/>
        <v>201943709</v>
      </c>
      <c r="B30" s="5" t="s">
        <v>49</v>
      </c>
      <c r="C30" s="5" t="s">
        <v>360</v>
      </c>
      <c r="D30" s="6" t="s">
        <v>872</v>
      </c>
      <c r="E30" s="6" t="s">
        <v>648</v>
      </c>
      <c r="F30" s="6" t="s">
        <v>664</v>
      </c>
      <c r="G30" s="6" t="s">
        <v>2695</v>
      </c>
      <c r="H30" s="6" t="s">
        <v>2686</v>
      </c>
      <c r="I30" s="7">
        <v>29060</v>
      </c>
      <c r="J30" s="6">
        <f t="shared" ca="1" si="1"/>
        <v>47</v>
      </c>
      <c r="K30" s="6" t="s">
        <v>791</v>
      </c>
      <c r="L30" s="6" t="s">
        <v>666</v>
      </c>
      <c r="M30" s="6" t="s">
        <v>691</v>
      </c>
      <c r="N30" s="6" t="s">
        <v>653</v>
      </c>
      <c r="O30" s="6" t="s">
        <v>873</v>
      </c>
      <c r="P30" s="6" t="s">
        <v>874</v>
      </c>
      <c r="Q30" s="6" t="s">
        <v>778</v>
      </c>
      <c r="R30" s="7">
        <v>43709</v>
      </c>
      <c r="S30" s="4" t="str">
        <f t="shared" ca="1" si="2"/>
        <v>PKWTT</v>
      </c>
      <c r="T30" s="10" t="str">
        <f t="shared" ca="1" si="3"/>
        <v/>
      </c>
      <c r="U30" s="7" t="str">
        <f t="shared" ca="1" si="4"/>
        <v/>
      </c>
      <c r="V30" s="7"/>
      <c r="W30" s="7"/>
      <c r="X30" s="4" t="str">
        <f t="shared" ca="1" si="5"/>
        <v>Active</v>
      </c>
      <c r="Y30" s="6" t="s">
        <v>657</v>
      </c>
      <c r="Z30" s="6" t="s">
        <v>658</v>
      </c>
      <c r="AA30" s="6" t="s">
        <v>659</v>
      </c>
      <c r="AC30" s="6" t="s">
        <v>876</v>
      </c>
      <c r="AD30" s="6" t="s">
        <v>877</v>
      </c>
      <c r="AE30" s="6" t="s">
        <v>847</v>
      </c>
      <c r="AF30" s="6" t="s">
        <v>878</v>
      </c>
    </row>
    <row r="31" spans="1:32" ht="14.5" customHeight="1" x14ac:dyDescent="0.35">
      <c r="A31" s="5">
        <f t="shared" si="0"/>
        <v>202043917</v>
      </c>
      <c r="B31" s="5" t="s">
        <v>50</v>
      </c>
      <c r="C31" s="5" t="s">
        <v>361</v>
      </c>
      <c r="D31" s="6" t="s">
        <v>879</v>
      </c>
      <c r="E31" s="6" t="s">
        <v>676</v>
      </c>
      <c r="F31" s="6" t="s">
        <v>689</v>
      </c>
      <c r="G31" s="6" t="s">
        <v>2695</v>
      </c>
      <c r="H31" s="6" t="s">
        <v>2686</v>
      </c>
      <c r="I31" s="7">
        <v>28597</v>
      </c>
      <c r="J31" s="6">
        <f t="shared" ca="1" si="1"/>
        <v>48</v>
      </c>
      <c r="K31" s="6" t="s">
        <v>791</v>
      </c>
      <c r="L31" s="6" t="s">
        <v>651</v>
      </c>
      <c r="M31" s="6" t="s">
        <v>677</v>
      </c>
      <c r="N31" s="6" t="s">
        <v>653</v>
      </c>
      <c r="O31" s="6" t="s">
        <v>880</v>
      </c>
      <c r="P31" s="6" t="s">
        <v>881</v>
      </c>
      <c r="Q31" s="6" t="s">
        <v>818</v>
      </c>
      <c r="R31" s="7">
        <v>43917</v>
      </c>
      <c r="S31" s="4" t="str">
        <f t="shared" ca="1" si="2"/>
        <v>PKWTT</v>
      </c>
      <c r="T31" s="10" t="str">
        <f t="shared" ca="1" si="3"/>
        <v/>
      </c>
      <c r="U31" s="7" t="str">
        <f t="shared" ca="1" si="4"/>
        <v/>
      </c>
      <c r="V31" s="7"/>
      <c r="W31" s="7"/>
      <c r="X31" s="4" t="str">
        <f t="shared" ca="1" si="5"/>
        <v>Active</v>
      </c>
      <c r="Y31" s="6" t="s">
        <v>657</v>
      </c>
      <c r="Z31" s="6" t="s">
        <v>658</v>
      </c>
      <c r="AA31" s="6" t="s">
        <v>659</v>
      </c>
      <c r="AC31" s="6" t="s">
        <v>883</v>
      </c>
      <c r="AD31" s="6" t="s">
        <v>884</v>
      </c>
      <c r="AE31" s="6" t="s">
        <v>847</v>
      </c>
      <c r="AF31" s="6" t="s">
        <v>885</v>
      </c>
    </row>
    <row r="32" spans="1:32" ht="14.5" customHeight="1" x14ac:dyDescent="0.35">
      <c r="A32" s="5">
        <f t="shared" si="0"/>
        <v>201742972</v>
      </c>
      <c r="B32" s="5" t="s">
        <v>51</v>
      </c>
      <c r="C32" s="5" t="s">
        <v>362</v>
      </c>
      <c r="D32" s="6" t="s">
        <v>2657</v>
      </c>
      <c r="E32" s="6" t="s">
        <v>676</v>
      </c>
      <c r="F32" s="6" t="s">
        <v>738</v>
      </c>
      <c r="G32" s="6" t="s">
        <v>2663</v>
      </c>
      <c r="H32" s="6" t="s">
        <v>2682</v>
      </c>
      <c r="I32" s="7">
        <v>33396</v>
      </c>
      <c r="J32" s="6">
        <f t="shared" ca="1" si="1"/>
        <v>35</v>
      </c>
      <c r="K32" s="6" t="s">
        <v>791</v>
      </c>
      <c r="L32" s="6" t="s">
        <v>651</v>
      </c>
      <c r="M32" s="6" t="s">
        <v>691</v>
      </c>
      <c r="N32" s="6" t="s">
        <v>653</v>
      </c>
      <c r="O32" s="6" t="s">
        <v>886</v>
      </c>
      <c r="P32" s="6" t="s">
        <v>887</v>
      </c>
      <c r="Q32" s="6" t="s">
        <v>778</v>
      </c>
      <c r="R32" s="7">
        <v>42972</v>
      </c>
      <c r="S32" s="4" t="str">
        <f t="shared" ca="1" si="2"/>
        <v>PKWTT</v>
      </c>
      <c r="T32" s="10" t="str">
        <f t="shared" ca="1" si="3"/>
        <v/>
      </c>
      <c r="U32" s="7" t="str">
        <f t="shared" ca="1" si="4"/>
        <v/>
      </c>
      <c r="V32" s="7"/>
      <c r="W32" s="7"/>
      <c r="X32" s="4" t="str">
        <f t="shared" ca="1" si="5"/>
        <v>Active</v>
      </c>
      <c r="Y32" s="6" t="s">
        <v>2643</v>
      </c>
      <c r="Z32" s="6" t="s">
        <v>2648</v>
      </c>
      <c r="AA32" s="6" t="s">
        <v>2624</v>
      </c>
      <c r="AC32" s="6" t="s">
        <v>889</v>
      </c>
      <c r="AD32" s="6" t="s">
        <v>890</v>
      </c>
      <c r="AE32" s="6" t="s">
        <v>847</v>
      </c>
      <c r="AF32" s="6" t="s">
        <v>891</v>
      </c>
    </row>
    <row r="33" spans="1:32" ht="14.5" customHeight="1" x14ac:dyDescent="0.35">
      <c r="A33" s="5">
        <f t="shared" si="0"/>
        <v>201943629</v>
      </c>
      <c r="B33" s="5" t="s">
        <v>170</v>
      </c>
      <c r="C33" s="5" t="s">
        <v>481</v>
      </c>
      <c r="D33" s="6" t="s">
        <v>1702</v>
      </c>
      <c r="E33" s="6" t="s">
        <v>676</v>
      </c>
      <c r="F33" s="6" t="s">
        <v>649</v>
      </c>
      <c r="G33" s="6" t="s">
        <v>2663</v>
      </c>
      <c r="H33" s="6" t="s">
        <v>2677</v>
      </c>
      <c r="I33" s="7">
        <v>35210</v>
      </c>
      <c r="J33" s="6">
        <f t="shared" ca="1" si="1"/>
        <v>30</v>
      </c>
      <c r="K33" s="6" t="s">
        <v>791</v>
      </c>
      <c r="L33" s="6" t="s">
        <v>666</v>
      </c>
      <c r="M33" s="6" t="s">
        <v>691</v>
      </c>
      <c r="N33" s="6" t="s">
        <v>653</v>
      </c>
      <c r="O33" s="6" t="s">
        <v>1703</v>
      </c>
      <c r="P33" s="6" t="s">
        <v>1704</v>
      </c>
      <c r="Q33" s="6" t="s">
        <v>778</v>
      </c>
      <c r="R33" s="7">
        <v>43629</v>
      </c>
      <c r="S33" s="4" t="str">
        <f t="shared" ca="1" si="2"/>
        <v>PKWTT</v>
      </c>
      <c r="T33" s="10" t="str">
        <f t="shared" ca="1" si="3"/>
        <v/>
      </c>
      <c r="U33" s="7" t="str">
        <f t="shared" ca="1" si="4"/>
        <v/>
      </c>
      <c r="V33" s="7"/>
      <c r="W33" s="7"/>
      <c r="X33" s="4" t="str">
        <f t="shared" ca="1" si="5"/>
        <v>Active</v>
      </c>
      <c r="Y33" s="6" t="s">
        <v>739</v>
      </c>
      <c r="Z33" s="6" t="s">
        <v>841</v>
      </c>
      <c r="AA33" s="6" t="s">
        <v>683</v>
      </c>
      <c r="AC33" s="6" t="s">
        <v>1706</v>
      </c>
      <c r="AD33" s="6" t="s">
        <v>1707</v>
      </c>
      <c r="AE33" s="6" t="s">
        <v>847</v>
      </c>
      <c r="AF33" s="6" t="s">
        <v>1708</v>
      </c>
    </row>
    <row r="34" spans="1:32" ht="14.5" customHeight="1" x14ac:dyDescent="0.35">
      <c r="A34" s="5">
        <f t="shared" si="0"/>
        <v>201743012</v>
      </c>
      <c r="B34" s="5" t="s">
        <v>52</v>
      </c>
      <c r="C34" s="5" t="s">
        <v>363</v>
      </c>
      <c r="D34" s="6" t="s">
        <v>894</v>
      </c>
      <c r="E34" s="6" t="s">
        <v>676</v>
      </c>
      <c r="F34" s="6" t="s">
        <v>809</v>
      </c>
      <c r="G34" s="6" t="s">
        <v>2663</v>
      </c>
      <c r="H34" s="6" t="s">
        <v>2676</v>
      </c>
      <c r="I34" s="7">
        <v>33317</v>
      </c>
      <c r="J34" s="6">
        <f t="shared" ca="1" si="1"/>
        <v>35</v>
      </c>
      <c r="K34" s="6" t="s">
        <v>791</v>
      </c>
      <c r="L34" s="6" t="s">
        <v>651</v>
      </c>
      <c r="M34" s="6" t="s">
        <v>691</v>
      </c>
      <c r="N34" s="6" t="s">
        <v>653</v>
      </c>
      <c r="O34" s="6" t="s">
        <v>895</v>
      </c>
      <c r="P34" s="6" t="s">
        <v>896</v>
      </c>
      <c r="Q34" s="6" t="s">
        <v>656</v>
      </c>
      <c r="R34" s="7">
        <v>43012</v>
      </c>
      <c r="S34" s="4" t="str">
        <f t="shared" ca="1" si="2"/>
        <v>PKWTT</v>
      </c>
      <c r="T34" s="10" t="str">
        <f t="shared" ca="1" si="3"/>
        <v/>
      </c>
      <c r="U34" s="7" t="str">
        <f t="shared" ca="1" si="4"/>
        <v/>
      </c>
      <c r="V34" s="7"/>
      <c r="W34" s="7"/>
      <c r="X34" s="4" t="str">
        <f t="shared" ca="1" si="5"/>
        <v>Active</v>
      </c>
      <c r="Y34" s="6" t="s">
        <v>2643</v>
      </c>
      <c r="Z34" s="6" t="s">
        <v>695</v>
      </c>
      <c r="AA34" s="6" t="s">
        <v>683</v>
      </c>
      <c r="AC34" s="6" t="s">
        <v>898</v>
      </c>
      <c r="AD34" s="6" t="s">
        <v>899</v>
      </c>
      <c r="AE34" s="6" t="s">
        <v>847</v>
      </c>
      <c r="AF34" s="6" t="s">
        <v>900</v>
      </c>
    </row>
    <row r="35" spans="1:32" ht="14.5" customHeight="1" x14ac:dyDescent="0.35">
      <c r="A35" s="5">
        <f t="shared" si="0"/>
        <v>201642499</v>
      </c>
      <c r="B35" s="5" t="s">
        <v>199</v>
      </c>
      <c r="C35" s="5" t="s">
        <v>510</v>
      </c>
      <c r="D35" s="6" t="s">
        <v>1201</v>
      </c>
      <c r="E35" s="6" t="s">
        <v>676</v>
      </c>
      <c r="F35" s="6" t="s">
        <v>742</v>
      </c>
      <c r="G35" s="6" t="s">
        <v>2663</v>
      </c>
      <c r="H35" s="6" t="s">
        <v>2682</v>
      </c>
      <c r="I35" s="7">
        <v>36073</v>
      </c>
      <c r="J35" s="6">
        <f t="shared" ca="1" si="1"/>
        <v>27</v>
      </c>
      <c r="K35" s="6" t="s">
        <v>791</v>
      </c>
      <c r="L35" s="6" t="s">
        <v>651</v>
      </c>
      <c r="M35" s="6" t="s">
        <v>677</v>
      </c>
      <c r="N35" s="6" t="s">
        <v>653</v>
      </c>
      <c r="O35" s="6" t="s">
        <v>1873</v>
      </c>
      <c r="P35" s="6" t="s">
        <v>1203</v>
      </c>
      <c r="Q35" s="6" t="s">
        <v>731</v>
      </c>
      <c r="R35" s="7">
        <v>42499</v>
      </c>
      <c r="S35" s="4" t="str">
        <f t="shared" ca="1" si="2"/>
        <v>PKWTT</v>
      </c>
      <c r="T35" s="10" t="str">
        <f t="shared" ca="1" si="3"/>
        <v/>
      </c>
      <c r="U35" s="7" t="str">
        <f t="shared" ca="1" si="4"/>
        <v/>
      </c>
      <c r="V35" s="7"/>
      <c r="W35" s="7"/>
      <c r="X35" s="4" t="str">
        <f t="shared" ca="1" si="5"/>
        <v>Active</v>
      </c>
      <c r="Y35" s="6" t="s">
        <v>739</v>
      </c>
      <c r="Z35" s="6" t="s">
        <v>841</v>
      </c>
      <c r="AA35" s="6" t="s">
        <v>683</v>
      </c>
      <c r="AC35" s="6" t="s">
        <v>1875</v>
      </c>
      <c r="AD35" s="6" t="s">
        <v>1876</v>
      </c>
      <c r="AE35" s="6" t="s">
        <v>847</v>
      </c>
      <c r="AF35" s="6" t="s">
        <v>1877</v>
      </c>
    </row>
    <row r="36" spans="1:32" ht="14.5" customHeight="1" x14ac:dyDescent="0.35">
      <c r="A36" s="5">
        <f t="shared" si="0"/>
        <v>201843252</v>
      </c>
      <c r="B36" s="5" t="s">
        <v>53</v>
      </c>
      <c r="C36" s="5" t="s">
        <v>364</v>
      </c>
      <c r="D36" s="6" t="s">
        <v>906</v>
      </c>
      <c r="E36" s="6" t="s">
        <v>648</v>
      </c>
      <c r="F36" s="6" t="s">
        <v>738</v>
      </c>
      <c r="G36" s="6" t="s">
        <v>2695</v>
      </c>
      <c r="H36" s="6" t="s">
        <v>2687</v>
      </c>
      <c r="I36" s="7">
        <v>29793</v>
      </c>
      <c r="J36" s="6">
        <f t="shared" ca="1" si="1"/>
        <v>45</v>
      </c>
      <c r="K36" s="6" t="s">
        <v>791</v>
      </c>
      <c r="L36" s="6" t="s">
        <v>666</v>
      </c>
      <c r="M36" s="6" t="s">
        <v>677</v>
      </c>
      <c r="N36" s="6" t="s">
        <v>653</v>
      </c>
      <c r="O36" s="6" t="s">
        <v>907</v>
      </c>
      <c r="P36" s="6" t="s">
        <v>908</v>
      </c>
      <c r="Q36" s="6" t="s">
        <v>694</v>
      </c>
      <c r="R36" s="7">
        <v>43252</v>
      </c>
      <c r="S36" s="4" t="str">
        <f t="shared" ca="1" si="2"/>
        <v>PKWTT</v>
      </c>
      <c r="T36" s="10" t="str">
        <f t="shared" ca="1" si="3"/>
        <v/>
      </c>
      <c r="U36" s="7" t="str">
        <f t="shared" ca="1" si="4"/>
        <v/>
      </c>
      <c r="V36" s="7"/>
      <c r="W36" s="7"/>
      <c r="X36" s="4" t="str">
        <f t="shared" ca="1" si="5"/>
        <v>Active</v>
      </c>
      <c r="Y36" s="6" t="s">
        <v>732</v>
      </c>
      <c r="Z36" s="6" t="s">
        <v>733</v>
      </c>
      <c r="AA36" s="6" t="s">
        <v>659</v>
      </c>
      <c r="AC36" s="6" t="s">
        <v>910</v>
      </c>
      <c r="AD36" s="6" t="s">
        <v>911</v>
      </c>
      <c r="AE36" s="6" t="s">
        <v>847</v>
      </c>
      <c r="AF36" s="6" t="s">
        <v>912</v>
      </c>
    </row>
    <row r="37" spans="1:32" ht="14.5" customHeight="1" x14ac:dyDescent="0.35">
      <c r="A37" s="5">
        <f t="shared" si="0"/>
        <v>202144525</v>
      </c>
      <c r="B37" s="5" t="s">
        <v>54</v>
      </c>
      <c r="C37" s="5" t="s">
        <v>365</v>
      </c>
      <c r="D37" s="6" t="s">
        <v>913</v>
      </c>
      <c r="E37" s="6" t="s">
        <v>648</v>
      </c>
      <c r="F37" s="6" t="s">
        <v>664</v>
      </c>
      <c r="G37" s="6" t="s">
        <v>2695</v>
      </c>
      <c r="H37" s="6" t="s">
        <v>2686</v>
      </c>
      <c r="I37" s="7">
        <v>28372</v>
      </c>
      <c r="J37" s="6">
        <f t="shared" ca="1" si="1"/>
        <v>48</v>
      </c>
      <c r="K37" s="6" t="s">
        <v>791</v>
      </c>
      <c r="L37" s="6" t="s">
        <v>651</v>
      </c>
      <c r="M37" s="6" t="s">
        <v>652</v>
      </c>
      <c r="N37" s="6" t="s">
        <v>653</v>
      </c>
      <c r="O37" s="6" t="s">
        <v>914</v>
      </c>
      <c r="P37" s="6" t="s">
        <v>915</v>
      </c>
      <c r="Q37" s="6" t="s">
        <v>656</v>
      </c>
      <c r="R37" s="7">
        <v>44525</v>
      </c>
      <c r="S37" s="4" t="str">
        <f t="shared" ca="1" si="2"/>
        <v>PKWT</v>
      </c>
      <c r="T37" s="10">
        <f t="shared" ca="1" si="3"/>
        <v>3</v>
      </c>
      <c r="U37" s="7">
        <f t="shared" ca="1" si="4"/>
        <v>46350</v>
      </c>
      <c r="V37" s="7"/>
      <c r="W37" s="7"/>
      <c r="X37" s="4" t="str">
        <f t="shared" ca="1" si="5"/>
        <v>Active</v>
      </c>
      <c r="Y37" s="6" t="s">
        <v>657</v>
      </c>
      <c r="Z37" s="6" t="s">
        <v>916</v>
      </c>
      <c r="AA37" s="6" t="s">
        <v>659</v>
      </c>
      <c r="AC37" s="6" t="s">
        <v>918</v>
      </c>
      <c r="AD37" s="6" t="s">
        <v>919</v>
      </c>
      <c r="AE37" s="6" t="s">
        <v>847</v>
      </c>
      <c r="AF37" s="6" t="s">
        <v>920</v>
      </c>
    </row>
    <row r="38" spans="1:32" ht="14.5" customHeight="1" x14ac:dyDescent="0.35">
      <c r="A38" s="5">
        <f t="shared" si="0"/>
        <v>202545888</v>
      </c>
      <c r="B38" s="5" t="s">
        <v>55</v>
      </c>
      <c r="C38" s="5" t="s">
        <v>366</v>
      </c>
      <c r="D38" s="6" t="s">
        <v>923</v>
      </c>
      <c r="E38" s="6" t="s">
        <v>648</v>
      </c>
      <c r="F38" s="6" t="s">
        <v>689</v>
      </c>
      <c r="G38" s="6" t="s">
        <v>2695</v>
      </c>
      <c r="H38" s="6" t="s">
        <v>2686</v>
      </c>
      <c r="I38" s="7">
        <v>37776</v>
      </c>
      <c r="J38" s="6">
        <f t="shared" ca="1" si="1"/>
        <v>23</v>
      </c>
      <c r="K38" s="6" t="s">
        <v>791</v>
      </c>
      <c r="L38" s="6" t="s">
        <v>666</v>
      </c>
      <c r="M38" s="6" t="s">
        <v>652</v>
      </c>
      <c r="N38" s="6" t="s">
        <v>653</v>
      </c>
      <c r="O38" s="6" t="s">
        <v>924</v>
      </c>
      <c r="P38" s="6" t="s">
        <v>925</v>
      </c>
      <c r="Q38" s="6" t="s">
        <v>694</v>
      </c>
      <c r="R38" s="7">
        <v>45888</v>
      </c>
      <c r="S38" s="4" t="str">
        <f t="shared" ca="1" si="2"/>
        <v>PKWT</v>
      </c>
      <c r="T38" s="10">
        <f t="shared" ca="1" si="3"/>
        <v>1</v>
      </c>
      <c r="U38" s="7">
        <f t="shared" ca="1" si="4"/>
        <v>46252</v>
      </c>
      <c r="V38" s="7">
        <v>46252</v>
      </c>
      <c r="W38" s="7" t="s">
        <v>2673</v>
      </c>
      <c r="X38" s="4" t="str">
        <f t="shared" ca="1" si="5"/>
        <v>Non-Active</v>
      </c>
      <c r="Y38" s="6" t="s">
        <v>657</v>
      </c>
      <c r="Z38" s="6" t="s">
        <v>705</v>
      </c>
      <c r="AA38" s="6" t="s">
        <v>706</v>
      </c>
      <c r="AC38" s="6" t="s">
        <v>927</v>
      </c>
      <c r="AD38" s="6" t="s">
        <v>928</v>
      </c>
      <c r="AE38" s="6" t="s">
        <v>847</v>
      </c>
      <c r="AF38" s="6" t="s">
        <v>929</v>
      </c>
    </row>
    <row r="39" spans="1:32" x14ac:dyDescent="0.35">
      <c r="A39" s="5">
        <f t="shared" si="0"/>
        <v>202144282</v>
      </c>
      <c r="B39" s="5" t="s">
        <v>56</v>
      </c>
      <c r="C39" s="5" t="s">
        <v>367</v>
      </c>
      <c r="D39" s="6" t="s">
        <v>675</v>
      </c>
      <c r="E39" s="6" t="s">
        <v>676</v>
      </c>
      <c r="F39" s="6" t="s">
        <v>649</v>
      </c>
      <c r="G39" s="6" t="s">
        <v>2663</v>
      </c>
      <c r="H39" s="6" t="s">
        <v>2689</v>
      </c>
      <c r="I39" s="7">
        <v>34245</v>
      </c>
      <c r="J39" s="6">
        <f t="shared" ca="1" si="1"/>
        <v>32</v>
      </c>
      <c r="K39" s="6" t="s">
        <v>791</v>
      </c>
      <c r="L39" s="6" t="s">
        <v>651</v>
      </c>
      <c r="M39" s="6" t="s">
        <v>701</v>
      </c>
      <c r="N39" s="6" t="s">
        <v>653</v>
      </c>
      <c r="O39" s="6" t="s">
        <v>930</v>
      </c>
      <c r="P39" s="6" t="s">
        <v>679</v>
      </c>
      <c r="Q39" s="6" t="s">
        <v>656</v>
      </c>
      <c r="R39" s="7">
        <v>44282</v>
      </c>
      <c r="S39" s="4" t="str">
        <f t="shared" ca="1" si="2"/>
        <v>PKWTT</v>
      </c>
      <c r="T39" s="10" t="str">
        <f t="shared" ca="1" si="3"/>
        <v/>
      </c>
      <c r="U39" s="7" t="str">
        <f t="shared" ca="1" si="4"/>
        <v/>
      </c>
      <c r="V39" s="7"/>
      <c r="W39" s="7"/>
      <c r="X39" s="4" t="str">
        <f t="shared" ca="1" si="5"/>
        <v>Active</v>
      </c>
      <c r="Y39" s="6" t="s">
        <v>681</v>
      </c>
      <c r="Z39" s="6" t="s">
        <v>682</v>
      </c>
      <c r="AA39" s="6" t="s">
        <v>683</v>
      </c>
      <c r="AC39" s="6" t="s">
        <v>932</v>
      </c>
      <c r="AD39" s="6" t="s">
        <v>933</v>
      </c>
      <c r="AE39" s="6" t="s">
        <v>847</v>
      </c>
      <c r="AF39" s="6" t="s">
        <v>934</v>
      </c>
    </row>
    <row r="40" spans="1:32" x14ac:dyDescent="0.35">
      <c r="A40" s="5">
        <f t="shared" si="0"/>
        <v>202445397</v>
      </c>
      <c r="B40" s="5" t="s">
        <v>57</v>
      </c>
      <c r="C40" s="5" t="s">
        <v>368</v>
      </c>
      <c r="D40" s="6" t="s">
        <v>937</v>
      </c>
      <c r="E40" s="6" t="s">
        <v>676</v>
      </c>
      <c r="F40" s="6" t="s">
        <v>649</v>
      </c>
      <c r="G40" s="6" t="s">
        <v>2663</v>
      </c>
      <c r="H40" s="6" t="s">
        <v>2677</v>
      </c>
      <c r="I40" s="7">
        <v>31452</v>
      </c>
      <c r="J40" s="6">
        <f t="shared" ca="1" si="1"/>
        <v>40</v>
      </c>
      <c r="K40" s="6" t="s">
        <v>791</v>
      </c>
      <c r="L40" s="6" t="s">
        <v>666</v>
      </c>
      <c r="M40" s="6" t="s">
        <v>691</v>
      </c>
      <c r="N40" s="6" t="s">
        <v>653</v>
      </c>
      <c r="O40" s="6" t="s">
        <v>938</v>
      </c>
      <c r="P40" s="6" t="s">
        <v>939</v>
      </c>
      <c r="Q40" s="6" t="s">
        <v>818</v>
      </c>
      <c r="R40" s="7">
        <v>45397</v>
      </c>
      <c r="S40" s="4" t="str">
        <f t="shared" ca="1" si="2"/>
        <v>PKWT</v>
      </c>
      <c r="T40" s="10">
        <f t="shared" ca="1" si="3"/>
        <v>2</v>
      </c>
      <c r="U40" s="7">
        <f t="shared" ca="1" si="4"/>
        <v>46491</v>
      </c>
      <c r="V40" s="7"/>
      <c r="W40" s="7"/>
      <c r="X40" s="4" t="str">
        <f t="shared" ca="1" si="5"/>
        <v>Active</v>
      </c>
      <c r="Y40" s="6" t="s">
        <v>681</v>
      </c>
      <c r="Z40" s="6" t="s">
        <v>759</v>
      </c>
      <c r="AA40" s="6" t="s">
        <v>659</v>
      </c>
      <c r="AC40" s="6" t="s">
        <v>941</v>
      </c>
      <c r="AD40" s="6" t="s">
        <v>942</v>
      </c>
      <c r="AE40" s="6" t="s">
        <v>847</v>
      </c>
      <c r="AF40" s="6" t="s">
        <v>943</v>
      </c>
    </row>
    <row r="41" spans="1:32" ht="14.5" customHeight="1" x14ac:dyDescent="0.35">
      <c r="A41" s="5">
        <f t="shared" si="0"/>
        <v>202043974</v>
      </c>
      <c r="B41" s="5" t="s">
        <v>58</v>
      </c>
      <c r="C41" s="5" t="s">
        <v>369</v>
      </c>
      <c r="D41" s="6" t="s">
        <v>948</v>
      </c>
      <c r="E41" s="6" t="s">
        <v>648</v>
      </c>
      <c r="F41" s="6" t="s">
        <v>742</v>
      </c>
      <c r="G41" s="6" t="s">
        <v>2695</v>
      </c>
      <c r="H41" s="6" t="s">
        <v>2686</v>
      </c>
      <c r="I41" s="7">
        <v>35189</v>
      </c>
      <c r="J41" s="6">
        <f t="shared" ca="1" si="1"/>
        <v>30</v>
      </c>
      <c r="K41" s="6" t="s">
        <v>791</v>
      </c>
      <c r="L41" s="6" t="s">
        <v>651</v>
      </c>
      <c r="M41" s="6" t="s">
        <v>677</v>
      </c>
      <c r="N41" s="6" t="s">
        <v>653</v>
      </c>
      <c r="O41" s="6" t="s">
        <v>949</v>
      </c>
      <c r="P41" s="6" t="s">
        <v>950</v>
      </c>
      <c r="Q41" s="6" t="s">
        <v>704</v>
      </c>
      <c r="R41" s="7">
        <v>43974</v>
      </c>
      <c r="S41" s="4" t="str">
        <f t="shared" ca="1" si="2"/>
        <v>PKWTT</v>
      </c>
      <c r="T41" s="10" t="str">
        <f t="shared" ca="1" si="3"/>
        <v/>
      </c>
      <c r="U41" s="7" t="str">
        <f t="shared" ca="1" si="4"/>
        <v/>
      </c>
      <c r="V41" s="7"/>
      <c r="W41" s="7"/>
      <c r="X41" s="4" t="str">
        <f t="shared" ca="1" si="5"/>
        <v>Active</v>
      </c>
      <c r="Y41" s="6" t="s">
        <v>657</v>
      </c>
      <c r="Z41" s="6" t="s">
        <v>669</v>
      </c>
      <c r="AA41" s="6" t="s">
        <v>670</v>
      </c>
      <c r="AC41" s="6" t="s">
        <v>952</v>
      </c>
      <c r="AD41" s="6" t="s">
        <v>953</v>
      </c>
      <c r="AE41" s="6" t="s">
        <v>847</v>
      </c>
      <c r="AF41" s="6" t="s">
        <v>954</v>
      </c>
    </row>
    <row r="42" spans="1:32" ht="14.5" customHeight="1" x14ac:dyDescent="0.35">
      <c r="A42" s="5">
        <f t="shared" si="0"/>
        <v>201743013</v>
      </c>
      <c r="B42" s="5" t="s">
        <v>59</v>
      </c>
      <c r="C42" s="5" t="s">
        <v>370</v>
      </c>
      <c r="D42" s="6" t="s">
        <v>955</v>
      </c>
      <c r="E42" s="6" t="s">
        <v>648</v>
      </c>
      <c r="F42" s="6" t="s">
        <v>649</v>
      </c>
      <c r="G42" s="6" t="s">
        <v>2695</v>
      </c>
      <c r="H42" s="6" t="s">
        <v>2686</v>
      </c>
      <c r="I42" s="7">
        <v>28809</v>
      </c>
      <c r="J42" s="6">
        <f t="shared" ca="1" si="1"/>
        <v>47</v>
      </c>
      <c r="K42" s="6" t="s">
        <v>791</v>
      </c>
      <c r="L42" s="6" t="s">
        <v>651</v>
      </c>
      <c r="M42" s="6" t="s">
        <v>691</v>
      </c>
      <c r="N42" s="6" t="s">
        <v>653</v>
      </c>
      <c r="O42" s="6" t="s">
        <v>956</v>
      </c>
      <c r="P42" s="6" t="s">
        <v>957</v>
      </c>
      <c r="Q42" s="6" t="s">
        <v>694</v>
      </c>
      <c r="R42" s="7">
        <v>43013</v>
      </c>
      <c r="S42" s="4" t="str">
        <f t="shared" ca="1" si="2"/>
        <v>PKWTT</v>
      </c>
      <c r="T42" s="10" t="str">
        <f t="shared" ca="1" si="3"/>
        <v/>
      </c>
      <c r="U42" s="7" t="str">
        <f t="shared" ca="1" si="4"/>
        <v/>
      </c>
      <c r="V42" s="7"/>
      <c r="W42" s="7"/>
      <c r="X42" s="4" t="str">
        <f t="shared" ca="1" si="5"/>
        <v>Active</v>
      </c>
      <c r="Y42" s="6" t="s">
        <v>657</v>
      </c>
      <c r="Z42" s="6" t="s">
        <v>669</v>
      </c>
      <c r="AA42" s="6" t="s">
        <v>670</v>
      </c>
      <c r="AC42" s="6" t="s">
        <v>959</v>
      </c>
      <c r="AD42" s="6" t="s">
        <v>960</v>
      </c>
      <c r="AE42" s="6" t="s">
        <v>847</v>
      </c>
      <c r="AF42" s="6" t="s">
        <v>961</v>
      </c>
    </row>
    <row r="43" spans="1:32" ht="14.5" customHeight="1" x14ac:dyDescent="0.35">
      <c r="A43" s="5">
        <f t="shared" si="0"/>
        <v>201843321</v>
      </c>
      <c r="B43" s="5" t="s">
        <v>60</v>
      </c>
      <c r="C43" s="5" t="s">
        <v>371</v>
      </c>
      <c r="D43" s="6" t="s">
        <v>913</v>
      </c>
      <c r="E43" s="6" t="s">
        <v>648</v>
      </c>
      <c r="F43" s="6" t="s">
        <v>738</v>
      </c>
      <c r="G43" s="6" t="s">
        <v>2695</v>
      </c>
      <c r="H43" s="6" t="s">
        <v>2686</v>
      </c>
      <c r="I43" s="7">
        <v>28925</v>
      </c>
      <c r="J43" s="6">
        <f t="shared" ca="1" si="1"/>
        <v>47</v>
      </c>
      <c r="K43" s="6" t="s">
        <v>791</v>
      </c>
      <c r="L43" s="6" t="s">
        <v>666</v>
      </c>
      <c r="M43" s="6" t="s">
        <v>677</v>
      </c>
      <c r="N43" s="6" t="s">
        <v>653</v>
      </c>
      <c r="O43" s="6" t="s">
        <v>962</v>
      </c>
      <c r="P43" s="6" t="s">
        <v>915</v>
      </c>
      <c r="Q43" s="6" t="s">
        <v>704</v>
      </c>
      <c r="R43" s="7">
        <v>43321</v>
      </c>
      <c r="S43" s="4" t="str">
        <f t="shared" ca="1" si="2"/>
        <v>PKWTT</v>
      </c>
      <c r="T43" s="10" t="str">
        <f t="shared" ca="1" si="3"/>
        <v/>
      </c>
      <c r="U43" s="7" t="str">
        <f t="shared" ca="1" si="4"/>
        <v/>
      </c>
      <c r="V43" s="7"/>
      <c r="W43" s="7"/>
      <c r="X43" s="4" t="str">
        <f t="shared" ca="1" si="5"/>
        <v>Active</v>
      </c>
      <c r="Y43" s="6" t="s">
        <v>657</v>
      </c>
      <c r="Z43" s="6" t="s">
        <v>705</v>
      </c>
      <c r="AA43" s="6" t="s">
        <v>706</v>
      </c>
      <c r="AC43" s="6" t="s">
        <v>964</v>
      </c>
      <c r="AD43" s="6" t="s">
        <v>965</v>
      </c>
      <c r="AE43" s="6" t="s">
        <v>847</v>
      </c>
      <c r="AF43" s="6" t="s">
        <v>966</v>
      </c>
    </row>
    <row r="44" spans="1:32" ht="14.5" customHeight="1" x14ac:dyDescent="0.35">
      <c r="A44" s="5">
        <f t="shared" si="0"/>
        <v>201743013</v>
      </c>
      <c r="B44" s="5" t="s">
        <v>61</v>
      </c>
      <c r="C44" s="5" t="s">
        <v>372</v>
      </c>
      <c r="D44" s="6" t="s">
        <v>967</v>
      </c>
      <c r="E44" s="6" t="s">
        <v>648</v>
      </c>
      <c r="F44" s="6" t="s">
        <v>809</v>
      </c>
      <c r="G44" s="6" t="s">
        <v>2663</v>
      </c>
      <c r="H44" s="6" t="s">
        <v>2693</v>
      </c>
      <c r="I44" s="7">
        <v>29200</v>
      </c>
      <c r="J44" s="6">
        <f t="shared" ca="1" si="1"/>
        <v>46</v>
      </c>
      <c r="K44" s="6" t="s">
        <v>791</v>
      </c>
      <c r="L44" s="6" t="s">
        <v>666</v>
      </c>
      <c r="M44" s="6" t="s">
        <v>677</v>
      </c>
      <c r="N44" s="6" t="s">
        <v>653</v>
      </c>
      <c r="O44" s="6" t="s">
        <v>968</v>
      </c>
      <c r="P44" s="6" t="s">
        <v>969</v>
      </c>
      <c r="Q44" s="6" t="s">
        <v>694</v>
      </c>
      <c r="R44" s="7">
        <v>43013</v>
      </c>
      <c r="S44" s="4" t="str">
        <f t="shared" ca="1" si="2"/>
        <v>PKWTT</v>
      </c>
      <c r="T44" s="10" t="str">
        <f t="shared" ca="1" si="3"/>
        <v/>
      </c>
      <c r="U44" s="7" t="str">
        <f t="shared" ca="1" si="4"/>
        <v/>
      </c>
      <c r="V44" s="7"/>
      <c r="W44" s="7"/>
      <c r="X44" s="4" t="str">
        <f t="shared" ca="1" si="5"/>
        <v>Active</v>
      </c>
      <c r="Y44" s="6" t="s">
        <v>714</v>
      </c>
      <c r="Z44" s="6" t="s">
        <v>715</v>
      </c>
      <c r="AA44" s="6" t="s">
        <v>659</v>
      </c>
      <c r="AC44" s="6" t="s">
        <v>971</v>
      </c>
      <c r="AD44" s="6" t="s">
        <v>972</v>
      </c>
      <c r="AE44" s="6" t="s">
        <v>847</v>
      </c>
      <c r="AF44" s="6" t="s">
        <v>973</v>
      </c>
    </row>
    <row r="45" spans="1:32" ht="14.5" customHeight="1" x14ac:dyDescent="0.35">
      <c r="A45" s="5">
        <f t="shared" si="0"/>
        <v>202043922</v>
      </c>
      <c r="B45" s="5" t="s">
        <v>62</v>
      </c>
      <c r="C45" s="5" t="s">
        <v>373</v>
      </c>
      <c r="D45" s="6" t="s">
        <v>974</v>
      </c>
      <c r="E45" s="6" t="s">
        <v>648</v>
      </c>
      <c r="F45" s="6" t="s">
        <v>738</v>
      </c>
      <c r="G45" s="6" t="s">
        <v>2664</v>
      </c>
      <c r="H45" s="6" t="s">
        <v>2692</v>
      </c>
      <c r="I45" s="7">
        <v>33569</v>
      </c>
      <c r="J45" s="6">
        <f t="shared" ca="1" si="1"/>
        <v>34</v>
      </c>
      <c r="K45" s="6" t="s">
        <v>791</v>
      </c>
      <c r="L45" s="6" t="s">
        <v>651</v>
      </c>
      <c r="M45" s="6" t="s">
        <v>677</v>
      </c>
      <c r="N45" s="6" t="s">
        <v>653</v>
      </c>
      <c r="O45" s="6" t="s">
        <v>975</v>
      </c>
      <c r="P45" s="6" t="s">
        <v>976</v>
      </c>
      <c r="Q45" s="6" t="s">
        <v>694</v>
      </c>
      <c r="R45" s="7">
        <v>43922</v>
      </c>
      <c r="S45" s="4" t="str">
        <f t="shared" ca="1" si="2"/>
        <v>PKWTT</v>
      </c>
      <c r="T45" s="10" t="str">
        <f t="shared" ca="1" si="3"/>
        <v/>
      </c>
      <c r="U45" s="7" t="str">
        <f t="shared" ca="1" si="4"/>
        <v/>
      </c>
      <c r="V45" s="7"/>
      <c r="W45" s="7"/>
      <c r="X45" s="4" t="str">
        <f t="shared" ca="1" si="5"/>
        <v>Active</v>
      </c>
      <c r="Y45" s="6" t="s">
        <v>714</v>
      </c>
      <c r="Z45" s="6" t="s">
        <v>715</v>
      </c>
      <c r="AA45" s="6" t="s">
        <v>659</v>
      </c>
      <c r="AC45" s="6" t="s">
        <v>978</v>
      </c>
      <c r="AD45" s="6" t="s">
        <v>979</v>
      </c>
      <c r="AE45" s="6" t="s">
        <v>847</v>
      </c>
      <c r="AF45" s="6" t="s">
        <v>980</v>
      </c>
    </row>
    <row r="46" spans="1:32" ht="14.5" customHeight="1" x14ac:dyDescent="0.35">
      <c r="A46" s="5">
        <f t="shared" si="0"/>
        <v>201642692</v>
      </c>
      <c r="B46" s="5" t="s">
        <v>63</v>
      </c>
      <c r="C46" s="5" t="s">
        <v>374</v>
      </c>
      <c r="D46" s="6" t="s">
        <v>981</v>
      </c>
      <c r="E46" s="6" t="s">
        <v>676</v>
      </c>
      <c r="F46" s="6" t="s">
        <v>649</v>
      </c>
      <c r="G46" s="6" t="s">
        <v>2695</v>
      </c>
      <c r="H46" s="6" t="s">
        <v>2686</v>
      </c>
      <c r="I46" s="7">
        <v>34234</v>
      </c>
      <c r="J46" s="6">
        <f t="shared" ca="1" si="1"/>
        <v>32</v>
      </c>
      <c r="K46" s="6" t="s">
        <v>791</v>
      </c>
      <c r="L46" s="6" t="s">
        <v>666</v>
      </c>
      <c r="M46" s="6" t="s">
        <v>677</v>
      </c>
      <c r="N46" s="6" t="s">
        <v>653</v>
      </c>
      <c r="O46" s="6" t="s">
        <v>982</v>
      </c>
      <c r="P46" s="6" t="s">
        <v>983</v>
      </c>
      <c r="Q46" s="6" t="s">
        <v>656</v>
      </c>
      <c r="R46" s="7">
        <v>42692</v>
      </c>
      <c r="S46" s="4" t="str">
        <f t="shared" ca="1" si="2"/>
        <v>PKWTT</v>
      </c>
      <c r="T46" s="10" t="str">
        <f t="shared" ca="1" si="3"/>
        <v/>
      </c>
      <c r="U46" s="7" t="str">
        <f t="shared" ca="1" si="4"/>
        <v/>
      </c>
      <c r="V46" s="7"/>
      <c r="W46" s="7"/>
      <c r="X46" s="4" t="str">
        <f t="shared" ca="1" si="5"/>
        <v>Active</v>
      </c>
      <c r="Y46" s="6" t="s">
        <v>657</v>
      </c>
      <c r="Z46" s="6" t="s">
        <v>658</v>
      </c>
      <c r="AA46" s="6" t="s">
        <v>659</v>
      </c>
      <c r="AC46" s="6" t="s">
        <v>985</v>
      </c>
      <c r="AD46" s="6" t="s">
        <v>986</v>
      </c>
      <c r="AE46" s="6" t="s">
        <v>847</v>
      </c>
      <c r="AF46" s="6" t="s">
        <v>987</v>
      </c>
    </row>
    <row r="47" spans="1:32" ht="14.5" customHeight="1" x14ac:dyDescent="0.35">
      <c r="A47" s="5">
        <f t="shared" si="0"/>
        <v>201943517</v>
      </c>
      <c r="B47" s="5" t="s">
        <v>64</v>
      </c>
      <c r="C47" s="5" t="s">
        <v>375</v>
      </c>
      <c r="D47" s="6" t="s">
        <v>765</v>
      </c>
      <c r="E47" s="6" t="s">
        <v>648</v>
      </c>
      <c r="F47" s="6" t="s">
        <v>742</v>
      </c>
      <c r="G47" s="6" t="s">
        <v>2695</v>
      </c>
      <c r="H47" s="6" t="s">
        <v>2687</v>
      </c>
      <c r="I47" s="7">
        <v>37084</v>
      </c>
      <c r="J47" s="6">
        <f t="shared" ca="1" si="1"/>
        <v>25</v>
      </c>
      <c r="K47" s="6" t="s">
        <v>791</v>
      </c>
      <c r="L47" s="6" t="s">
        <v>651</v>
      </c>
      <c r="M47" s="6" t="s">
        <v>691</v>
      </c>
      <c r="N47" s="6" t="s">
        <v>653</v>
      </c>
      <c r="O47" s="6" t="s">
        <v>988</v>
      </c>
      <c r="P47" s="6" t="s">
        <v>766</v>
      </c>
      <c r="Q47" s="6" t="s">
        <v>694</v>
      </c>
      <c r="R47" s="7">
        <v>43517</v>
      </c>
      <c r="S47" s="4" t="str">
        <f t="shared" ca="1" si="2"/>
        <v>PKWTT</v>
      </c>
      <c r="T47" s="10" t="str">
        <f t="shared" ca="1" si="3"/>
        <v/>
      </c>
      <c r="U47" s="7" t="str">
        <f t="shared" ca="1" si="4"/>
        <v/>
      </c>
      <c r="V47" s="7"/>
      <c r="W47" s="7"/>
      <c r="X47" s="4" t="str">
        <f t="shared" ca="1" si="5"/>
        <v>Active</v>
      </c>
      <c r="Y47" s="6" t="s">
        <v>732</v>
      </c>
      <c r="Z47" s="6" t="s">
        <v>733</v>
      </c>
      <c r="AA47" s="6" t="s">
        <v>659</v>
      </c>
      <c r="AC47" s="6" t="s">
        <v>990</v>
      </c>
      <c r="AD47" s="6" t="s">
        <v>991</v>
      </c>
      <c r="AE47" s="6" t="s">
        <v>847</v>
      </c>
      <c r="AF47" s="6" t="s">
        <v>992</v>
      </c>
    </row>
    <row r="48" spans="1:32" ht="14.5" customHeight="1" x14ac:dyDescent="0.35">
      <c r="A48" s="5">
        <f t="shared" si="0"/>
        <v>201742848</v>
      </c>
      <c r="B48" s="5" t="s">
        <v>225</v>
      </c>
      <c r="C48" s="5" t="s">
        <v>536</v>
      </c>
      <c r="D48" s="6" t="s">
        <v>2021</v>
      </c>
      <c r="E48" s="6" t="s">
        <v>648</v>
      </c>
      <c r="F48" s="6" t="s">
        <v>809</v>
      </c>
      <c r="G48" s="6" t="s">
        <v>2663</v>
      </c>
      <c r="H48" s="6" t="s">
        <v>2677</v>
      </c>
      <c r="I48" s="7">
        <v>34966</v>
      </c>
      <c r="J48" s="6">
        <f t="shared" ca="1" si="1"/>
        <v>30</v>
      </c>
      <c r="K48" s="6" t="s">
        <v>791</v>
      </c>
      <c r="L48" s="6" t="s">
        <v>666</v>
      </c>
      <c r="M48" s="6" t="s">
        <v>701</v>
      </c>
      <c r="N48" s="6" t="s">
        <v>653</v>
      </c>
      <c r="O48" s="6" t="s">
        <v>2022</v>
      </c>
      <c r="P48" s="6" t="s">
        <v>2023</v>
      </c>
      <c r="Q48" s="6" t="s">
        <v>818</v>
      </c>
      <c r="R48" s="7">
        <v>42848</v>
      </c>
      <c r="S48" s="4" t="str">
        <f t="shared" ca="1" si="2"/>
        <v>PKWTT</v>
      </c>
      <c r="T48" s="10" t="str">
        <f t="shared" ca="1" si="3"/>
        <v/>
      </c>
      <c r="U48" s="7" t="str">
        <f t="shared" ca="1" si="4"/>
        <v/>
      </c>
      <c r="V48" s="7"/>
      <c r="W48" s="7"/>
      <c r="X48" s="4" t="str">
        <f t="shared" ca="1" si="5"/>
        <v>Active</v>
      </c>
      <c r="Y48" s="6" t="s">
        <v>739</v>
      </c>
      <c r="Z48" s="6" t="s">
        <v>740</v>
      </c>
      <c r="AA48" s="6" t="s">
        <v>683</v>
      </c>
      <c r="AC48" s="6" t="s">
        <v>2025</v>
      </c>
      <c r="AD48" s="6" t="s">
        <v>2026</v>
      </c>
      <c r="AE48" s="6" t="s">
        <v>847</v>
      </c>
      <c r="AF48" s="6" t="s">
        <v>2027</v>
      </c>
    </row>
    <row r="49" spans="1:32" ht="14.5" customHeight="1" x14ac:dyDescent="0.35">
      <c r="A49" s="5">
        <f t="shared" si="0"/>
        <v>201843184</v>
      </c>
      <c r="B49" s="5" t="s">
        <v>76</v>
      </c>
      <c r="C49" s="5" t="s">
        <v>387</v>
      </c>
      <c r="D49" s="6" t="s">
        <v>1081</v>
      </c>
      <c r="E49" s="6" t="s">
        <v>648</v>
      </c>
      <c r="F49" s="6" t="s">
        <v>742</v>
      </c>
      <c r="G49" s="6" t="s">
        <v>2663</v>
      </c>
      <c r="H49" s="6" t="s">
        <v>2677</v>
      </c>
      <c r="I49" s="7">
        <v>35348</v>
      </c>
      <c r="J49" s="6">
        <f t="shared" ca="1" si="1"/>
        <v>29</v>
      </c>
      <c r="K49" s="6" t="s">
        <v>791</v>
      </c>
      <c r="L49" s="6" t="s">
        <v>666</v>
      </c>
      <c r="M49" s="6" t="s">
        <v>691</v>
      </c>
      <c r="N49" s="6" t="s">
        <v>653</v>
      </c>
      <c r="O49" s="6" t="s">
        <v>1082</v>
      </c>
      <c r="P49" s="6" t="s">
        <v>1083</v>
      </c>
      <c r="Q49" s="6" t="s">
        <v>704</v>
      </c>
      <c r="R49" s="7">
        <v>43184</v>
      </c>
      <c r="S49" s="4" t="str">
        <f t="shared" ca="1" si="2"/>
        <v>PKWTT</v>
      </c>
      <c r="T49" s="10" t="str">
        <f t="shared" ca="1" si="3"/>
        <v/>
      </c>
      <c r="U49" s="7" t="str">
        <f t="shared" ca="1" si="4"/>
        <v/>
      </c>
      <c r="V49" s="7"/>
      <c r="W49" s="7"/>
      <c r="X49" s="4" t="str">
        <f t="shared" ca="1" si="5"/>
        <v>Active</v>
      </c>
      <c r="Y49" s="6" t="s">
        <v>739</v>
      </c>
      <c r="Z49" s="6" t="s">
        <v>764</v>
      </c>
      <c r="AA49" s="6" t="s">
        <v>659</v>
      </c>
      <c r="AC49" s="6" t="s">
        <v>1085</v>
      </c>
      <c r="AD49" s="6" t="s">
        <v>1086</v>
      </c>
      <c r="AE49" s="6" t="s">
        <v>847</v>
      </c>
      <c r="AF49" s="6" t="s">
        <v>1087</v>
      </c>
    </row>
    <row r="50" spans="1:32" ht="14.5" customHeight="1" x14ac:dyDescent="0.35">
      <c r="A50" s="5">
        <f t="shared" si="0"/>
        <v>202545795</v>
      </c>
      <c r="B50" s="5" t="s">
        <v>65</v>
      </c>
      <c r="C50" s="5" t="s">
        <v>376</v>
      </c>
      <c r="D50" s="6" t="s">
        <v>999</v>
      </c>
      <c r="E50" s="6" t="s">
        <v>676</v>
      </c>
      <c r="F50" s="6" t="s">
        <v>689</v>
      </c>
      <c r="G50" s="6" t="s">
        <v>2695</v>
      </c>
      <c r="H50" s="6" t="s">
        <v>2686</v>
      </c>
      <c r="I50" s="7">
        <v>37550</v>
      </c>
      <c r="J50" s="6">
        <f t="shared" ca="1" si="1"/>
        <v>23</v>
      </c>
      <c r="K50" s="6" t="s">
        <v>791</v>
      </c>
      <c r="L50" s="6" t="s">
        <v>666</v>
      </c>
      <c r="M50" s="6" t="s">
        <v>691</v>
      </c>
      <c r="N50" s="6" t="s">
        <v>653</v>
      </c>
      <c r="O50" s="6" t="s">
        <v>1000</v>
      </c>
      <c r="P50" s="6" t="s">
        <v>1001</v>
      </c>
      <c r="Q50" s="6" t="s">
        <v>694</v>
      </c>
      <c r="R50" s="7">
        <v>45795</v>
      </c>
      <c r="S50" s="4" t="str">
        <f t="shared" ca="1" si="2"/>
        <v>PKWT</v>
      </c>
      <c r="T50" s="10">
        <f t="shared" ca="1" si="3"/>
        <v>2</v>
      </c>
      <c r="U50" s="7">
        <f t="shared" ca="1" si="4"/>
        <v>46890</v>
      </c>
      <c r="V50" s="7"/>
      <c r="W50" s="7"/>
      <c r="X50" s="4" t="str">
        <f t="shared" ca="1" si="5"/>
        <v>Active</v>
      </c>
      <c r="Y50" s="6" t="s">
        <v>657</v>
      </c>
      <c r="Z50" s="6" t="s">
        <v>916</v>
      </c>
      <c r="AA50" s="6" t="s">
        <v>659</v>
      </c>
      <c r="AC50" s="6" t="s">
        <v>1002</v>
      </c>
      <c r="AD50" s="6" t="s">
        <v>1003</v>
      </c>
      <c r="AE50" s="6" t="s">
        <v>847</v>
      </c>
      <c r="AF50" s="6" t="s">
        <v>1004</v>
      </c>
    </row>
    <row r="51" spans="1:32" ht="14.5" customHeight="1" x14ac:dyDescent="0.35">
      <c r="A51" s="5">
        <f t="shared" si="0"/>
        <v>202144397</v>
      </c>
      <c r="B51" s="5" t="s">
        <v>125</v>
      </c>
      <c r="C51" s="5" t="s">
        <v>436</v>
      </c>
      <c r="D51" s="6" t="s">
        <v>820</v>
      </c>
      <c r="E51" s="6" t="s">
        <v>648</v>
      </c>
      <c r="F51" s="6" t="s">
        <v>809</v>
      </c>
      <c r="G51" s="6" t="s">
        <v>2663</v>
      </c>
      <c r="H51" s="6" t="s">
        <v>2677</v>
      </c>
      <c r="I51" s="7">
        <v>32953</v>
      </c>
      <c r="J51" s="6">
        <f t="shared" ca="1" si="1"/>
        <v>36</v>
      </c>
      <c r="K51" s="6" t="s">
        <v>791</v>
      </c>
      <c r="L51" s="6" t="s">
        <v>651</v>
      </c>
      <c r="M51" s="6" t="s">
        <v>691</v>
      </c>
      <c r="N51" s="6" t="s">
        <v>653</v>
      </c>
      <c r="O51" s="6" t="s">
        <v>1420</v>
      </c>
      <c r="P51" s="6" t="s">
        <v>822</v>
      </c>
      <c r="Q51" s="6" t="s">
        <v>680</v>
      </c>
      <c r="R51" s="7">
        <v>44397</v>
      </c>
      <c r="S51" s="4" t="str">
        <f t="shared" ca="1" si="2"/>
        <v>PKWTT</v>
      </c>
      <c r="T51" s="10" t="str">
        <f t="shared" ca="1" si="3"/>
        <v/>
      </c>
      <c r="U51" s="7" t="str">
        <f t="shared" ca="1" si="4"/>
        <v/>
      </c>
      <c r="V51" s="7">
        <v>46222</v>
      </c>
      <c r="W51" s="7" t="s">
        <v>2672</v>
      </c>
      <c r="X51" s="4" t="str">
        <f t="shared" ca="1" si="5"/>
        <v>Non-Active</v>
      </c>
      <c r="Y51" s="6" t="s">
        <v>739</v>
      </c>
      <c r="Z51" s="6" t="s">
        <v>764</v>
      </c>
      <c r="AA51" s="6" t="s">
        <v>659</v>
      </c>
      <c r="AC51" s="6" t="s">
        <v>1422</v>
      </c>
      <c r="AD51" s="6" t="s">
        <v>1423</v>
      </c>
      <c r="AE51" s="6" t="s">
        <v>847</v>
      </c>
      <c r="AF51" s="6" t="s">
        <v>1424</v>
      </c>
    </row>
    <row r="52" spans="1:32" ht="14.5" customHeight="1" x14ac:dyDescent="0.35">
      <c r="A52" s="5">
        <f t="shared" si="0"/>
        <v>202044036</v>
      </c>
      <c r="B52" s="5" t="s">
        <v>194</v>
      </c>
      <c r="C52" s="5" t="s">
        <v>505</v>
      </c>
      <c r="D52" s="6" t="s">
        <v>1434</v>
      </c>
      <c r="E52" s="6" t="s">
        <v>648</v>
      </c>
      <c r="F52" s="6" t="s">
        <v>768</v>
      </c>
      <c r="G52" s="6" t="s">
        <v>2663</v>
      </c>
      <c r="H52" s="6" t="s">
        <v>2684</v>
      </c>
      <c r="I52" s="7">
        <v>35264</v>
      </c>
      <c r="J52" s="6">
        <f t="shared" ca="1" si="1"/>
        <v>30</v>
      </c>
      <c r="K52" s="6" t="s">
        <v>791</v>
      </c>
      <c r="L52" s="6" t="s">
        <v>666</v>
      </c>
      <c r="M52" s="6" t="s">
        <v>701</v>
      </c>
      <c r="N52" s="6" t="s">
        <v>653</v>
      </c>
      <c r="O52" s="6" t="s">
        <v>1844</v>
      </c>
      <c r="P52" s="6" t="s">
        <v>1436</v>
      </c>
      <c r="Q52" s="6" t="s">
        <v>818</v>
      </c>
      <c r="R52" s="7">
        <v>44036</v>
      </c>
      <c r="S52" s="4" t="str">
        <f t="shared" ca="1" si="2"/>
        <v>PKWTT</v>
      </c>
      <c r="T52" s="10" t="str">
        <f t="shared" ca="1" si="3"/>
        <v/>
      </c>
      <c r="U52" s="7" t="str">
        <f t="shared" ca="1" si="4"/>
        <v/>
      </c>
      <c r="V52" s="7"/>
      <c r="W52" s="7"/>
      <c r="X52" s="4" t="str">
        <f t="shared" ca="1" si="5"/>
        <v>Active</v>
      </c>
      <c r="Y52" s="6" t="s">
        <v>739</v>
      </c>
      <c r="Z52" s="6" t="s">
        <v>1024</v>
      </c>
      <c r="AA52" s="6" t="s">
        <v>659</v>
      </c>
      <c r="AC52" s="6" t="s">
        <v>1846</v>
      </c>
      <c r="AD52" s="6" t="s">
        <v>1847</v>
      </c>
      <c r="AE52" s="6" t="s">
        <v>847</v>
      </c>
      <c r="AF52" s="6" t="s">
        <v>1848</v>
      </c>
    </row>
    <row r="53" spans="1:32" ht="14.5" customHeight="1" x14ac:dyDescent="0.35">
      <c r="A53" s="5">
        <f t="shared" si="0"/>
        <v>201743091</v>
      </c>
      <c r="B53" s="5" t="s">
        <v>81</v>
      </c>
      <c r="C53" s="5" t="s">
        <v>392</v>
      </c>
      <c r="D53" s="6" t="s">
        <v>1112</v>
      </c>
      <c r="E53" s="6" t="s">
        <v>676</v>
      </c>
      <c r="F53" s="6" t="s">
        <v>738</v>
      </c>
      <c r="G53" s="6" t="s">
        <v>2663</v>
      </c>
      <c r="H53" s="6" t="s">
        <v>2689</v>
      </c>
      <c r="I53" s="7">
        <v>28510</v>
      </c>
      <c r="J53" s="6">
        <f t="shared" ca="1" si="1"/>
        <v>48</v>
      </c>
      <c r="K53" s="6" t="s">
        <v>791</v>
      </c>
      <c r="L53" s="6" t="s">
        <v>666</v>
      </c>
      <c r="M53" s="6" t="s">
        <v>677</v>
      </c>
      <c r="N53" s="6" t="s">
        <v>653</v>
      </c>
      <c r="O53" s="6" t="s">
        <v>1113</v>
      </c>
      <c r="P53" s="6" t="s">
        <v>1114</v>
      </c>
      <c r="Q53" s="6" t="s">
        <v>818</v>
      </c>
      <c r="R53" s="7">
        <v>43091</v>
      </c>
      <c r="S53" s="4" t="str">
        <f t="shared" ca="1" si="2"/>
        <v>PKWTT</v>
      </c>
      <c r="T53" s="10" t="str">
        <f t="shared" ca="1" si="3"/>
        <v/>
      </c>
      <c r="U53" s="7" t="str">
        <f t="shared" ca="1" si="4"/>
        <v/>
      </c>
      <c r="V53" s="7"/>
      <c r="W53" s="7"/>
      <c r="X53" s="4" t="str">
        <f t="shared" ca="1" si="5"/>
        <v>Active</v>
      </c>
      <c r="Y53" s="6" t="s">
        <v>794</v>
      </c>
      <c r="Z53" s="6" t="s">
        <v>2623</v>
      </c>
      <c r="AA53" s="6" t="s">
        <v>2624</v>
      </c>
      <c r="AC53" s="6" t="s">
        <v>1116</v>
      </c>
      <c r="AD53" s="6" t="s">
        <v>1117</v>
      </c>
      <c r="AE53" s="6" t="s">
        <v>847</v>
      </c>
      <c r="AF53" s="6" t="s">
        <v>1118</v>
      </c>
    </row>
    <row r="54" spans="1:32" ht="14.5" customHeight="1" x14ac:dyDescent="0.35">
      <c r="A54" s="5">
        <f t="shared" si="0"/>
        <v>201843355</v>
      </c>
      <c r="B54" s="5" t="s">
        <v>66</v>
      </c>
      <c r="C54" s="5" t="s">
        <v>377</v>
      </c>
      <c r="D54" s="6" t="s">
        <v>1005</v>
      </c>
      <c r="E54" s="6" t="s">
        <v>648</v>
      </c>
      <c r="F54" s="6" t="s">
        <v>809</v>
      </c>
      <c r="G54" s="6" t="s">
        <v>2663</v>
      </c>
      <c r="H54" s="6" t="s">
        <v>2684</v>
      </c>
      <c r="I54" s="7">
        <v>35988</v>
      </c>
      <c r="J54" s="6">
        <f t="shared" ca="1" si="1"/>
        <v>28</v>
      </c>
      <c r="K54" s="6" t="s">
        <v>791</v>
      </c>
      <c r="L54" s="6" t="s">
        <v>651</v>
      </c>
      <c r="M54" s="6" t="s">
        <v>701</v>
      </c>
      <c r="N54" s="6" t="s">
        <v>653</v>
      </c>
      <c r="O54" s="6" t="s">
        <v>1006</v>
      </c>
      <c r="P54" s="6" t="s">
        <v>1007</v>
      </c>
      <c r="Q54" s="6" t="s">
        <v>778</v>
      </c>
      <c r="R54" s="7">
        <v>43355</v>
      </c>
      <c r="S54" s="4" t="str">
        <f t="shared" ca="1" si="2"/>
        <v>PKWTT</v>
      </c>
      <c r="T54" s="10" t="str">
        <f t="shared" ca="1" si="3"/>
        <v/>
      </c>
      <c r="U54" s="7" t="str">
        <f t="shared" ca="1" si="4"/>
        <v/>
      </c>
      <c r="V54" s="7"/>
      <c r="W54" s="7"/>
      <c r="X54" s="4" t="str">
        <f t="shared" ca="1" si="5"/>
        <v>Active</v>
      </c>
      <c r="Y54" s="6" t="s">
        <v>739</v>
      </c>
      <c r="Z54" s="6" t="s">
        <v>819</v>
      </c>
      <c r="AA54" s="6" t="s">
        <v>659</v>
      </c>
      <c r="AC54" s="6" t="s">
        <v>1009</v>
      </c>
      <c r="AD54" s="6" t="s">
        <v>1010</v>
      </c>
      <c r="AE54" s="6" t="s">
        <v>847</v>
      </c>
      <c r="AF54" s="6" t="s">
        <v>1011</v>
      </c>
    </row>
    <row r="55" spans="1:32" ht="14.5" customHeight="1" x14ac:dyDescent="0.35">
      <c r="A55" s="5">
        <f t="shared" si="0"/>
        <v>201943575</v>
      </c>
      <c r="B55" s="5" t="s">
        <v>68</v>
      </c>
      <c r="C55" s="5" t="s">
        <v>379</v>
      </c>
      <c r="D55" s="6" t="s">
        <v>765</v>
      </c>
      <c r="E55" s="6" t="s">
        <v>648</v>
      </c>
      <c r="F55" s="6" t="s">
        <v>689</v>
      </c>
      <c r="G55" s="6" t="s">
        <v>2695</v>
      </c>
      <c r="H55" s="6" t="s">
        <v>2686</v>
      </c>
      <c r="I55" s="7">
        <v>31675</v>
      </c>
      <c r="J55" s="6">
        <f t="shared" ca="1" si="1"/>
        <v>39</v>
      </c>
      <c r="K55" s="6" t="s">
        <v>791</v>
      </c>
      <c r="L55" s="6" t="s">
        <v>651</v>
      </c>
      <c r="M55" s="6" t="s">
        <v>691</v>
      </c>
      <c r="N55" s="6" t="s">
        <v>653</v>
      </c>
      <c r="O55" s="6" t="s">
        <v>1025</v>
      </c>
      <c r="P55" s="6" t="s">
        <v>766</v>
      </c>
      <c r="Q55" s="6" t="s">
        <v>680</v>
      </c>
      <c r="R55" s="7">
        <v>43575</v>
      </c>
      <c r="S55" s="4" t="str">
        <f t="shared" ca="1" si="2"/>
        <v>PKWTT</v>
      </c>
      <c r="T55" s="10" t="str">
        <f t="shared" ca="1" si="3"/>
        <v/>
      </c>
      <c r="U55" s="7" t="str">
        <f t="shared" ca="1" si="4"/>
        <v/>
      </c>
      <c r="V55" s="7"/>
      <c r="W55" s="7"/>
      <c r="X55" s="4" t="str">
        <f t="shared" ca="1" si="5"/>
        <v>Active</v>
      </c>
      <c r="Y55" s="6" t="s">
        <v>657</v>
      </c>
      <c r="Z55" s="6" t="s">
        <v>658</v>
      </c>
      <c r="AA55" s="6" t="s">
        <v>659</v>
      </c>
      <c r="AC55" s="6" t="s">
        <v>1027</v>
      </c>
      <c r="AD55" s="6" t="s">
        <v>1028</v>
      </c>
      <c r="AE55" s="6" t="s">
        <v>847</v>
      </c>
      <c r="AF55" s="6" t="s">
        <v>1029</v>
      </c>
    </row>
    <row r="56" spans="1:32" x14ac:dyDescent="0.35">
      <c r="A56" s="5">
        <f t="shared" si="0"/>
        <v>201441661</v>
      </c>
      <c r="B56" s="5" t="s">
        <v>69</v>
      </c>
      <c r="C56" s="5" t="s">
        <v>380</v>
      </c>
      <c r="D56" s="6" t="s">
        <v>1030</v>
      </c>
      <c r="E56" s="6" t="s">
        <v>648</v>
      </c>
      <c r="F56" s="6" t="s">
        <v>768</v>
      </c>
      <c r="G56" s="6" t="s">
        <v>2663</v>
      </c>
      <c r="H56" s="6" t="s">
        <v>2693</v>
      </c>
      <c r="I56" s="7">
        <v>35911</v>
      </c>
      <c r="J56" s="6">
        <f t="shared" ca="1" si="1"/>
        <v>28</v>
      </c>
      <c r="K56" s="6" t="s">
        <v>791</v>
      </c>
      <c r="L56" s="6" t="s">
        <v>666</v>
      </c>
      <c r="M56" s="6" t="s">
        <v>677</v>
      </c>
      <c r="N56" s="6" t="s">
        <v>653</v>
      </c>
      <c r="O56" s="6" t="s">
        <v>1031</v>
      </c>
      <c r="P56" s="6" t="s">
        <v>1032</v>
      </c>
      <c r="Q56" s="6" t="s">
        <v>818</v>
      </c>
      <c r="R56" s="7">
        <v>41661</v>
      </c>
      <c r="S56" s="4" t="str">
        <f t="shared" ca="1" si="2"/>
        <v>PKWTT</v>
      </c>
      <c r="T56" s="10" t="str">
        <f t="shared" ca="1" si="3"/>
        <v/>
      </c>
      <c r="U56" s="7" t="str">
        <f t="shared" ca="1" si="4"/>
        <v/>
      </c>
      <c r="V56" s="7"/>
      <c r="W56" s="7"/>
      <c r="X56" s="4" t="str">
        <f t="shared" ca="1" si="5"/>
        <v>Active</v>
      </c>
      <c r="Y56" s="6" t="s">
        <v>681</v>
      </c>
      <c r="Z56" s="6" t="s">
        <v>682</v>
      </c>
      <c r="AA56" s="6" t="s">
        <v>683</v>
      </c>
      <c r="AC56" s="6" t="s">
        <v>1034</v>
      </c>
      <c r="AD56" s="6" t="s">
        <v>1035</v>
      </c>
      <c r="AE56" s="6" t="s">
        <v>847</v>
      </c>
      <c r="AF56" s="6" t="s">
        <v>1036</v>
      </c>
    </row>
    <row r="57" spans="1:32" x14ac:dyDescent="0.35">
      <c r="A57" s="5">
        <f t="shared" si="0"/>
        <v>202043936</v>
      </c>
      <c r="B57" s="5" t="s">
        <v>70</v>
      </c>
      <c r="C57" s="5" t="s">
        <v>381</v>
      </c>
      <c r="D57" s="6" t="s">
        <v>1037</v>
      </c>
      <c r="E57" s="6" t="s">
        <v>676</v>
      </c>
      <c r="F57" s="6" t="s">
        <v>809</v>
      </c>
      <c r="G57" s="6" t="s">
        <v>2663</v>
      </c>
      <c r="H57" s="6" t="s">
        <v>2682</v>
      </c>
      <c r="I57" s="7">
        <v>29248</v>
      </c>
      <c r="J57" s="6">
        <f t="shared" ca="1" si="1"/>
        <v>46</v>
      </c>
      <c r="K57" s="6" t="s">
        <v>791</v>
      </c>
      <c r="L57" s="6" t="s">
        <v>651</v>
      </c>
      <c r="M57" s="6" t="s">
        <v>677</v>
      </c>
      <c r="N57" s="6" t="s">
        <v>653</v>
      </c>
      <c r="O57" s="6" t="s">
        <v>1038</v>
      </c>
      <c r="P57" s="6" t="s">
        <v>1039</v>
      </c>
      <c r="Q57" s="6" t="s">
        <v>731</v>
      </c>
      <c r="R57" s="7">
        <v>43936</v>
      </c>
      <c r="S57" s="4" t="str">
        <f t="shared" ca="1" si="2"/>
        <v>PKWTT</v>
      </c>
      <c r="T57" s="10" t="str">
        <f t="shared" ca="1" si="3"/>
        <v/>
      </c>
      <c r="U57" s="7" t="str">
        <f t="shared" ca="1" si="4"/>
        <v/>
      </c>
      <c r="V57" s="7"/>
      <c r="W57" s="7"/>
      <c r="X57" s="4" t="str">
        <f t="shared" ca="1" si="5"/>
        <v>Active</v>
      </c>
      <c r="Y57" s="6" t="s">
        <v>681</v>
      </c>
      <c r="Z57" s="6" t="s">
        <v>682</v>
      </c>
      <c r="AA57" s="6" t="s">
        <v>683</v>
      </c>
      <c r="AC57" s="6" t="s">
        <v>1041</v>
      </c>
      <c r="AD57" s="6" t="s">
        <v>1042</v>
      </c>
      <c r="AE57" s="6" t="s">
        <v>847</v>
      </c>
      <c r="AF57" s="6" t="s">
        <v>1043</v>
      </c>
    </row>
    <row r="58" spans="1:32" ht="14.5" customHeight="1" x14ac:dyDescent="0.35">
      <c r="A58" s="5">
        <f t="shared" si="0"/>
        <v>201441797</v>
      </c>
      <c r="B58" s="5" t="s">
        <v>71</v>
      </c>
      <c r="C58" s="5" t="s">
        <v>382</v>
      </c>
      <c r="D58" s="6" t="s">
        <v>1044</v>
      </c>
      <c r="E58" s="6" t="s">
        <v>648</v>
      </c>
      <c r="F58" s="6" t="s">
        <v>742</v>
      </c>
      <c r="G58" s="6" t="s">
        <v>2663</v>
      </c>
      <c r="H58" s="6" t="s">
        <v>2693</v>
      </c>
      <c r="I58" s="7">
        <v>27784</v>
      </c>
      <c r="J58" s="6">
        <f t="shared" ca="1" si="1"/>
        <v>50</v>
      </c>
      <c r="K58" s="6" t="s">
        <v>791</v>
      </c>
      <c r="L58" s="6" t="s">
        <v>651</v>
      </c>
      <c r="M58" s="6" t="s">
        <v>691</v>
      </c>
      <c r="N58" s="6" t="s">
        <v>653</v>
      </c>
      <c r="O58" s="6" t="s">
        <v>1045</v>
      </c>
      <c r="P58" s="6" t="s">
        <v>1046</v>
      </c>
      <c r="Q58" s="6" t="s">
        <v>680</v>
      </c>
      <c r="R58" s="7">
        <v>41797</v>
      </c>
      <c r="S58" s="4" t="str">
        <f t="shared" ca="1" si="2"/>
        <v>PKWTT</v>
      </c>
      <c r="T58" s="10" t="str">
        <f t="shared" ca="1" si="3"/>
        <v/>
      </c>
      <c r="U58" s="7" t="str">
        <f t="shared" ca="1" si="4"/>
        <v/>
      </c>
      <c r="V58" s="7"/>
      <c r="W58" s="7"/>
      <c r="X58" s="4" t="str">
        <f t="shared" ca="1" si="5"/>
        <v>Active</v>
      </c>
      <c r="Y58" s="6" t="s">
        <v>714</v>
      </c>
      <c r="Z58" s="6" t="s">
        <v>715</v>
      </c>
      <c r="AA58" s="6" t="s">
        <v>659</v>
      </c>
      <c r="AC58" s="6" t="s">
        <v>1048</v>
      </c>
      <c r="AD58" s="6" t="s">
        <v>1049</v>
      </c>
      <c r="AE58" s="6" t="s">
        <v>847</v>
      </c>
      <c r="AF58" s="6" t="s">
        <v>1050</v>
      </c>
    </row>
    <row r="59" spans="1:32" ht="14.5" customHeight="1" x14ac:dyDescent="0.35">
      <c r="A59" s="5">
        <f t="shared" si="0"/>
        <v>201843432</v>
      </c>
      <c r="B59" s="5" t="s">
        <v>158</v>
      </c>
      <c r="C59" s="5" t="s">
        <v>469</v>
      </c>
      <c r="D59" s="6" t="s">
        <v>1631</v>
      </c>
      <c r="E59" s="6" t="s">
        <v>648</v>
      </c>
      <c r="F59" s="6" t="s">
        <v>649</v>
      </c>
      <c r="G59" s="6" t="s">
        <v>2663</v>
      </c>
      <c r="H59" s="6" t="s">
        <v>2684</v>
      </c>
      <c r="I59" s="7">
        <v>35203</v>
      </c>
      <c r="J59" s="6">
        <f t="shared" ca="1" si="1"/>
        <v>30</v>
      </c>
      <c r="K59" s="6" t="s">
        <v>791</v>
      </c>
      <c r="L59" s="6" t="s">
        <v>651</v>
      </c>
      <c r="M59" s="6" t="s">
        <v>691</v>
      </c>
      <c r="N59" s="6" t="s">
        <v>653</v>
      </c>
      <c r="O59" s="6" t="s">
        <v>1632</v>
      </c>
      <c r="P59" s="6" t="s">
        <v>1633</v>
      </c>
      <c r="Q59" s="6" t="s">
        <v>731</v>
      </c>
      <c r="R59" s="7">
        <v>43432</v>
      </c>
      <c r="S59" s="4" t="str">
        <f t="shared" ca="1" si="2"/>
        <v>PKWTT</v>
      </c>
      <c r="T59" s="10" t="str">
        <f t="shared" ca="1" si="3"/>
        <v/>
      </c>
      <c r="U59" s="7" t="str">
        <f t="shared" ca="1" si="4"/>
        <v/>
      </c>
      <c r="V59" s="7"/>
      <c r="W59" s="7"/>
      <c r="X59" s="4" t="str">
        <f t="shared" ca="1" si="5"/>
        <v>Active</v>
      </c>
      <c r="Y59" s="6" t="s">
        <v>739</v>
      </c>
      <c r="Z59" s="6" t="s">
        <v>819</v>
      </c>
      <c r="AA59" s="6" t="s">
        <v>659</v>
      </c>
      <c r="AC59" s="6" t="s">
        <v>1635</v>
      </c>
      <c r="AD59" s="6" t="s">
        <v>1636</v>
      </c>
      <c r="AE59" s="6" t="s">
        <v>847</v>
      </c>
      <c r="AF59" s="6" t="s">
        <v>1637</v>
      </c>
    </row>
    <row r="60" spans="1:32" x14ac:dyDescent="0.35">
      <c r="A60" s="5">
        <f t="shared" si="0"/>
        <v>202144404</v>
      </c>
      <c r="B60" s="5" t="s">
        <v>72</v>
      </c>
      <c r="C60" s="5" t="s">
        <v>383</v>
      </c>
      <c r="D60" s="6" t="s">
        <v>1051</v>
      </c>
      <c r="E60" s="6" t="s">
        <v>648</v>
      </c>
      <c r="F60" s="6" t="s">
        <v>664</v>
      </c>
      <c r="G60" s="6" t="s">
        <v>2663</v>
      </c>
      <c r="H60" s="6" t="s">
        <v>2682</v>
      </c>
      <c r="I60" s="7">
        <v>37575</v>
      </c>
      <c r="J60" s="6">
        <f t="shared" ca="1" si="1"/>
        <v>23</v>
      </c>
      <c r="K60" s="6" t="s">
        <v>791</v>
      </c>
      <c r="L60" s="6" t="s">
        <v>666</v>
      </c>
      <c r="M60" s="6" t="s">
        <v>652</v>
      </c>
      <c r="N60" s="6" t="s">
        <v>653</v>
      </c>
      <c r="O60" s="6" t="s">
        <v>1052</v>
      </c>
      <c r="P60" s="6" t="s">
        <v>1053</v>
      </c>
      <c r="Q60" s="6" t="s">
        <v>818</v>
      </c>
      <c r="R60" s="7">
        <v>44404</v>
      </c>
      <c r="S60" s="4" t="str">
        <f t="shared" ca="1" si="2"/>
        <v>PKWTT</v>
      </c>
      <c r="T60" s="10" t="str">
        <f t="shared" ca="1" si="3"/>
        <v/>
      </c>
      <c r="U60" s="7" t="str">
        <f t="shared" ca="1" si="4"/>
        <v/>
      </c>
      <c r="V60" s="7"/>
      <c r="W60" s="7"/>
      <c r="X60" s="4" t="str">
        <f t="shared" ca="1" si="5"/>
        <v>Active</v>
      </c>
      <c r="Y60" s="6" t="s">
        <v>681</v>
      </c>
      <c r="Z60" s="6" t="s">
        <v>682</v>
      </c>
      <c r="AA60" s="6" t="s">
        <v>683</v>
      </c>
      <c r="AC60" s="6" t="s">
        <v>1055</v>
      </c>
      <c r="AD60" s="6" t="s">
        <v>1056</v>
      </c>
      <c r="AE60" s="6" t="s">
        <v>847</v>
      </c>
      <c r="AF60" s="6" t="s">
        <v>1057</v>
      </c>
    </row>
    <row r="61" spans="1:32" x14ac:dyDescent="0.35">
      <c r="A61" s="5">
        <f t="shared" si="0"/>
        <v>202144222</v>
      </c>
      <c r="B61" s="5" t="s">
        <v>197</v>
      </c>
      <c r="C61" s="5" t="s">
        <v>508</v>
      </c>
      <c r="D61" s="6" t="s">
        <v>1861</v>
      </c>
      <c r="E61" s="6" t="s">
        <v>676</v>
      </c>
      <c r="F61" s="6" t="s">
        <v>738</v>
      </c>
      <c r="G61" s="6" t="s">
        <v>2663</v>
      </c>
      <c r="H61" s="6" t="s">
        <v>2684</v>
      </c>
      <c r="I61" s="7">
        <v>35851</v>
      </c>
      <c r="J61" s="6">
        <f t="shared" ca="1" si="1"/>
        <v>28</v>
      </c>
      <c r="K61" s="6" t="s">
        <v>791</v>
      </c>
      <c r="L61" s="6" t="s">
        <v>666</v>
      </c>
      <c r="M61" s="6" t="s">
        <v>701</v>
      </c>
      <c r="N61" s="6" t="s">
        <v>653</v>
      </c>
      <c r="O61" s="6" t="s">
        <v>1862</v>
      </c>
      <c r="P61" s="6" t="s">
        <v>1863</v>
      </c>
      <c r="Q61" s="6" t="s">
        <v>778</v>
      </c>
      <c r="R61" s="7">
        <v>44222</v>
      </c>
      <c r="S61" s="4" t="str">
        <f t="shared" ca="1" si="2"/>
        <v>PKWTT</v>
      </c>
      <c r="T61" s="10" t="str">
        <f t="shared" ca="1" si="3"/>
        <v/>
      </c>
      <c r="U61" s="7" t="str">
        <f t="shared" ca="1" si="4"/>
        <v/>
      </c>
      <c r="V61" s="7"/>
      <c r="W61" s="7"/>
      <c r="X61" s="4" t="str">
        <f t="shared" ca="1" si="5"/>
        <v>Active</v>
      </c>
      <c r="Y61" s="6" t="s">
        <v>739</v>
      </c>
      <c r="Z61" s="6" t="s">
        <v>740</v>
      </c>
      <c r="AA61" s="6" t="s">
        <v>683</v>
      </c>
      <c r="AC61" s="6" t="s">
        <v>1865</v>
      </c>
      <c r="AD61" s="6" t="s">
        <v>1866</v>
      </c>
      <c r="AE61" s="6" t="s">
        <v>847</v>
      </c>
      <c r="AF61" s="6" t="s">
        <v>1867</v>
      </c>
    </row>
    <row r="62" spans="1:32" x14ac:dyDescent="0.35">
      <c r="A62" s="5">
        <f t="shared" si="0"/>
        <v>201843228</v>
      </c>
      <c r="B62" s="5" t="s">
        <v>85</v>
      </c>
      <c r="C62" s="5" t="s">
        <v>396</v>
      </c>
      <c r="D62" s="6" t="s">
        <v>1093</v>
      </c>
      <c r="E62" s="6" t="s">
        <v>676</v>
      </c>
      <c r="F62" s="6" t="s">
        <v>738</v>
      </c>
      <c r="G62" s="6" t="s">
        <v>2663</v>
      </c>
      <c r="H62" s="6" t="s">
        <v>2676</v>
      </c>
      <c r="I62" s="7">
        <v>28382</v>
      </c>
      <c r="J62" s="6">
        <f t="shared" ca="1" si="1"/>
        <v>48</v>
      </c>
      <c r="K62" s="6" t="s">
        <v>791</v>
      </c>
      <c r="L62" s="6" t="s">
        <v>666</v>
      </c>
      <c r="M62" s="6" t="s">
        <v>701</v>
      </c>
      <c r="N62" s="6" t="s">
        <v>653</v>
      </c>
      <c r="O62" s="6" t="s">
        <v>1144</v>
      </c>
      <c r="P62" s="6" t="s">
        <v>1095</v>
      </c>
      <c r="Q62" s="6" t="s">
        <v>818</v>
      </c>
      <c r="R62" s="7">
        <v>43228</v>
      </c>
      <c r="S62" s="4" t="str">
        <f t="shared" ca="1" si="2"/>
        <v>PKWTT</v>
      </c>
      <c r="T62" s="10" t="str">
        <f t="shared" ca="1" si="3"/>
        <v/>
      </c>
      <c r="U62" s="7" t="str">
        <f t="shared" ca="1" si="4"/>
        <v/>
      </c>
      <c r="V62" s="7"/>
      <c r="W62" s="7"/>
      <c r="X62" s="4" t="str">
        <f t="shared" ca="1" si="5"/>
        <v>Active</v>
      </c>
      <c r="Y62" s="6" t="s">
        <v>794</v>
      </c>
      <c r="Z62" s="6" t="s">
        <v>2622</v>
      </c>
      <c r="AA62" s="6" t="s">
        <v>2621</v>
      </c>
      <c r="AC62" s="6" t="s">
        <v>1146</v>
      </c>
      <c r="AD62" s="6" t="s">
        <v>1147</v>
      </c>
      <c r="AE62" s="6" t="s">
        <v>847</v>
      </c>
      <c r="AF62" s="6" t="s">
        <v>1148</v>
      </c>
    </row>
    <row r="63" spans="1:32" x14ac:dyDescent="0.35">
      <c r="A63" s="5">
        <f t="shared" si="0"/>
        <v>202144512</v>
      </c>
      <c r="B63" s="5" t="s">
        <v>74</v>
      </c>
      <c r="C63" s="5" t="s">
        <v>385</v>
      </c>
      <c r="D63" s="6" t="s">
        <v>1069</v>
      </c>
      <c r="E63" s="6" t="s">
        <v>676</v>
      </c>
      <c r="F63" s="6" t="s">
        <v>689</v>
      </c>
      <c r="G63" s="6" t="s">
        <v>2695</v>
      </c>
      <c r="H63" s="6" t="s">
        <v>2696</v>
      </c>
      <c r="I63" s="7">
        <v>34465</v>
      </c>
      <c r="J63" s="6">
        <f t="shared" ca="1" si="1"/>
        <v>32</v>
      </c>
      <c r="K63" s="6" t="s">
        <v>791</v>
      </c>
      <c r="L63" s="6" t="s">
        <v>651</v>
      </c>
      <c r="M63" s="6" t="s">
        <v>677</v>
      </c>
      <c r="N63" s="6" t="s">
        <v>653</v>
      </c>
      <c r="O63" s="6" t="s">
        <v>1070</v>
      </c>
      <c r="P63" s="6" t="s">
        <v>1071</v>
      </c>
      <c r="Q63" s="6" t="s">
        <v>680</v>
      </c>
      <c r="R63" s="7">
        <v>44512</v>
      </c>
      <c r="S63" s="4" t="str">
        <f t="shared" ca="1" si="2"/>
        <v>PKWT</v>
      </c>
      <c r="T63" s="10">
        <f t="shared" ca="1" si="3"/>
        <v>3</v>
      </c>
      <c r="U63" s="7">
        <f t="shared" ca="1" si="4"/>
        <v>46337</v>
      </c>
      <c r="V63" s="7"/>
      <c r="W63" s="7"/>
      <c r="X63" s="4" t="str">
        <f t="shared" ca="1" si="5"/>
        <v>Active</v>
      </c>
      <c r="Y63" s="6" t="s">
        <v>657</v>
      </c>
      <c r="Z63" s="6" t="s">
        <v>705</v>
      </c>
      <c r="AA63" s="6" t="s">
        <v>706</v>
      </c>
      <c r="AC63" s="6" t="s">
        <v>1073</v>
      </c>
      <c r="AD63" s="6" t="s">
        <v>1074</v>
      </c>
      <c r="AE63" s="6" t="s">
        <v>847</v>
      </c>
      <c r="AF63" s="6" t="s">
        <v>1075</v>
      </c>
    </row>
    <row r="64" spans="1:32" x14ac:dyDescent="0.35">
      <c r="A64" s="5">
        <f t="shared" si="0"/>
        <v>201943613</v>
      </c>
      <c r="B64" s="5" t="s">
        <v>75</v>
      </c>
      <c r="C64" s="5" t="s">
        <v>386</v>
      </c>
      <c r="D64" s="6" t="s">
        <v>827</v>
      </c>
      <c r="E64" s="6" t="s">
        <v>676</v>
      </c>
      <c r="F64" s="6" t="s">
        <v>738</v>
      </c>
      <c r="G64" s="6" t="s">
        <v>2695</v>
      </c>
      <c r="H64" s="6" t="s">
        <v>2696</v>
      </c>
      <c r="I64" s="7">
        <v>36059</v>
      </c>
      <c r="J64" s="6">
        <f t="shared" ca="1" si="1"/>
        <v>27</v>
      </c>
      <c r="K64" s="6" t="s">
        <v>791</v>
      </c>
      <c r="L64" s="6" t="s">
        <v>666</v>
      </c>
      <c r="M64" s="6" t="s">
        <v>677</v>
      </c>
      <c r="N64" s="6" t="s">
        <v>653</v>
      </c>
      <c r="O64" s="6" t="s">
        <v>1076</v>
      </c>
      <c r="P64" s="6" t="s">
        <v>829</v>
      </c>
      <c r="Q64" s="6" t="s">
        <v>680</v>
      </c>
      <c r="R64" s="7">
        <v>43613</v>
      </c>
      <c r="S64" s="4" t="str">
        <f t="shared" ca="1" si="2"/>
        <v>PKWTT</v>
      </c>
      <c r="T64" s="10" t="str">
        <f t="shared" ca="1" si="3"/>
        <v/>
      </c>
      <c r="U64" s="7" t="str">
        <f t="shared" ca="1" si="4"/>
        <v/>
      </c>
      <c r="V64" s="7"/>
      <c r="W64" s="7"/>
      <c r="X64" s="4" t="str">
        <f t="shared" ca="1" si="5"/>
        <v>Active</v>
      </c>
      <c r="Y64" s="6" t="s">
        <v>794</v>
      </c>
      <c r="Z64" s="6" t="s">
        <v>795</v>
      </c>
      <c r="AA64" s="6" t="s">
        <v>659</v>
      </c>
      <c r="AC64" s="6" t="s">
        <v>1078</v>
      </c>
      <c r="AD64" s="6" t="s">
        <v>1079</v>
      </c>
      <c r="AE64" s="6" t="s">
        <v>847</v>
      </c>
      <c r="AF64" s="6" t="s">
        <v>1080</v>
      </c>
    </row>
    <row r="65" spans="1:32" x14ac:dyDescent="0.35">
      <c r="A65" s="5">
        <f t="shared" si="0"/>
        <v>201943713</v>
      </c>
      <c r="B65" s="5" t="s">
        <v>227</v>
      </c>
      <c r="C65" s="5" t="s">
        <v>538</v>
      </c>
      <c r="D65" s="6" t="s">
        <v>2033</v>
      </c>
      <c r="E65" s="6" t="s">
        <v>648</v>
      </c>
      <c r="F65" s="6" t="s">
        <v>742</v>
      </c>
      <c r="G65" s="6" t="s">
        <v>2695</v>
      </c>
      <c r="H65" s="6" t="s">
        <v>2687</v>
      </c>
      <c r="I65" s="7">
        <v>35730</v>
      </c>
      <c r="J65" s="6">
        <f t="shared" ca="1" si="1"/>
        <v>28</v>
      </c>
      <c r="K65" s="6" t="s">
        <v>791</v>
      </c>
      <c r="L65" s="6" t="s">
        <v>651</v>
      </c>
      <c r="M65" s="6" t="s">
        <v>652</v>
      </c>
      <c r="N65" s="6" t="s">
        <v>653</v>
      </c>
      <c r="O65" s="6" t="s">
        <v>2034</v>
      </c>
      <c r="P65" s="6" t="s">
        <v>2035</v>
      </c>
      <c r="Q65" s="6" t="s">
        <v>818</v>
      </c>
      <c r="R65" s="7">
        <v>43713</v>
      </c>
      <c r="S65" s="4" t="str">
        <f t="shared" ca="1" si="2"/>
        <v>PKWTT</v>
      </c>
      <c r="T65" s="10" t="str">
        <f t="shared" ca="1" si="3"/>
        <v/>
      </c>
      <c r="U65" s="7" t="str">
        <f t="shared" ca="1" si="4"/>
        <v/>
      </c>
      <c r="V65" s="7"/>
      <c r="W65" s="7"/>
      <c r="X65" s="4" t="str">
        <f t="shared" ca="1" si="5"/>
        <v>Active</v>
      </c>
      <c r="Y65" s="6" t="s">
        <v>739</v>
      </c>
      <c r="Z65" s="6" t="s">
        <v>819</v>
      </c>
      <c r="AA65" s="6" t="s">
        <v>659</v>
      </c>
      <c r="AC65" s="6" t="s">
        <v>2037</v>
      </c>
      <c r="AD65" s="6" t="s">
        <v>2038</v>
      </c>
      <c r="AE65" s="6" t="s">
        <v>847</v>
      </c>
      <c r="AF65" s="6" t="s">
        <v>2039</v>
      </c>
    </row>
    <row r="66" spans="1:32" x14ac:dyDescent="0.35">
      <c r="A66" s="5">
        <f t="shared" ref="A66:A129" si="6">VALUE(YEAR(R66)&amp;TEXT(R66,"0000"))</f>
        <v>201843375</v>
      </c>
      <c r="B66" s="5" t="s">
        <v>77</v>
      </c>
      <c r="C66" s="5" t="s">
        <v>388</v>
      </c>
      <c r="D66" s="6" t="s">
        <v>1014</v>
      </c>
      <c r="E66" s="6" t="s">
        <v>648</v>
      </c>
      <c r="F66" s="6" t="s">
        <v>649</v>
      </c>
      <c r="G66" s="6" t="s">
        <v>2695</v>
      </c>
      <c r="H66" s="6" t="s">
        <v>2697</v>
      </c>
      <c r="I66" s="7">
        <v>35437</v>
      </c>
      <c r="J66" s="6">
        <f t="shared" ref="J66:J129" ca="1" si="7">IF(I66="","",DATEDIF(I66,TODAY(),"Y"))</f>
        <v>29</v>
      </c>
      <c r="K66" s="6" t="s">
        <v>791</v>
      </c>
      <c r="L66" s="6" t="s">
        <v>651</v>
      </c>
      <c r="M66" s="6" t="s">
        <v>701</v>
      </c>
      <c r="N66" s="6" t="s">
        <v>653</v>
      </c>
      <c r="O66" s="6" t="s">
        <v>1088</v>
      </c>
      <c r="P66" s="6" t="s">
        <v>1016</v>
      </c>
      <c r="Q66" s="6" t="s">
        <v>694</v>
      </c>
      <c r="R66" s="7">
        <v>43375</v>
      </c>
      <c r="S66" s="4" t="str">
        <f t="shared" ref="S66:S129" ca="1" si="8">IF(AND(T66&lt;&gt;"",U66&lt;&gt;""),"PKWT","PKWTT")</f>
        <v>PKWTT</v>
      </c>
      <c r="T66" s="10" t="str">
        <f t="shared" ref="T66:T129" ca="1" si="9">IF(R66&gt;TODAY(),"",IF(DATEDIF(R66,TODAY(),"Y")&gt;=5,"",IF(DATEDIF(R66,TODAY(),"Y")&lt;1,1,IF(DATEDIF(R66,TODAY(),"Y")&lt;3,2,3))))</f>
        <v/>
      </c>
      <c r="U66" s="7" t="str">
        <f t="shared" ref="U66:U129" ca="1" si="10">IF(T66="","",IF(T66=1,EDATE(R66,12)-1,IF(T66=2,EDATE(R66,36)-1,IF(T66=3,EDATE(R66,60)-1,""))))</f>
        <v/>
      </c>
      <c r="V66" s="7"/>
      <c r="W66" s="7"/>
      <c r="X66" s="4" t="str">
        <f t="shared" ca="1" si="5"/>
        <v>Active</v>
      </c>
      <c r="Y66" s="6" t="s">
        <v>794</v>
      </c>
      <c r="Z66" s="6" t="s">
        <v>2626</v>
      </c>
      <c r="AA66" s="6" t="s">
        <v>659</v>
      </c>
      <c r="AC66" s="6" t="s">
        <v>1090</v>
      </c>
      <c r="AD66" s="6" t="s">
        <v>1091</v>
      </c>
      <c r="AE66" s="6" t="s">
        <v>847</v>
      </c>
      <c r="AF66" s="6" t="s">
        <v>1092</v>
      </c>
    </row>
    <row r="67" spans="1:32" x14ac:dyDescent="0.35">
      <c r="A67" s="5">
        <f t="shared" si="6"/>
        <v>201742737</v>
      </c>
      <c r="B67" s="5" t="s">
        <v>78</v>
      </c>
      <c r="C67" s="5" t="s">
        <v>389</v>
      </c>
      <c r="D67" s="6" t="s">
        <v>1093</v>
      </c>
      <c r="E67" s="6" t="s">
        <v>676</v>
      </c>
      <c r="F67" s="6" t="s">
        <v>742</v>
      </c>
      <c r="G67" s="6" t="s">
        <v>2695</v>
      </c>
      <c r="H67" s="6" t="s">
        <v>2696</v>
      </c>
      <c r="I67" s="7">
        <v>32131</v>
      </c>
      <c r="J67" s="6">
        <f t="shared" ca="1" si="7"/>
        <v>38</v>
      </c>
      <c r="K67" s="6" t="s">
        <v>791</v>
      </c>
      <c r="L67" s="6" t="s">
        <v>666</v>
      </c>
      <c r="M67" s="6" t="s">
        <v>677</v>
      </c>
      <c r="N67" s="6" t="s">
        <v>653</v>
      </c>
      <c r="O67" s="6" t="s">
        <v>1094</v>
      </c>
      <c r="P67" s="6" t="s">
        <v>1095</v>
      </c>
      <c r="Q67" s="6" t="s">
        <v>704</v>
      </c>
      <c r="R67" s="7">
        <v>42737</v>
      </c>
      <c r="S67" s="4" t="str">
        <f t="shared" ca="1" si="8"/>
        <v>PKWTT</v>
      </c>
      <c r="T67" s="10" t="str">
        <f t="shared" ca="1" si="9"/>
        <v/>
      </c>
      <c r="U67" s="7" t="str">
        <f t="shared" ca="1" si="10"/>
        <v/>
      </c>
      <c r="V67" s="7"/>
      <c r="W67" s="7"/>
      <c r="X67" s="4" t="str">
        <f t="shared" ref="X67:X130" ca="1" si="11">IF(V67&lt;&gt;"","Non-Active",IF(S67="PKWTT","Active",IF(U67&gt;=TODAY(),"Active","Non-Active")))</f>
        <v>Active</v>
      </c>
      <c r="Y67" s="6" t="s">
        <v>657</v>
      </c>
      <c r="Z67" s="6" t="s">
        <v>705</v>
      </c>
      <c r="AA67" s="6" t="s">
        <v>706</v>
      </c>
      <c r="AC67" s="6" t="s">
        <v>1097</v>
      </c>
      <c r="AD67" s="6" t="s">
        <v>1098</v>
      </c>
      <c r="AE67" s="6" t="s">
        <v>847</v>
      </c>
      <c r="AF67" s="6" t="s">
        <v>1099</v>
      </c>
    </row>
    <row r="68" spans="1:32" x14ac:dyDescent="0.35">
      <c r="A68" s="5">
        <f t="shared" si="6"/>
        <v>202044084</v>
      </c>
      <c r="B68" s="5" t="s">
        <v>79</v>
      </c>
      <c r="C68" s="5" t="s">
        <v>390</v>
      </c>
      <c r="D68" s="6" t="s">
        <v>901</v>
      </c>
      <c r="E68" s="6" t="s">
        <v>676</v>
      </c>
      <c r="F68" s="6" t="s">
        <v>649</v>
      </c>
      <c r="G68" s="6" t="s">
        <v>2663</v>
      </c>
      <c r="H68" s="6" t="s">
        <v>2682</v>
      </c>
      <c r="I68" s="7">
        <v>30044</v>
      </c>
      <c r="J68" s="6">
        <f t="shared" ca="1" si="7"/>
        <v>44</v>
      </c>
      <c r="K68" s="6" t="s">
        <v>791</v>
      </c>
      <c r="L68" s="6" t="s">
        <v>666</v>
      </c>
      <c r="M68" s="6" t="s">
        <v>652</v>
      </c>
      <c r="N68" s="6" t="s">
        <v>653</v>
      </c>
      <c r="O68" s="6" t="s">
        <v>1100</v>
      </c>
      <c r="P68" s="6" t="s">
        <v>902</v>
      </c>
      <c r="Q68" s="6" t="s">
        <v>731</v>
      </c>
      <c r="R68" s="7">
        <v>44084</v>
      </c>
      <c r="S68" s="4" t="str">
        <f t="shared" ca="1" si="8"/>
        <v>PKWTT</v>
      </c>
      <c r="T68" s="10" t="str">
        <f t="shared" ca="1" si="9"/>
        <v/>
      </c>
      <c r="U68" s="7" t="str">
        <f t="shared" ca="1" si="10"/>
        <v/>
      </c>
      <c r="V68" s="7"/>
      <c r="W68" s="7"/>
      <c r="X68" s="4" t="str">
        <f t="shared" ca="1" si="11"/>
        <v>Active</v>
      </c>
      <c r="Y68" s="6" t="s">
        <v>714</v>
      </c>
      <c r="Z68" s="6" t="s">
        <v>715</v>
      </c>
      <c r="AA68" s="6" t="s">
        <v>659</v>
      </c>
      <c r="AC68" s="6" t="s">
        <v>1102</v>
      </c>
      <c r="AD68" s="6" t="s">
        <v>1103</v>
      </c>
      <c r="AE68" s="6" t="s">
        <v>847</v>
      </c>
      <c r="AF68" s="6" t="s">
        <v>1104</v>
      </c>
    </row>
    <row r="69" spans="1:32" x14ac:dyDescent="0.35">
      <c r="A69" s="5">
        <f t="shared" si="6"/>
        <v>201742917</v>
      </c>
      <c r="B69" s="5" t="s">
        <v>80</v>
      </c>
      <c r="C69" s="5" t="s">
        <v>391</v>
      </c>
      <c r="D69" s="6" t="s">
        <v>1105</v>
      </c>
      <c r="E69" s="6" t="s">
        <v>648</v>
      </c>
      <c r="F69" s="6" t="s">
        <v>689</v>
      </c>
      <c r="G69" s="6" t="s">
        <v>2695</v>
      </c>
      <c r="H69" s="6" t="s">
        <v>2696</v>
      </c>
      <c r="I69" s="7">
        <v>27721</v>
      </c>
      <c r="J69" s="6">
        <f t="shared" ca="1" si="7"/>
        <v>50</v>
      </c>
      <c r="K69" s="6" t="s">
        <v>791</v>
      </c>
      <c r="L69" s="6" t="s">
        <v>666</v>
      </c>
      <c r="M69" s="6" t="s">
        <v>652</v>
      </c>
      <c r="N69" s="6" t="s">
        <v>653</v>
      </c>
      <c r="O69" s="6" t="s">
        <v>1106</v>
      </c>
      <c r="P69" s="6" t="s">
        <v>1107</v>
      </c>
      <c r="Q69" s="6" t="s">
        <v>731</v>
      </c>
      <c r="R69" s="7">
        <v>42917</v>
      </c>
      <c r="S69" s="4" t="str">
        <f t="shared" ca="1" si="8"/>
        <v>PKWTT</v>
      </c>
      <c r="T69" s="10" t="str">
        <f t="shared" ca="1" si="9"/>
        <v/>
      </c>
      <c r="U69" s="7" t="str">
        <f t="shared" ca="1" si="10"/>
        <v/>
      </c>
      <c r="V69" s="7"/>
      <c r="W69" s="7"/>
      <c r="X69" s="4" t="str">
        <f t="shared" ca="1" si="11"/>
        <v>Active</v>
      </c>
      <c r="Y69" s="6" t="s">
        <v>657</v>
      </c>
      <c r="Z69" s="6" t="s">
        <v>669</v>
      </c>
      <c r="AA69" s="6" t="s">
        <v>670</v>
      </c>
      <c r="AC69" s="6" t="s">
        <v>1109</v>
      </c>
      <c r="AD69" s="6" t="s">
        <v>1110</v>
      </c>
      <c r="AE69" s="6" t="s">
        <v>847</v>
      </c>
      <c r="AF69" s="6" t="s">
        <v>1111</v>
      </c>
    </row>
    <row r="70" spans="1:32" x14ac:dyDescent="0.35">
      <c r="A70" s="5">
        <f t="shared" si="6"/>
        <v>202144251</v>
      </c>
      <c r="B70" s="5" t="s">
        <v>223</v>
      </c>
      <c r="C70" s="5" t="s">
        <v>534</v>
      </c>
      <c r="D70" s="6" t="s">
        <v>2009</v>
      </c>
      <c r="E70" s="6" t="s">
        <v>676</v>
      </c>
      <c r="F70" s="6" t="s">
        <v>689</v>
      </c>
      <c r="G70" s="6" t="s">
        <v>2663</v>
      </c>
      <c r="H70" s="6" t="s">
        <v>2685</v>
      </c>
      <c r="I70" s="7">
        <v>28480</v>
      </c>
      <c r="J70" s="6">
        <f t="shared" ca="1" si="7"/>
        <v>48</v>
      </c>
      <c r="K70" s="6" t="s">
        <v>791</v>
      </c>
      <c r="L70" s="6" t="s">
        <v>666</v>
      </c>
      <c r="M70" s="6" t="s">
        <v>677</v>
      </c>
      <c r="N70" s="6" t="s">
        <v>653</v>
      </c>
      <c r="O70" s="6" t="s">
        <v>2010</v>
      </c>
      <c r="P70" s="6" t="s">
        <v>2011</v>
      </c>
      <c r="Q70" s="6" t="s">
        <v>656</v>
      </c>
      <c r="R70" s="7">
        <v>44251</v>
      </c>
      <c r="S70" s="4" t="str">
        <f t="shared" ca="1" si="8"/>
        <v>PKWTT</v>
      </c>
      <c r="T70" s="10" t="str">
        <f t="shared" ca="1" si="9"/>
        <v/>
      </c>
      <c r="U70" s="7" t="str">
        <f t="shared" ca="1" si="10"/>
        <v/>
      </c>
      <c r="V70" s="7"/>
      <c r="W70" s="7"/>
      <c r="X70" s="4" t="str">
        <f t="shared" ca="1" si="11"/>
        <v>Active</v>
      </c>
      <c r="Y70" s="6" t="s">
        <v>794</v>
      </c>
      <c r="Z70" s="6" t="s">
        <v>2623</v>
      </c>
      <c r="AA70" s="6" t="s">
        <v>2624</v>
      </c>
      <c r="AC70" s="6" t="s">
        <v>2013</v>
      </c>
      <c r="AD70" s="6" t="s">
        <v>2014</v>
      </c>
      <c r="AE70" s="6" t="s">
        <v>847</v>
      </c>
      <c r="AF70" s="6" t="s">
        <v>2015</v>
      </c>
    </row>
    <row r="71" spans="1:32" x14ac:dyDescent="0.35">
      <c r="A71" s="5">
        <f t="shared" si="6"/>
        <v>201943712</v>
      </c>
      <c r="B71" s="5" t="s">
        <v>268</v>
      </c>
      <c r="C71" s="5" t="s">
        <v>579</v>
      </c>
      <c r="D71" s="6" t="s">
        <v>2194</v>
      </c>
      <c r="E71" s="6" t="s">
        <v>648</v>
      </c>
      <c r="F71" s="6" t="s">
        <v>809</v>
      </c>
      <c r="G71" s="6" t="s">
        <v>2663</v>
      </c>
      <c r="H71" s="6" t="s">
        <v>2689</v>
      </c>
      <c r="I71" s="7">
        <v>35695</v>
      </c>
      <c r="J71" s="6">
        <f t="shared" ca="1" si="7"/>
        <v>28</v>
      </c>
      <c r="K71" s="6" t="s">
        <v>791</v>
      </c>
      <c r="L71" s="6" t="s">
        <v>666</v>
      </c>
      <c r="M71" s="6" t="s">
        <v>677</v>
      </c>
      <c r="N71" s="6" t="s">
        <v>653</v>
      </c>
      <c r="O71" s="6" t="s">
        <v>2259</v>
      </c>
      <c r="P71" s="6" t="s">
        <v>2196</v>
      </c>
      <c r="Q71" s="6" t="s">
        <v>731</v>
      </c>
      <c r="R71" s="7">
        <v>43712</v>
      </c>
      <c r="S71" s="4" t="str">
        <f t="shared" ca="1" si="8"/>
        <v>PKWTT</v>
      </c>
      <c r="T71" s="10" t="str">
        <f t="shared" ca="1" si="9"/>
        <v/>
      </c>
      <c r="U71" s="7" t="str">
        <f t="shared" ca="1" si="10"/>
        <v/>
      </c>
      <c r="V71" s="7"/>
      <c r="W71" s="7"/>
      <c r="X71" s="4" t="str">
        <f t="shared" ca="1" si="11"/>
        <v>Active</v>
      </c>
      <c r="Y71" s="6" t="s">
        <v>739</v>
      </c>
      <c r="Z71" s="6" t="s">
        <v>819</v>
      </c>
      <c r="AA71" s="6" t="s">
        <v>659</v>
      </c>
      <c r="AC71" s="6" t="s">
        <v>2261</v>
      </c>
      <c r="AD71" s="6" t="s">
        <v>2262</v>
      </c>
      <c r="AE71" s="6" t="s">
        <v>847</v>
      </c>
      <c r="AF71" s="6" t="s">
        <v>2263</v>
      </c>
    </row>
    <row r="72" spans="1:32" x14ac:dyDescent="0.35">
      <c r="A72" s="5">
        <f t="shared" si="6"/>
        <v>202044117</v>
      </c>
      <c r="B72" s="5" t="s">
        <v>82</v>
      </c>
      <c r="C72" s="5" t="s">
        <v>393</v>
      </c>
      <c r="D72" s="6" t="s">
        <v>1123</v>
      </c>
      <c r="E72" s="6" t="s">
        <v>648</v>
      </c>
      <c r="F72" s="6" t="s">
        <v>809</v>
      </c>
      <c r="G72" s="6" t="s">
        <v>2695</v>
      </c>
      <c r="H72" s="6" t="s">
        <v>2696</v>
      </c>
      <c r="I72" s="7">
        <v>29053</v>
      </c>
      <c r="J72" s="6">
        <f t="shared" ca="1" si="7"/>
        <v>47</v>
      </c>
      <c r="K72" s="6" t="s">
        <v>791</v>
      </c>
      <c r="L72" s="6" t="s">
        <v>666</v>
      </c>
      <c r="M72" s="6" t="s">
        <v>652</v>
      </c>
      <c r="N72" s="6" t="s">
        <v>653</v>
      </c>
      <c r="O72" s="6" t="s">
        <v>1124</v>
      </c>
      <c r="P72" s="6" t="s">
        <v>1125</v>
      </c>
      <c r="Q72" s="6" t="s">
        <v>778</v>
      </c>
      <c r="R72" s="7">
        <v>44117</v>
      </c>
      <c r="S72" s="4" t="str">
        <f t="shared" ca="1" si="8"/>
        <v>PKWTT</v>
      </c>
      <c r="T72" s="10" t="str">
        <f t="shared" ca="1" si="9"/>
        <v/>
      </c>
      <c r="U72" s="7" t="str">
        <f t="shared" ca="1" si="10"/>
        <v/>
      </c>
      <c r="V72" s="7"/>
      <c r="W72" s="7"/>
      <c r="X72" s="4" t="str">
        <f t="shared" ca="1" si="11"/>
        <v>Active</v>
      </c>
      <c r="Y72" s="6" t="s">
        <v>657</v>
      </c>
      <c r="Z72" s="6" t="s">
        <v>916</v>
      </c>
      <c r="AA72" s="6" t="s">
        <v>659</v>
      </c>
      <c r="AC72" s="6" t="s">
        <v>1127</v>
      </c>
      <c r="AD72" s="6" t="s">
        <v>1128</v>
      </c>
      <c r="AE72" s="6" t="s">
        <v>847</v>
      </c>
      <c r="AF72" s="6" t="s">
        <v>1129</v>
      </c>
    </row>
    <row r="73" spans="1:32" x14ac:dyDescent="0.35">
      <c r="A73" s="5">
        <f t="shared" si="6"/>
        <v>201642451</v>
      </c>
      <c r="B73" s="5" t="s">
        <v>307</v>
      </c>
      <c r="C73" s="5" t="s">
        <v>618</v>
      </c>
      <c r="D73" s="6" t="s">
        <v>2466</v>
      </c>
      <c r="E73" s="6" t="s">
        <v>648</v>
      </c>
      <c r="F73" s="6" t="s">
        <v>649</v>
      </c>
      <c r="G73" s="6" t="s">
        <v>2664</v>
      </c>
      <c r="H73" s="6" t="s">
        <v>2692</v>
      </c>
      <c r="I73" s="7">
        <v>35935</v>
      </c>
      <c r="J73" s="6">
        <f t="shared" ca="1" si="7"/>
        <v>28</v>
      </c>
      <c r="K73" s="6" t="s">
        <v>791</v>
      </c>
      <c r="L73" s="6" t="s">
        <v>666</v>
      </c>
      <c r="M73" s="6" t="s">
        <v>701</v>
      </c>
      <c r="N73" s="6" t="s">
        <v>653</v>
      </c>
      <c r="O73" s="6" t="s">
        <v>2467</v>
      </c>
      <c r="P73" s="6" t="s">
        <v>2468</v>
      </c>
      <c r="Q73" s="6" t="s">
        <v>731</v>
      </c>
      <c r="R73" s="7">
        <v>42451</v>
      </c>
      <c r="S73" s="4" t="str">
        <f t="shared" ca="1" si="8"/>
        <v>PKWTT</v>
      </c>
      <c r="T73" s="10" t="str">
        <f t="shared" ca="1" si="9"/>
        <v/>
      </c>
      <c r="U73" s="7" t="str">
        <f t="shared" ca="1" si="10"/>
        <v/>
      </c>
      <c r="V73" s="7"/>
      <c r="W73" s="7"/>
      <c r="X73" s="4" t="str">
        <f t="shared" ca="1" si="11"/>
        <v>Active</v>
      </c>
      <c r="Y73" s="6" t="s">
        <v>739</v>
      </c>
      <c r="Z73" s="6" t="s">
        <v>2639</v>
      </c>
      <c r="AA73" s="6" t="s">
        <v>2640</v>
      </c>
      <c r="AC73" s="6" t="s">
        <v>2470</v>
      </c>
      <c r="AD73" s="6" t="s">
        <v>2471</v>
      </c>
      <c r="AE73" s="6" t="s">
        <v>847</v>
      </c>
      <c r="AF73" s="6" t="s">
        <v>2472</v>
      </c>
    </row>
    <row r="74" spans="1:32" x14ac:dyDescent="0.35">
      <c r="A74" s="5">
        <f t="shared" si="6"/>
        <v>201943752</v>
      </c>
      <c r="B74" s="5" t="s">
        <v>83</v>
      </c>
      <c r="C74" s="5" t="s">
        <v>394</v>
      </c>
      <c r="D74" s="6" t="s">
        <v>1132</v>
      </c>
      <c r="E74" s="6" t="s">
        <v>648</v>
      </c>
      <c r="F74" s="6" t="s">
        <v>742</v>
      </c>
      <c r="G74" s="6" t="s">
        <v>2695</v>
      </c>
      <c r="H74" s="6" t="s">
        <v>2697</v>
      </c>
      <c r="I74" s="7">
        <v>29116</v>
      </c>
      <c r="J74" s="6">
        <f t="shared" ca="1" si="7"/>
        <v>46</v>
      </c>
      <c r="K74" s="6" t="s">
        <v>791</v>
      </c>
      <c r="L74" s="6" t="s">
        <v>666</v>
      </c>
      <c r="M74" s="6" t="s">
        <v>652</v>
      </c>
      <c r="N74" s="6" t="s">
        <v>653</v>
      </c>
      <c r="O74" s="6" t="s">
        <v>1133</v>
      </c>
      <c r="P74" s="6" t="s">
        <v>1134</v>
      </c>
      <c r="Q74" s="6" t="s">
        <v>778</v>
      </c>
      <c r="R74" s="7">
        <v>43752</v>
      </c>
      <c r="S74" s="4" t="str">
        <f t="shared" ca="1" si="8"/>
        <v>PKWTT</v>
      </c>
      <c r="T74" s="10" t="str">
        <f t="shared" ca="1" si="9"/>
        <v/>
      </c>
      <c r="U74" s="7" t="str">
        <f t="shared" ca="1" si="10"/>
        <v/>
      </c>
      <c r="V74" s="7"/>
      <c r="W74" s="7"/>
      <c r="X74" s="4" t="str">
        <f t="shared" ca="1" si="11"/>
        <v>Active</v>
      </c>
      <c r="Y74" s="6" t="s">
        <v>657</v>
      </c>
      <c r="Z74" s="6" t="s">
        <v>916</v>
      </c>
      <c r="AA74" s="6" t="s">
        <v>659</v>
      </c>
      <c r="AC74" s="6" t="s">
        <v>1136</v>
      </c>
      <c r="AD74" s="6" t="s">
        <v>1137</v>
      </c>
      <c r="AE74" s="6" t="s">
        <v>847</v>
      </c>
      <c r="AF74" s="6" t="s">
        <v>1138</v>
      </c>
    </row>
    <row r="75" spans="1:32" x14ac:dyDescent="0.35">
      <c r="A75" s="5">
        <f t="shared" si="6"/>
        <v>202144493</v>
      </c>
      <c r="B75" s="5" t="s">
        <v>84</v>
      </c>
      <c r="C75" s="5" t="s">
        <v>395</v>
      </c>
      <c r="D75" s="6" t="s">
        <v>720</v>
      </c>
      <c r="E75" s="6" t="s">
        <v>648</v>
      </c>
      <c r="F75" s="6" t="s">
        <v>768</v>
      </c>
      <c r="G75" s="6" t="s">
        <v>2664</v>
      </c>
      <c r="H75" s="6" t="s">
        <v>2692</v>
      </c>
      <c r="I75" s="7">
        <v>34659</v>
      </c>
      <c r="J75" s="6">
        <f t="shared" ca="1" si="7"/>
        <v>31</v>
      </c>
      <c r="K75" s="6" t="s">
        <v>791</v>
      </c>
      <c r="L75" s="6" t="s">
        <v>651</v>
      </c>
      <c r="M75" s="6" t="s">
        <v>701</v>
      </c>
      <c r="N75" s="6" t="s">
        <v>653</v>
      </c>
      <c r="O75" s="6" t="s">
        <v>1139</v>
      </c>
      <c r="P75" s="6" t="s">
        <v>723</v>
      </c>
      <c r="Q75" s="6" t="s">
        <v>680</v>
      </c>
      <c r="R75" s="7">
        <v>44493</v>
      </c>
      <c r="S75" s="4" t="str">
        <f t="shared" ca="1" si="8"/>
        <v>PKWT</v>
      </c>
      <c r="T75" s="10">
        <f t="shared" ca="1" si="9"/>
        <v>3</v>
      </c>
      <c r="U75" s="7">
        <f t="shared" ca="1" si="10"/>
        <v>46318</v>
      </c>
      <c r="V75" s="7"/>
      <c r="W75" s="7"/>
      <c r="X75" s="4" t="str">
        <f t="shared" ca="1" si="11"/>
        <v>Active</v>
      </c>
      <c r="Y75" s="6" t="s">
        <v>681</v>
      </c>
      <c r="Z75" s="6" t="s">
        <v>682</v>
      </c>
      <c r="AA75" s="6" t="s">
        <v>683</v>
      </c>
      <c r="AC75" s="6" t="s">
        <v>1141</v>
      </c>
      <c r="AD75" s="6" t="s">
        <v>1142</v>
      </c>
      <c r="AE75" s="6" t="s">
        <v>847</v>
      </c>
      <c r="AF75" s="6" t="s">
        <v>1143</v>
      </c>
    </row>
    <row r="76" spans="1:32" x14ac:dyDescent="0.35">
      <c r="A76" s="5">
        <f t="shared" si="6"/>
        <v>201642597</v>
      </c>
      <c r="B76" s="5" t="s">
        <v>310</v>
      </c>
      <c r="C76" s="5" t="s">
        <v>621</v>
      </c>
      <c r="D76" s="6" t="s">
        <v>2385</v>
      </c>
      <c r="E76" s="6" t="s">
        <v>648</v>
      </c>
      <c r="F76" s="6" t="s">
        <v>664</v>
      </c>
      <c r="G76" s="6" t="s">
        <v>2664</v>
      </c>
      <c r="H76" s="6" t="s">
        <v>2692</v>
      </c>
      <c r="I76" s="7">
        <v>28543</v>
      </c>
      <c r="J76" s="6">
        <f t="shared" ca="1" si="7"/>
        <v>48</v>
      </c>
      <c r="K76" s="6" t="s">
        <v>791</v>
      </c>
      <c r="L76" s="6" t="s">
        <v>651</v>
      </c>
      <c r="M76" s="6" t="s">
        <v>691</v>
      </c>
      <c r="N76" s="6" t="s">
        <v>653</v>
      </c>
      <c r="O76" s="6" t="s">
        <v>2483</v>
      </c>
      <c r="P76" s="6" t="s">
        <v>2386</v>
      </c>
      <c r="Q76" s="6" t="s">
        <v>778</v>
      </c>
      <c r="R76" s="7">
        <v>42597</v>
      </c>
      <c r="S76" s="4" t="str">
        <f t="shared" ca="1" si="8"/>
        <v>PKWTT</v>
      </c>
      <c r="T76" s="10" t="str">
        <f t="shared" ca="1" si="9"/>
        <v/>
      </c>
      <c r="U76" s="7" t="str">
        <f t="shared" ca="1" si="10"/>
        <v/>
      </c>
      <c r="V76" s="7"/>
      <c r="W76" s="7"/>
      <c r="X76" s="4" t="str">
        <f t="shared" ca="1" si="11"/>
        <v>Active</v>
      </c>
      <c r="Y76" s="6" t="s">
        <v>794</v>
      </c>
      <c r="Z76" s="6" t="s">
        <v>2623</v>
      </c>
      <c r="AA76" s="6" t="s">
        <v>2624</v>
      </c>
      <c r="AC76" s="6" t="s">
        <v>2485</v>
      </c>
      <c r="AD76" s="6" t="s">
        <v>2486</v>
      </c>
      <c r="AE76" s="6" t="s">
        <v>847</v>
      </c>
      <c r="AF76" s="6" t="s">
        <v>2487</v>
      </c>
    </row>
    <row r="77" spans="1:32" x14ac:dyDescent="0.35">
      <c r="A77" s="5">
        <f t="shared" si="6"/>
        <v>201742748</v>
      </c>
      <c r="B77" s="5" t="s">
        <v>322</v>
      </c>
      <c r="C77" s="5" t="s">
        <v>633</v>
      </c>
      <c r="D77" s="6" t="s">
        <v>863</v>
      </c>
      <c r="E77" s="6" t="s">
        <v>648</v>
      </c>
      <c r="F77" s="6" t="s">
        <v>664</v>
      </c>
      <c r="G77" s="6" t="s">
        <v>2695</v>
      </c>
      <c r="H77" s="6" t="s">
        <v>2697</v>
      </c>
      <c r="I77" s="7">
        <v>29153</v>
      </c>
      <c r="J77" s="6">
        <f t="shared" ca="1" si="7"/>
        <v>46</v>
      </c>
      <c r="K77" s="6" t="s">
        <v>791</v>
      </c>
      <c r="L77" s="6" t="s">
        <v>2660</v>
      </c>
      <c r="M77" s="6" t="s">
        <v>652</v>
      </c>
      <c r="N77" s="6" t="s">
        <v>653</v>
      </c>
      <c r="O77" s="6" t="s">
        <v>2547</v>
      </c>
      <c r="P77" s="6" t="s">
        <v>864</v>
      </c>
      <c r="Q77" s="6" t="s">
        <v>694</v>
      </c>
      <c r="R77" s="7">
        <v>42748</v>
      </c>
      <c r="S77" s="4" t="str">
        <f t="shared" ca="1" si="8"/>
        <v>PKWTT</v>
      </c>
      <c r="T77" s="10" t="str">
        <f t="shared" ca="1" si="9"/>
        <v/>
      </c>
      <c r="U77" s="7" t="str">
        <f t="shared" ca="1" si="10"/>
        <v/>
      </c>
      <c r="V77" s="7"/>
      <c r="W77" s="7"/>
      <c r="X77" s="4" t="str">
        <f t="shared" ca="1" si="11"/>
        <v>Active</v>
      </c>
      <c r="Y77" s="6" t="s">
        <v>794</v>
      </c>
      <c r="Z77" s="6" t="s">
        <v>2625</v>
      </c>
      <c r="AA77" s="6" t="s">
        <v>706</v>
      </c>
      <c r="AC77" s="6" t="s">
        <v>2549</v>
      </c>
      <c r="AD77" s="6" t="s">
        <v>2550</v>
      </c>
      <c r="AE77" s="6" t="s">
        <v>847</v>
      </c>
      <c r="AF77" s="6" t="s">
        <v>2551</v>
      </c>
    </row>
    <row r="78" spans="1:32" x14ac:dyDescent="0.35">
      <c r="A78" s="5">
        <f t="shared" si="6"/>
        <v>202345218</v>
      </c>
      <c r="B78" s="5" t="s">
        <v>327</v>
      </c>
      <c r="C78" s="5" t="s">
        <v>638</v>
      </c>
      <c r="D78" s="6" t="s">
        <v>892</v>
      </c>
      <c r="E78" s="6" t="s">
        <v>648</v>
      </c>
      <c r="F78" s="6" t="s">
        <v>742</v>
      </c>
      <c r="G78" s="6" t="s">
        <v>2664</v>
      </c>
      <c r="H78" s="6" t="s">
        <v>2692</v>
      </c>
      <c r="I78" s="7">
        <v>35637</v>
      </c>
      <c r="J78" s="6">
        <f t="shared" ca="1" si="7"/>
        <v>29</v>
      </c>
      <c r="K78" s="6" t="s">
        <v>791</v>
      </c>
      <c r="L78" s="6" t="s">
        <v>666</v>
      </c>
      <c r="M78" s="6" t="s">
        <v>701</v>
      </c>
      <c r="N78" s="6" t="s">
        <v>653</v>
      </c>
      <c r="O78" s="6" t="s">
        <v>2572</v>
      </c>
      <c r="P78" s="6" t="s">
        <v>893</v>
      </c>
      <c r="Q78" s="6" t="s">
        <v>778</v>
      </c>
      <c r="R78" s="7">
        <v>45218</v>
      </c>
      <c r="S78" s="4" t="str">
        <f t="shared" ca="1" si="8"/>
        <v>PKWT</v>
      </c>
      <c r="T78" s="10">
        <f t="shared" ca="1" si="9"/>
        <v>2</v>
      </c>
      <c r="U78" s="7">
        <f t="shared" ca="1" si="10"/>
        <v>46313</v>
      </c>
      <c r="V78" s="7"/>
      <c r="W78" s="7"/>
      <c r="X78" s="4" t="str">
        <f t="shared" ca="1" si="11"/>
        <v>Active</v>
      </c>
      <c r="Y78" s="6" t="s">
        <v>739</v>
      </c>
      <c r="Z78" s="6" t="s">
        <v>2639</v>
      </c>
      <c r="AA78" s="6" t="s">
        <v>2640</v>
      </c>
      <c r="AC78" s="6" t="s">
        <v>2574</v>
      </c>
      <c r="AD78" s="6" t="s">
        <v>2575</v>
      </c>
      <c r="AE78" s="6" t="s">
        <v>847</v>
      </c>
      <c r="AF78" s="6" t="s">
        <v>2576</v>
      </c>
    </row>
    <row r="79" spans="1:32" x14ac:dyDescent="0.35">
      <c r="A79" s="5">
        <f t="shared" si="6"/>
        <v>202144470</v>
      </c>
      <c r="B79" s="5" t="s">
        <v>87</v>
      </c>
      <c r="C79" s="5" t="s">
        <v>398</v>
      </c>
      <c r="D79" s="6" t="s">
        <v>1160</v>
      </c>
      <c r="E79" s="6" t="s">
        <v>648</v>
      </c>
      <c r="F79" s="6" t="s">
        <v>689</v>
      </c>
      <c r="G79" s="6" t="s">
        <v>2664</v>
      </c>
      <c r="H79" s="6" t="s">
        <v>2692</v>
      </c>
      <c r="I79" s="7">
        <v>33535</v>
      </c>
      <c r="J79" s="6">
        <f t="shared" ca="1" si="7"/>
        <v>34</v>
      </c>
      <c r="K79" s="6" t="s">
        <v>791</v>
      </c>
      <c r="L79" s="6" t="s">
        <v>2660</v>
      </c>
      <c r="M79" s="6" t="s">
        <v>677</v>
      </c>
      <c r="N79" s="6" t="s">
        <v>653</v>
      </c>
      <c r="O79" s="6" t="s">
        <v>1161</v>
      </c>
      <c r="P79" s="6" t="s">
        <v>1162</v>
      </c>
      <c r="Q79" s="6" t="s">
        <v>656</v>
      </c>
      <c r="R79" s="7">
        <v>44470</v>
      </c>
      <c r="S79" s="4" t="str">
        <f t="shared" ca="1" si="8"/>
        <v>PKWT</v>
      </c>
      <c r="T79" s="10">
        <f t="shared" ca="1" si="9"/>
        <v>3</v>
      </c>
      <c r="U79" s="7">
        <f t="shared" ca="1" si="10"/>
        <v>46295</v>
      </c>
      <c r="V79" s="7"/>
      <c r="W79" s="7"/>
      <c r="X79" s="4" t="str">
        <f t="shared" ca="1" si="11"/>
        <v>Active</v>
      </c>
      <c r="Y79" s="6" t="s">
        <v>681</v>
      </c>
      <c r="Z79" s="6" t="s">
        <v>682</v>
      </c>
      <c r="AA79" s="6" t="s">
        <v>683</v>
      </c>
      <c r="AC79" s="6" t="s">
        <v>1164</v>
      </c>
      <c r="AD79" s="6" t="s">
        <v>1165</v>
      </c>
      <c r="AE79" s="6" t="s">
        <v>847</v>
      </c>
      <c r="AF79" s="6" t="s">
        <v>1166</v>
      </c>
    </row>
    <row r="80" spans="1:32" x14ac:dyDescent="0.35">
      <c r="A80" s="5">
        <f t="shared" si="6"/>
        <v>201843255</v>
      </c>
      <c r="B80" s="5" t="s">
        <v>89</v>
      </c>
      <c r="C80" s="5" t="s">
        <v>400</v>
      </c>
      <c r="D80" s="6" t="s">
        <v>1067</v>
      </c>
      <c r="E80" s="6" t="s">
        <v>676</v>
      </c>
      <c r="F80" s="6" t="s">
        <v>689</v>
      </c>
      <c r="G80" s="6" t="s">
        <v>2695</v>
      </c>
      <c r="H80" s="6" t="s">
        <v>2697</v>
      </c>
      <c r="I80" s="7">
        <v>31041</v>
      </c>
      <c r="J80" s="6">
        <f t="shared" ca="1" si="7"/>
        <v>41</v>
      </c>
      <c r="K80" s="6" t="s">
        <v>791</v>
      </c>
      <c r="L80" s="6" t="s">
        <v>2660</v>
      </c>
      <c r="M80" s="6" t="s">
        <v>677</v>
      </c>
      <c r="N80" s="6" t="s">
        <v>653</v>
      </c>
      <c r="O80" s="6" t="s">
        <v>1178</v>
      </c>
      <c r="P80" s="6" t="s">
        <v>1068</v>
      </c>
      <c r="Q80" s="6" t="s">
        <v>731</v>
      </c>
      <c r="R80" s="7">
        <v>43255</v>
      </c>
      <c r="S80" s="4" t="str">
        <f t="shared" ca="1" si="8"/>
        <v>PKWTT</v>
      </c>
      <c r="T80" s="10" t="str">
        <f t="shared" ca="1" si="9"/>
        <v/>
      </c>
      <c r="U80" s="7" t="str">
        <f t="shared" ca="1" si="10"/>
        <v/>
      </c>
      <c r="V80" s="7"/>
      <c r="W80" s="7"/>
      <c r="X80" s="4" t="str">
        <f t="shared" ca="1" si="11"/>
        <v>Active</v>
      </c>
      <c r="Y80" s="6" t="s">
        <v>657</v>
      </c>
      <c r="Z80" s="6" t="s">
        <v>669</v>
      </c>
      <c r="AA80" s="6" t="s">
        <v>670</v>
      </c>
      <c r="AC80" s="6" t="s">
        <v>1180</v>
      </c>
      <c r="AD80" s="6" t="s">
        <v>1181</v>
      </c>
      <c r="AE80" s="6" t="s">
        <v>847</v>
      </c>
      <c r="AF80" s="6" t="s">
        <v>1182</v>
      </c>
    </row>
    <row r="81" spans="1:32" x14ac:dyDescent="0.35">
      <c r="A81" s="5">
        <f t="shared" si="6"/>
        <v>202345272</v>
      </c>
      <c r="B81" s="5" t="s">
        <v>90</v>
      </c>
      <c r="C81" s="5" t="s">
        <v>401</v>
      </c>
      <c r="D81" s="6" t="s">
        <v>1183</v>
      </c>
      <c r="E81" s="6" t="s">
        <v>648</v>
      </c>
      <c r="F81" s="6" t="s">
        <v>738</v>
      </c>
      <c r="G81" s="6" t="s">
        <v>2664</v>
      </c>
      <c r="H81" s="6" t="s">
        <v>2692</v>
      </c>
      <c r="I81" s="7">
        <v>37275</v>
      </c>
      <c r="J81" s="6">
        <f t="shared" ca="1" si="7"/>
        <v>24</v>
      </c>
      <c r="K81" s="6" t="s">
        <v>791</v>
      </c>
      <c r="L81" s="6" t="s">
        <v>666</v>
      </c>
      <c r="M81" s="6" t="s">
        <v>691</v>
      </c>
      <c r="N81" s="6" t="s">
        <v>653</v>
      </c>
      <c r="O81" s="6" t="s">
        <v>1184</v>
      </c>
      <c r="P81" s="6" t="s">
        <v>1185</v>
      </c>
      <c r="Q81" s="6" t="s">
        <v>694</v>
      </c>
      <c r="R81" s="7">
        <v>45272</v>
      </c>
      <c r="S81" s="4" t="str">
        <f t="shared" ca="1" si="8"/>
        <v>PKWT</v>
      </c>
      <c r="T81" s="10">
        <f t="shared" ca="1" si="9"/>
        <v>2</v>
      </c>
      <c r="U81" s="7">
        <f t="shared" ca="1" si="10"/>
        <v>46367</v>
      </c>
      <c r="V81" s="7"/>
      <c r="W81" s="7"/>
      <c r="X81" s="4" t="str">
        <f t="shared" ca="1" si="11"/>
        <v>Active</v>
      </c>
      <c r="Y81" s="6" t="s">
        <v>794</v>
      </c>
      <c r="Z81" s="6" t="s">
        <v>2626</v>
      </c>
      <c r="AA81" s="6" t="s">
        <v>659</v>
      </c>
      <c r="AC81" s="6" t="s">
        <v>1187</v>
      </c>
      <c r="AD81" s="6" t="s">
        <v>1188</v>
      </c>
      <c r="AE81" s="6" t="s">
        <v>847</v>
      </c>
      <c r="AF81" s="6" t="s">
        <v>1189</v>
      </c>
    </row>
    <row r="82" spans="1:32" x14ac:dyDescent="0.35">
      <c r="A82" s="5">
        <f t="shared" si="6"/>
        <v>202043974</v>
      </c>
      <c r="B82" s="5" t="s">
        <v>91</v>
      </c>
      <c r="C82" s="5" t="s">
        <v>402</v>
      </c>
      <c r="D82" s="6" t="s">
        <v>1192</v>
      </c>
      <c r="E82" s="6" t="s">
        <v>648</v>
      </c>
      <c r="F82" s="6" t="s">
        <v>689</v>
      </c>
      <c r="G82" s="6" t="s">
        <v>2695</v>
      </c>
      <c r="H82" s="6" t="s">
        <v>2697</v>
      </c>
      <c r="I82" s="7">
        <v>35350</v>
      </c>
      <c r="J82" s="6">
        <f t="shared" ca="1" si="7"/>
        <v>29</v>
      </c>
      <c r="K82" s="6" t="s">
        <v>791</v>
      </c>
      <c r="L82" s="6" t="s">
        <v>666</v>
      </c>
      <c r="M82" s="6" t="s">
        <v>701</v>
      </c>
      <c r="N82" s="6" t="s">
        <v>653</v>
      </c>
      <c r="O82" s="6" t="s">
        <v>1193</v>
      </c>
      <c r="P82" s="6" t="s">
        <v>1194</v>
      </c>
      <c r="Q82" s="6" t="s">
        <v>704</v>
      </c>
      <c r="R82" s="7">
        <v>43974</v>
      </c>
      <c r="S82" s="4" t="str">
        <f t="shared" ca="1" si="8"/>
        <v>PKWTT</v>
      </c>
      <c r="T82" s="10" t="str">
        <f t="shared" ca="1" si="9"/>
        <v/>
      </c>
      <c r="U82" s="7" t="str">
        <f t="shared" ca="1" si="10"/>
        <v/>
      </c>
      <c r="V82" s="7"/>
      <c r="W82" s="7"/>
      <c r="X82" s="4" t="str">
        <f t="shared" ca="1" si="11"/>
        <v>Active</v>
      </c>
      <c r="Y82" s="6" t="s">
        <v>657</v>
      </c>
      <c r="Z82" s="6" t="s">
        <v>916</v>
      </c>
      <c r="AA82" s="6" t="s">
        <v>659</v>
      </c>
      <c r="AC82" s="6" t="s">
        <v>1196</v>
      </c>
      <c r="AD82" s="6" t="s">
        <v>1197</v>
      </c>
      <c r="AE82" s="6" t="s">
        <v>847</v>
      </c>
      <c r="AF82" s="6" t="s">
        <v>1198</v>
      </c>
    </row>
    <row r="83" spans="1:32" x14ac:dyDescent="0.35">
      <c r="A83" s="5">
        <f t="shared" si="6"/>
        <v>201742971</v>
      </c>
      <c r="B83" s="5" t="s">
        <v>92</v>
      </c>
      <c r="C83" s="5" t="s">
        <v>403</v>
      </c>
      <c r="D83" s="6" t="s">
        <v>1201</v>
      </c>
      <c r="E83" s="6" t="s">
        <v>676</v>
      </c>
      <c r="F83" s="6" t="s">
        <v>649</v>
      </c>
      <c r="G83" s="6" t="s">
        <v>2695</v>
      </c>
      <c r="H83" s="6" t="s">
        <v>2697</v>
      </c>
      <c r="I83" s="7">
        <v>33698</v>
      </c>
      <c r="J83" s="6">
        <f t="shared" ca="1" si="7"/>
        <v>34</v>
      </c>
      <c r="K83" s="6" t="s">
        <v>791</v>
      </c>
      <c r="L83" s="6" t="s">
        <v>2660</v>
      </c>
      <c r="M83" s="6" t="s">
        <v>701</v>
      </c>
      <c r="N83" s="6" t="s">
        <v>653</v>
      </c>
      <c r="O83" s="6" t="s">
        <v>1202</v>
      </c>
      <c r="P83" s="6" t="s">
        <v>1203</v>
      </c>
      <c r="Q83" s="6" t="s">
        <v>680</v>
      </c>
      <c r="R83" s="7">
        <v>42971</v>
      </c>
      <c r="S83" s="4" t="str">
        <f t="shared" ca="1" si="8"/>
        <v>PKWTT</v>
      </c>
      <c r="T83" s="10" t="str">
        <f t="shared" ca="1" si="9"/>
        <v/>
      </c>
      <c r="U83" s="7" t="str">
        <f t="shared" ca="1" si="10"/>
        <v/>
      </c>
      <c r="V83" s="7"/>
      <c r="W83" s="7"/>
      <c r="X83" s="4" t="str">
        <f t="shared" ca="1" si="11"/>
        <v>Active</v>
      </c>
      <c r="Y83" s="6" t="s">
        <v>657</v>
      </c>
      <c r="Z83" s="6" t="s">
        <v>669</v>
      </c>
      <c r="AA83" s="6" t="s">
        <v>670</v>
      </c>
      <c r="AC83" s="6" t="s">
        <v>1205</v>
      </c>
      <c r="AD83" s="6" t="s">
        <v>1206</v>
      </c>
      <c r="AE83" s="6" t="s">
        <v>847</v>
      </c>
      <c r="AF83" s="6" t="s">
        <v>1207</v>
      </c>
    </row>
    <row r="84" spans="1:32" x14ac:dyDescent="0.35">
      <c r="A84" s="5">
        <f t="shared" si="6"/>
        <v>202244696</v>
      </c>
      <c r="B84" s="5" t="s">
        <v>93</v>
      </c>
      <c r="C84" s="5" t="s">
        <v>404</v>
      </c>
      <c r="D84" s="6" t="s">
        <v>1199</v>
      </c>
      <c r="E84" s="6" t="s">
        <v>676</v>
      </c>
      <c r="F84" s="6" t="s">
        <v>809</v>
      </c>
      <c r="G84" s="6" t="s">
        <v>2664</v>
      </c>
      <c r="H84" s="6" t="s">
        <v>2692</v>
      </c>
      <c r="I84" s="7">
        <v>35357</v>
      </c>
      <c r="J84" s="6">
        <f t="shared" ca="1" si="7"/>
        <v>29</v>
      </c>
      <c r="K84" s="6" t="s">
        <v>791</v>
      </c>
      <c r="L84" s="6" t="s">
        <v>2660</v>
      </c>
      <c r="M84" s="6" t="s">
        <v>652</v>
      </c>
      <c r="N84" s="6" t="s">
        <v>653</v>
      </c>
      <c r="O84" s="6" t="s">
        <v>1212</v>
      </c>
      <c r="P84" s="6" t="s">
        <v>1200</v>
      </c>
      <c r="Q84" s="6" t="s">
        <v>731</v>
      </c>
      <c r="R84" s="7">
        <v>44696</v>
      </c>
      <c r="S84" s="4" t="str">
        <f t="shared" ca="1" si="8"/>
        <v>PKWT</v>
      </c>
      <c r="T84" s="10">
        <f t="shared" ca="1" si="9"/>
        <v>3</v>
      </c>
      <c r="U84" s="7">
        <f t="shared" ca="1" si="10"/>
        <v>46521</v>
      </c>
      <c r="V84" s="7"/>
      <c r="W84" s="7"/>
      <c r="X84" s="4" t="str">
        <f t="shared" ca="1" si="11"/>
        <v>Active</v>
      </c>
      <c r="Y84" s="6" t="s">
        <v>794</v>
      </c>
      <c r="Z84" s="6" t="s">
        <v>2626</v>
      </c>
      <c r="AA84" s="6" t="s">
        <v>659</v>
      </c>
      <c r="AC84" s="6" t="s">
        <v>1214</v>
      </c>
      <c r="AD84" s="6" t="s">
        <v>1215</v>
      </c>
      <c r="AE84" s="6" t="s">
        <v>847</v>
      </c>
      <c r="AF84" s="6" t="s">
        <v>1216</v>
      </c>
    </row>
    <row r="85" spans="1:32" x14ac:dyDescent="0.35">
      <c r="A85" s="5">
        <f t="shared" si="6"/>
        <v>201642544</v>
      </c>
      <c r="B85" s="5" t="s">
        <v>94</v>
      </c>
      <c r="C85" s="5" t="s">
        <v>405</v>
      </c>
      <c r="D85" s="6" t="s">
        <v>1219</v>
      </c>
      <c r="E85" s="6" t="s">
        <v>648</v>
      </c>
      <c r="F85" s="6" t="s">
        <v>664</v>
      </c>
      <c r="G85" s="6" t="s">
        <v>2664</v>
      </c>
      <c r="H85" s="6" t="s">
        <v>2692</v>
      </c>
      <c r="I85" s="7">
        <v>34160</v>
      </c>
      <c r="J85" s="6">
        <f t="shared" ca="1" si="7"/>
        <v>33</v>
      </c>
      <c r="K85" s="6" t="s">
        <v>791</v>
      </c>
      <c r="L85" s="6" t="s">
        <v>2660</v>
      </c>
      <c r="M85" s="6" t="s">
        <v>691</v>
      </c>
      <c r="N85" s="6" t="s">
        <v>653</v>
      </c>
      <c r="O85" s="6" t="s">
        <v>1220</v>
      </c>
      <c r="P85" s="6" t="s">
        <v>1221</v>
      </c>
      <c r="Q85" s="6" t="s">
        <v>680</v>
      </c>
      <c r="R85" s="7">
        <v>42544</v>
      </c>
      <c r="S85" s="4" t="str">
        <f t="shared" ca="1" si="8"/>
        <v>PKWTT</v>
      </c>
      <c r="T85" s="10" t="str">
        <f t="shared" ca="1" si="9"/>
        <v/>
      </c>
      <c r="U85" s="7" t="str">
        <f t="shared" ca="1" si="10"/>
        <v/>
      </c>
      <c r="V85" s="7"/>
      <c r="W85" s="7"/>
      <c r="X85" s="4" t="str">
        <f t="shared" ca="1" si="11"/>
        <v>Active</v>
      </c>
      <c r="Y85" s="6" t="s">
        <v>681</v>
      </c>
      <c r="Z85" s="6" t="s">
        <v>682</v>
      </c>
      <c r="AA85" s="6" t="s">
        <v>683</v>
      </c>
      <c r="AC85" s="6" t="s">
        <v>1223</v>
      </c>
      <c r="AD85" s="6" t="s">
        <v>1224</v>
      </c>
      <c r="AE85" s="6" t="s">
        <v>847</v>
      </c>
      <c r="AF85" s="6" t="s">
        <v>1225</v>
      </c>
    </row>
    <row r="86" spans="1:32" x14ac:dyDescent="0.35">
      <c r="A86" s="5">
        <f t="shared" si="6"/>
        <v>201743003</v>
      </c>
      <c r="B86" s="5" t="s">
        <v>95</v>
      </c>
      <c r="C86" s="5" t="s">
        <v>406</v>
      </c>
      <c r="D86" s="6" t="s">
        <v>944</v>
      </c>
      <c r="E86" s="6" t="s">
        <v>648</v>
      </c>
      <c r="F86" s="6" t="s">
        <v>738</v>
      </c>
      <c r="G86" s="6" t="s">
        <v>2664</v>
      </c>
      <c r="H86" s="6" t="s">
        <v>2692</v>
      </c>
      <c r="I86" s="7">
        <v>30409</v>
      </c>
      <c r="J86" s="6">
        <f t="shared" ca="1" si="7"/>
        <v>43</v>
      </c>
      <c r="K86" s="6" t="s">
        <v>791</v>
      </c>
      <c r="L86" s="6" t="s">
        <v>666</v>
      </c>
      <c r="M86" s="6" t="s">
        <v>652</v>
      </c>
      <c r="N86" s="6" t="s">
        <v>653</v>
      </c>
      <c r="O86" s="6" t="s">
        <v>1226</v>
      </c>
      <c r="P86" s="6" t="s">
        <v>945</v>
      </c>
      <c r="Q86" s="6" t="s">
        <v>694</v>
      </c>
      <c r="R86" s="7">
        <v>43003</v>
      </c>
      <c r="S86" s="4" t="str">
        <f t="shared" ca="1" si="8"/>
        <v>PKWTT</v>
      </c>
      <c r="T86" s="10" t="str">
        <f t="shared" ca="1" si="9"/>
        <v/>
      </c>
      <c r="U86" s="7" t="str">
        <f t="shared" ca="1" si="10"/>
        <v/>
      </c>
      <c r="V86" s="7"/>
      <c r="W86" s="7"/>
      <c r="X86" s="4" t="str">
        <f t="shared" ca="1" si="11"/>
        <v>Active</v>
      </c>
      <c r="Y86" s="6" t="s">
        <v>732</v>
      </c>
      <c r="Z86" s="6" t="s">
        <v>733</v>
      </c>
      <c r="AA86" s="6" t="s">
        <v>659</v>
      </c>
      <c r="AC86" s="6" t="s">
        <v>1228</v>
      </c>
      <c r="AD86" s="6" t="s">
        <v>1229</v>
      </c>
      <c r="AE86" s="6" t="s">
        <v>847</v>
      </c>
      <c r="AF86" s="6" t="s">
        <v>1230</v>
      </c>
    </row>
    <row r="87" spans="1:32" x14ac:dyDescent="0.35">
      <c r="A87" s="5">
        <f t="shared" si="6"/>
        <v>202043913</v>
      </c>
      <c r="B87" s="5" t="s">
        <v>96</v>
      </c>
      <c r="C87" s="5" t="s">
        <v>407</v>
      </c>
      <c r="D87" s="6" t="s">
        <v>1231</v>
      </c>
      <c r="E87" s="6" t="s">
        <v>676</v>
      </c>
      <c r="F87" s="6" t="s">
        <v>649</v>
      </c>
      <c r="G87" s="6" t="s">
        <v>2664</v>
      </c>
      <c r="H87" s="6" t="s">
        <v>2692</v>
      </c>
      <c r="I87" s="7">
        <v>36091</v>
      </c>
      <c r="J87" s="6">
        <f t="shared" ca="1" si="7"/>
        <v>27</v>
      </c>
      <c r="K87" s="6" t="s">
        <v>791</v>
      </c>
      <c r="L87" s="6" t="s">
        <v>666</v>
      </c>
      <c r="M87" s="6" t="s">
        <v>677</v>
      </c>
      <c r="N87" s="6" t="s">
        <v>653</v>
      </c>
      <c r="O87" s="6" t="s">
        <v>1232</v>
      </c>
      <c r="P87" s="6" t="s">
        <v>1233</v>
      </c>
      <c r="Q87" s="6" t="s">
        <v>680</v>
      </c>
      <c r="R87" s="7">
        <v>43913</v>
      </c>
      <c r="S87" s="4" t="str">
        <f t="shared" ca="1" si="8"/>
        <v>PKWTT</v>
      </c>
      <c r="T87" s="10" t="str">
        <f t="shared" ca="1" si="9"/>
        <v/>
      </c>
      <c r="U87" s="7" t="str">
        <f t="shared" ca="1" si="10"/>
        <v/>
      </c>
      <c r="V87" s="7"/>
      <c r="W87" s="7"/>
      <c r="X87" s="4" t="str">
        <f t="shared" ca="1" si="11"/>
        <v>Active</v>
      </c>
      <c r="Y87" s="6" t="s">
        <v>732</v>
      </c>
      <c r="Z87" s="6" t="s">
        <v>733</v>
      </c>
      <c r="AA87" s="6" t="s">
        <v>659</v>
      </c>
      <c r="AC87" s="6" t="s">
        <v>1235</v>
      </c>
      <c r="AD87" s="6" t="s">
        <v>1236</v>
      </c>
      <c r="AE87" s="6" t="s">
        <v>847</v>
      </c>
      <c r="AF87" s="6" t="s">
        <v>1237</v>
      </c>
    </row>
    <row r="88" spans="1:32" x14ac:dyDescent="0.35">
      <c r="A88" s="5">
        <f t="shared" si="6"/>
        <v>201642373</v>
      </c>
      <c r="B88" s="5" t="s">
        <v>97</v>
      </c>
      <c r="C88" s="5" t="s">
        <v>408</v>
      </c>
      <c r="D88" s="6" t="s">
        <v>1238</v>
      </c>
      <c r="E88" s="6" t="s">
        <v>648</v>
      </c>
      <c r="F88" s="6" t="s">
        <v>689</v>
      </c>
      <c r="G88" s="6" t="s">
        <v>2695</v>
      </c>
      <c r="H88" s="6" t="s">
        <v>2697</v>
      </c>
      <c r="I88" s="7">
        <v>36869</v>
      </c>
      <c r="J88" s="6">
        <f t="shared" ca="1" si="7"/>
        <v>25</v>
      </c>
      <c r="K88" s="6" t="s">
        <v>791</v>
      </c>
      <c r="L88" s="6" t="s">
        <v>2660</v>
      </c>
      <c r="M88" s="6" t="s">
        <v>677</v>
      </c>
      <c r="N88" s="6" t="s">
        <v>653</v>
      </c>
      <c r="O88" s="6" t="s">
        <v>1239</v>
      </c>
      <c r="P88" s="6" t="s">
        <v>1240</v>
      </c>
      <c r="Q88" s="6" t="s">
        <v>731</v>
      </c>
      <c r="R88" s="7">
        <v>42373</v>
      </c>
      <c r="S88" s="4" t="str">
        <f t="shared" ca="1" si="8"/>
        <v>PKWTT</v>
      </c>
      <c r="T88" s="10" t="str">
        <f t="shared" ca="1" si="9"/>
        <v/>
      </c>
      <c r="U88" s="7" t="str">
        <f t="shared" ca="1" si="10"/>
        <v/>
      </c>
      <c r="V88" s="7"/>
      <c r="W88" s="7"/>
      <c r="X88" s="4" t="str">
        <f t="shared" ca="1" si="11"/>
        <v>Active</v>
      </c>
      <c r="Y88" s="6" t="s">
        <v>657</v>
      </c>
      <c r="Z88" s="6" t="s">
        <v>705</v>
      </c>
      <c r="AA88" s="6" t="s">
        <v>706</v>
      </c>
      <c r="AC88" s="6" t="s">
        <v>1242</v>
      </c>
      <c r="AD88" s="6" t="s">
        <v>1243</v>
      </c>
      <c r="AE88" s="6" t="s">
        <v>847</v>
      </c>
      <c r="AF88" s="6" t="s">
        <v>1244</v>
      </c>
    </row>
    <row r="89" spans="1:32" x14ac:dyDescent="0.35">
      <c r="A89" s="5">
        <f t="shared" si="6"/>
        <v>201642522</v>
      </c>
      <c r="B89" s="5" t="s">
        <v>98</v>
      </c>
      <c r="C89" s="5" t="s">
        <v>409</v>
      </c>
      <c r="D89" s="6" t="s">
        <v>879</v>
      </c>
      <c r="E89" s="6" t="s">
        <v>676</v>
      </c>
      <c r="F89" s="6" t="s">
        <v>649</v>
      </c>
      <c r="G89" s="6" t="s">
        <v>2664</v>
      </c>
      <c r="H89" s="6" t="s">
        <v>2692</v>
      </c>
      <c r="I89" s="7">
        <v>34158</v>
      </c>
      <c r="J89" s="6">
        <f t="shared" ca="1" si="7"/>
        <v>33</v>
      </c>
      <c r="K89" s="6" t="s">
        <v>791</v>
      </c>
      <c r="L89" s="6" t="s">
        <v>666</v>
      </c>
      <c r="M89" s="6" t="s">
        <v>701</v>
      </c>
      <c r="N89" s="6" t="s">
        <v>653</v>
      </c>
      <c r="O89" s="6" t="s">
        <v>1245</v>
      </c>
      <c r="P89" s="6" t="s">
        <v>881</v>
      </c>
      <c r="Q89" s="6" t="s">
        <v>778</v>
      </c>
      <c r="R89" s="7">
        <v>42522</v>
      </c>
      <c r="S89" s="4" t="str">
        <f t="shared" ca="1" si="8"/>
        <v>PKWTT</v>
      </c>
      <c r="T89" s="10" t="str">
        <f t="shared" ca="1" si="9"/>
        <v/>
      </c>
      <c r="U89" s="7" t="str">
        <f t="shared" ca="1" si="10"/>
        <v/>
      </c>
      <c r="V89" s="7"/>
      <c r="W89" s="7"/>
      <c r="X89" s="4" t="str">
        <f t="shared" ca="1" si="11"/>
        <v>Active</v>
      </c>
      <c r="Y89" s="6" t="s">
        <v>794</v>
      </c>
      <c r="Z89" s="6" t="s">
        <v>2626</v>
      </c>
      <c r="AA89" s="6" t="s">
        <v>659</v>
      </c>
      <c r="AC89" s="6" t="s">
        <v>1247</v>
      </c>
      <c r="AD89" s="6" t="s">
        <v>1248</v>
      </c>
      <c r="AE89" s="6" t="s">
        <v>847</v>
      </c>
      <c r="AF89" s="6" t="s">
        <v>1249</v>
      </c>
    </row>
    <row r="90" spans="1:32" x14ac:dyDescent="0.35">
      <c r="A90" s="5">
        <f t="shared" si="6"/>
        <v>202244621</v>
      </c>
      <c r="B90" s="5" t="s">
        <v>210</v>
      </c>
      <c r="C90" s="5" t="s">
        <v>521</v>
      </c>
      <c r="D90" s="6" t="s">
        <v>1119</v>
      </c>
      <c r="E90" s="6" t="s">
        <v>676</v>
      </c>
      <c r="F90" s="6" t="s">
        <v>738</v>
      </c>
      <c r="G90" s="6" t="s">
        <v>2695</v>
      </c>
      <c r="H90" s="6" t="s">
        <v>2697</v>
      </c>
      <c r="I90" s="7">
        <v>30093</v>
      </c>
      <c r="J90" s="6">
        <f t="shared" ca="1" si="7"/>
        <v>44</v>
      </c>
      <c r="K90" s="6" t="s">
        <v>791</v>
      </c>
      <c r="L90" s="6" t="s">
        <v>666</v>
      </c>
      <c r="M90" s="6" t="s">
        <v>691</v>
      </c>
      <c r="N90" s="6" t="s">
        <v>653</v>
      </c>
      <c r="O90" s="6" t="s">
        <v>1940</v>
      </c>
      <c r="P90" s="6" t="s">
        <v>1120</v>
      </c>
      <c r="Q90" s="6" t="s">
        <v>818</v>
      </c>
      <c r="R90" s="7">
        <v>44621</v>
      </c>
      <c r="S90" s="4" t="str">
        <f t="shared" ca="1" si="8"/>
        <v>PKWT</v>
      </c>
      <c r="T90" s="10">
        <f t="shared" ca="1" si="9"/>
        <v>3</v>
      </c>
      <c r="U90" s="7">
        <f t="shared" ca="1" si="10"/>
        <v>46446</v>
      </c>
      <c r="V90" s="7"/>
      <c r="W90" s="7"/>
      <c r="X90" s="4" t="str">
        <f t="shared" ca="1" si="11"/>
        <v>Active</v>
      </c>
      <c r="Y90" s="6" t="s">
        <v>794</v>
      </c>
      <c r="Z90" s="6" t="s">
        <v>2625</v>
      </c>
      <c r="AA90" s="6" t="s">
        <v>706</v>
      </c>
      <c r="AC90" s="6" t="s">
        <v>1942</v>
      </c>
      <c r="AD90" s="6" t="s">
        <v>1943</v>
      </c>
      <c r="AE90" s="6" t="s">
        <v>847</v>
      </c>
      <c r="AF90" s="6" t="s">
        <v>1944</v>
      </c>
    </row>
    <row r="91" spans="1:32" x14ac:dyDescent="0.35">
      <c r="A91" s="5">
        <f t="shared" si="6"/>
        <v>202345041</v>
      </c>
      <c r="B91" s="5" t="s">
        <v>100</v>
      </c>
      <c r="C91" s="5" t="s">
        <v>411</v>
      </c>
      <c r="D91" s="6" t="s">
        <v>1210</v>
      </c>
      <c r="E91" s="6" t="s">
        <v>676</v>
      </c>
      <c r="F91" s="6" t="s">
        <v>649</v>
      </c>
      <c r="G91" s="6" t="s">
        <v>2664</v>
      </c>
      <c r="H91" s="6" t="s">
        <v>2692</v>
      </c>
      <c r="I91" s="7">
        <v>30779</v>
      </c>
      <c r="J91" s="6">
        <f t="shared" ca="1" si="7"/>
        <v>42</v>
      </c>
      <c r="K91" s="6" t="s">
        <v>791</v>
      </c>
      <c r="L91" s="6" t="s">
        <v>2660</v>
      </c>
      <c r="M91" s="6" t="s">
        <v>677</v>
      </c>
      <c r="N91" s="6" t="s">
        <v>653</v>
      </c>
      <c r="O91" s="6" t="s">
        <v>1255</v>
      </c>
      <c r="P91" s="6" t="s">
        <v>1211</v>
      </c>
      <c r="Q91" s="6" t="s">
        <v>731</v>
      </c>
      <c r="R91" s="7">
        <v>45041</v>
      </c>
      <c r="S91" s="4" t="str">
        <f t="shared" ca="1" si="8"/>
        <v>PKWT</v>
      </c>
      <c r="T91" s="10">
        <f t="shared" ca="1" si="9"/>
        <v>3</v>
      </c>
      <c r="U91" s="7">
        <f t="shared" ca="1" si="10"/>
        <v>46867</v>
      </c>
      <c r="V91" s="7"/>
      <c r="W91" s="7"/>
      <c r="X91" s="4" t="str">
        <f t="shared" ca="1" si="11"/>
        <v>Active</v>
      </c>
      <c r="Y91" s="6" t="s">
        <v>714</v>
      </c>
      <c r="Z91" s="6" t="s">
        <v>715</v>
      </c>
      <c r="AA91" s="6" t="s">
        <v>659</v>
      </c>
      <c r="AC91" s="6" t="s">
        <v>1257</v>
      </c>
      <c r="AD91" s="6" t="s">
        <v>1258</v>
      </c>
      <c r="AE91" s="6" t="s">
        <v>847</v>
      </c>
      <c r="AF91" s="6" t="s">
        <v>1259</v>
      </c>
    </row>
    <row r="92" spans="1:32" x14ac:dyDescent="0.35">
      <c r="A92" s="5">
        <f t="shared" si="6"/>
        <v>201742806</v>
      </c>
      <c r="B92" s="5" t="s">
        <v>101</v>
      </c>
      <c r="C92" s="5" t="s">
        <v>412</v>
      </c>
      <c r="D92" s="6" t="s">
        <v>1268</v>
      </c>
      <c r="E92" s="6" t="s">
        <v>648</v>
      </c>
      <c r="F92" s="6" t="s">
        <v>742</v>
      </c>
      <c r="G92" s="6" t="s">
        <v>2695</v>
      </c>
      <c r="H92" s="6" t="s">
        <v>2697</v>
      </c>
      <c r="I92" s="7">
        <v>36903</v>
      </c>
      <c r="J92" s="6">
        <f t="shared" ca="1" si="7"/>
        <v>25</v>
      </c>
      <c r="K92" s="6" t="s">
        <v>791</v>
      </c>
      <c r="L92" s="6" t="s">
        <v>2660</v>
      </c>
      <c r="M92" s="6" t="s">
        <v>652</v>
      </c>
      <c r="N92" s="6" t="s">
        <v>653</v>
      </c>
      <c r="O92" s="6" t="s">
        <v>1269</v>
      </c>
      <c r="P92" s="6" t="s">
        <v>1270</v>
      </c>
      <c r="Q92" s="6" t="s">
        <v>818</v>
      </c>
      <c r="R92" s="7">
        <v>42806</v>
      </c>
      <c r="S92" s="4" t="str">
        <f t="shared" ca="1" si="8"/>
        <v>PKWTT</v>
      </c>
      <c r="T92" s="10" t="str">
        <f t="shared" ca="1" si="9"/>
        <v/>
      </c>
      <c r="U92" s="7" t="str">
        <f t="shared" ca="1" si="10"/>
        <v/>
      </c>
      <c r="V92" s="7"/>
      <c r="W92" s="7"/>
      <c r="X92" s="4" t="str">
        <f t="shared" ca="1" si="11"/>
        <v>Active</v>
      </c>
      <c r="Y92" s="6" t="s">
        <v>657</v>
      </c>
      <c r="Z92" s="6" t="s">
        <v>705</v>
      </c>
      <c r="AA92" s="6" t="s">
        <v>706</v>
      </c>
      <c r="AC92" s="6" t="s">
        <v>1272</v>
      </c>
      <c r="AD92" s="6" t="s">
        <v>1273</v>
      </c>
      <c r="AE92" s="6" t="s">
        <v>847</v>
      </c>
      <c r="AF92" s="6" t="s">
        <v>1274</v>
      </c>
    </row>
    <row r="93" spans="1:32" x14ac:dyDescent="0.35">
      <c r="A93" s="5">
        <f t="shared" si="6"/>
        <v>201843418</v>
      </c>
      <c r="B93" s="5" t="s">
        <v>103</v>
      </c>
      <c r="C93" s="5" t="s">
        <v>414</v>
      </c>
      <c r="D93" s="6" t="s">
        <v>775</v>
      </c>
      <c r="E93" s="6" t="s">
        <v>648</v>
      </c>
      <c r="F93" s="6" t="s">
        <v>768</v>
      </c>
      <c r="G93" s="6" t="s">
        <v>2664</v>
      </c>
      <c r="H93" s="6" t="s">
        <v>2692</v>
      </c>
      <c r="I93" s="7">
        <v>36512</v>
      </c>
      <c r="J93" s="6">
        <f t="shared" ca="1" si="7"/>
        <v>26</v>
      </c>
      <c r="K93" s="6" t="s">
        <v>791</v>
      </c>
      <c r="L93" s="6" t="s">
        <v>666</v>
      </c>
      <c r="M93" s="6" t="s">
        <v>691</v>
      </c>
      <c r="N93" s="6" t="s">
        <v>653</v>
      </c>
      <c r="O93" s="6" t="s">
        <v>1282</v>
      </c>
      <c r="P93" s="6" t="s">
        <v>777</v>
      </c>
      <c r="Q93" s="6" t="s">
        <v>704</v>
      </c>
      <c r="R93" s="7">
        <v>43418</v>
      </c>
      <c r="S93" s="4" t="str">
        <f t="shared" ca="1" si="8"/>
        <v>PKWTT</v>
      </c>
      <c r="T93" s="10" t="str">
        <f t="shared" ca="1" si="9"/>
        <v/>
      </c>
      <c r="U93" s="7" t="str">
        <f t="shared" ca="1" si="10"/>
        <v/>
      </c>
      <c r="V93" s="7"/>
      <c r="W93" s="7"/>
      <c r="X93" s="4" t="str">
        <f t="shared" ca="1" si="11"/>
        <v>Active</v>
      </c>
      <c r="Y93" s="6" t="s">
        <v>732</v>
      </c>
      <c r="Z93" s="6" t="s">
        <v>733</v>
      </c>
      <c r="AA93" s="6" t="s">
        <v>659</v>
      </c>
      <c r="AC93" s="6" t="s">
        <v>1284</v>
      </c>
      <c r="AD93" s="6" t="s">
        <v>1285</v>
      </c>
      <c r="AE93" s="6" t="s">
        <v>847</v>
      </c>
      <c r="AF93" s="6" t="s">
        <v>1286</v>
      </c>
    </row>
    <row r="94" spans="1:32" x14ac:dyDescent="0.35">
      <c r="A94" s="5">
        <f t="shared" si="6"/>
        <v>201642577</v>
      </c>
      <c r="B94" s="5" t="s">
        <v>104</v>
      </c>
      <c r="C94" s="5" t="s">
        <v>415</v>
      </c>
      <c r="D94" s="6" t="s">
        <v>1287</v>
      </c>
      <c r="E94" s="6" t="s">
        <v>676</v>
      </c>
      <c r="F94" s="6" t="s">
        <v>689</v>
      </c>
      <c r="G94" s="6" t="s">
        <v>2664</v>
      </c>
      <c r="H94" s="6" t="s">
        <v>2692</v>
      </c>
      <c r="I94" s="7">
        <v>34584</v>
      </c>
      <c r="J94" s="6">
        <f t="shared" ca="1" si="7"/>
        <v>31</v>
      </c>
      <c r="K94" s="6" t="s">
        <v>791</v>
      </c>
      <c r="L94" s="6" t="s">
        <v>2660</v>
      </c>
      <c r="M94" s="6" t="s">
        <v>677</v>
      </c>
      <c r="N94" s="6" t="s">
        <v>653</v>
      </c>
      <c r="O94" s="6" t="s">
        <v>1288</v>
      </c>
      <c r="P94" s="6" t="s">
        <v>1289</v>
      </c>
      <c r="Q94" s="6" t="s">
        <v>656</v>
      </c>
      <c r="R94" s="7">
        <v>42577</v>
      </c>
      <c r="S94" s="4" t="str">
        <f t="shared" ca="1" si="8"/>
        <v>PKWTT</v>
      </c>
      <c r="T94" s="10" t="str">
        <f t="shared" ca="1" si="9"/>
        <v/>
      </c>
      <c r="U94" s="7" t="str">
        <f t="shared" ca="1" si="10"/>
        <v/>
      </c>
      <c r="V94" s="7"/>
      <c r="W94" s="7"/>
      <c r="X94" s="4" t="str">
        <f t="shared" ca="1" si="11"/>
        <v>Active</v>
      </c>
      <c r="Y94" s="6" t="s">
        <v>794</v>
      </c>
      <c r="Z94" s="6" t="s">
        <v>2626</v>
      </c>
      <c r="AA94" s="6" t="s">
        <v>659</v>
      </c>
      <c r="AC94" s="6" t="s">
        <v>1291</v>
      </c>
      <c r="AD94" s="6" t="s">
        <v>1292</v>
      </c>
      <c r="AE94" s="6" t="s">
        <v>847</v>
      </c>
      <c r="AF94" s="6" t="s">
        <v>1293</v>
      </c>
    </row>
    <row r="95" spans="1:32" x14ac:dyDescent="0.35">
      <c r="A95" s="5">
        <f t="shared" si="6"/>
        <v>201843266</v>
      </c>
      <c r="B95" s="5" t="s">
        <v>105</v>
      </c>
      <c r="C95" s="5" t="s">
        <v>416</v>
      </c>
      <c r="D95" s="6" t="s">
        <v>997</v>
      </c>
      <c r="E95" s="6" t="s">
        <v>648</v>
      </c>
      <c r="F95" s="6" t="s">
        <v>738</v>
      </c>
      <c r="G95" s="6" t="s">
        <v>2664</v>
      </c>
      <c r="H95" s="6" t="s">
        <v>2692</v>
      </c>
      <c r="I95" s="7">
        <v>36314</v>
      </c>
      <c r="J95" s="6">
        <f t="shared" ca="1" si="7"/>
        <v>27</v>
      </c>
      <c r="K95" s="6" t="s">
        <v>791</v>
      </c>
      <c r="L95" s="6" t="s">
        <v>666</v>
      </c>
      <c r="M95" s="6" t="s">
        <v>691</v>
      </c>
      <c r="N95" s="6" t="s">
        <v>653</v>
      </c>
      <c r="O95" s="6" t="s">
        <v>1294</v>
      </c>
      <c r="P95" s="6" t="s">
        <v>998</v>
      </c>
      <c r="Q95" s="6" t="s">
        <v>778</v>
      </c>
      <c r="R95" s="7">
        <v>43266</v>
      </c>
      <c r="S95" s="4" t="str">
        <f t="shared" ca="1" si="8"/>
        <v>PKWTT</v>
      </c>
      <c r="T95" s="10" t="str">
        <f t="shared" ca="1" si="9"/>
        <v/>
      </c>
      <c r="U95" s="7" t="str">
        <f t="shared" ca="1" si="10"/>
        <v/>
      </c>
      <c r="V95" s="7"/>
      <c r="W95" s="7"/>
      <c r="X95" s="4" t="str">
        <f t="shared" ca="1" si="11"/>
        <v>Active</v>
      </c>
      <c r="Y95" s="6" t="s">
        <v>794</v>
      </c>
      <c r="Z95" s="6" t="s">
        <v>2626</v>
      </c>
      <c r="AA95" s="6" t="s">
        <v>659</v>
      </c>
      <c r="AC95" s="6" t="s">
        <v>1296</v>
      </c>
      <c r="AD95" s="6" t="s">
        <v>1297</v>
      </c>
      <c r="AE95" s="6" t="s">
        <v>847</v>
      </c>
      <c r="AF95" s="6" t="s">
        <v>1298</v>
      </c>
    </row>
    <row r="96" spans="1:32" x14ac:dyDescent="0.35">
      <c r="A96" s="5">
        <f t="shared" si="6"/>
        <v>202344977</v>
      </c>
      <c r="B96" s="5" t="s">
        <v>106</v>
      </c>
      <c r="C96" s="5" t="s">
        <v>417</v>
      </c>
      <c r="D96" s="6" t="s">
        <v>1299</v>
      </c>
      <c r="E96" s="6" t="s">
        <v>648</v>
      </c>
      <c r="F96" s="6" t="s">
        <v>809</v>
      </c>
      <c r="G96" s="6" t="s">
        <v>2664</v>
      </c>
      <c r="H96" s="6" t="s">
        <v>2692</v>
      </c>
      <c r="I96" s="7">
        <v>32880</v>
      </c>
      <c r="J96" s="6">
        <f t="shared" ca="1" si="7"/>
        <v>36</v>
      </c>
      <c r="K96" s="6" t="s">
        <v>791</v>
      </c>
      <c r="L96" s="6" t="s">
        <v>666</v>
      </c>
      <c r="M96" s="6" t="s">
        <v>652</v>
      </c>
      <c r="N96" s="6" t="s">
        <v>653</v>
      </c>
      <c r="O96" s="6" t="s">
        <v>1300</v>
      </c>
      <c r="P96" s="6" t="s">
        <v>1301</v>
      </c>
      <c r="Q96" s="6" t="s">
        <v>680</v>
      </c>
      <c r="R96" s="7">
        <v>44977</v>
      </c>
      <c r="S96" s="4" t="str">
        <f t="shared" ca="1" si="8"/>
        <v>PKWT</v>
      </c>
      <c r="T96" s="10">
        <f t="shared" ca="1" si="9"/>
        <v>3</v>
      </c>
      <c r="U96" s="7">
        <f t="shared" ca="1" si="10"/>
        <v>46802</v>
      </c>
      <c r="V96" s="7"/>
      <c r="W96" s="7"/>
      <c r="X96" s="4" t="str">
        <f t="shared" ca="1" si="11"/>
        <v>Active</v>
      </c>
      <c r="Y96" s="6" t="s">
        <v>681</v>
      </c>
      <c r="Z96" s="6" t="s">
        <v>759</v>
      </c>
      <c r="AA96" s="6" t="s">
        <v>659</v>
      </c>
      <c r="AC96" s="6" t="s">
        <v>1303</v>
      </c>
      <c r="AD96" s="6" t="s">
        <v>1304</v>
      </c>
      <c r="AE96" s="6" t="s">
        <v>847</v>
      </c>
      <c r="AF96" s="6" t="s">
        <v>1305</v>
      </c>
    </row>
    <row r="97" spans="1:32" x14ac:dyDescent="0.35">
      <c r="A97" s="5">
        <f t="shared" si="6"/>
        <v>202345000</v>
      </c>
      <c r="B97" s="5" t="s">
        <v>107</v>
      </c>
      <c r="C97" s="5" t="s">
        <v>418</v>
      </c>
      <c r="D97" s="6" t="s">
        <v>1306</v>
      </c>
      <c r="E97" s="6" t="s">
        <v>676</v>
      </c>
      <c r="F97" s="6" t="s">
        <v>768</v>
      </c>
      <c r="G97" s="6" t="s">
        <v>2664</v>
      </c>
      <c r="H97" s="6" t="s">
        <v>2692</v>
      </c>
      <c r="I97" s="7">
        <v>34040</v>
      </c>
      <c r="J97" s="6">
        <f t="shared" ca="1" si="7"/>
        <v>33</v>
      </c>
      <c r="K97" s="6" t="s">
        <v>791</v>
      </c>
      <c r="L97" s="6" t="s">
        <v>2660</v>
      </c>
      <c r="M97" s="6" t="s">
        <v>701</v>
      </c>
      <c r="N97" s="6" t="s">
        <v>653</v>
      </c>
      <c r="O97" s="6" t="s">
        <v>1307</v>
      </c>
      <c r="P97" s="6" t="s">
        <v>1308</v>
      </c>
      <c r="Q97" s="6" t="s">
        <v>818</v>
      </c>
      <c r="R97" s="7">
        <v>45000</v>
      </c>
      <c r="S97" s="4" t="str">
        <f t="shared" ca="1" si="8"/>
        <v>PKWT</v>
      </c>
      <c r="T97" s="10">
        <f t="shared" ca="1" si="9"/>
        <v>3</v>
      </c>
      <c r="U97" s="7">
        <f t="shared" ca="1" si="10"/>
        <v>46826</v>
      </c>
      <c r="V97" s="7"/>
      <c r="W97" s="7"/>
      <c r="X97" s="4" t="str">
        <f t="shared" ca="1" si="11"/>
        <v>Active</v>
      </c>
      <c r="Y97" s="6" t="s">
        <v>794</v>
      </c>
      <c r="Z97" s="6" t="s">
        <v>2626</v>
      </c>
      <c r="AA97" s="6" t="s">
        <v>659</v>
      </c>
      <c r="AC97" s="6" t="s">
        <v>1310</v>
      </c>
      <c r="AD97" s="6" t="s">
        <v>1311</v>
      </c>
      <c r="AE97" s="6" t="s">
        <v>847</v>
      </c>
      <c r="AF97" s="6" t="s">
        <v>1312</v>
      </c>
    </row>
    <row r="98" spans="1:32" x14ac:dyDescent="0.35">
      <c r="A98" s="5">
        <f t="shared" si="6"/>
        <v>201642468</v>
      </c>
      <c r="B98" s="5" t="s">
        <v>108</v>
      </c>
      <c r="C98" s="5" t="s">
        <v>419</v>
      </c>
      <c r="D98" s="6" t="s">
        <v>1313</v>
      </c>
      <c r="E98" s="6" t="s">
        <v>648</v>
      </c>
      <c r="F98" s="6" t="s">
        <v>738</v>
      </c>
      <c r="G98" s="6" t="s">
        <v>2695</v>
      </c>
      <c r="H98" s="6" t="s">
        <v>2697</v>
      </c>
      <c r="I98" s="7">
        <v>31471</v>
      </c>
      <c r="J98" s="6">
        <f t="shared" ca="1" si="7"/>
        <v>40</v>
      </c>
      <c r="K98" s="6" t="s">
        <v>791</v>
      </c>
      <c r="L98" s="6" t="s">
        <v>666</v>
      </c>
      <c r="M98" s="6" t="s">
        <v>701</v>
      </c>
      <c r="N98" s="6" t="s">
        <v>653</v>
      </c>
      <c r="O98" s="6" t="s">
        <v>1314</v>
      </c>
      <c r="P98" s="6" t="s">
        <v>1315</v>
      </c>
      <c r="Q98" s="6" t="s">
        <v>704</v>
      </c>
      <c r="R98" s="7">
        <v>42468</v>
      </c>
      <c r="S98" s="4" t="str">
        <f t="shared" ca="1" si="8"/>
        <v>PKWTT</v>
      </c>
      <c r="T98" s="10" t="str">
        <f t="shared" ca="1" si="9"/>
        <v/>
      </c>
      <c r="U98" s="7" t="str">
        <f t="shared" ca="1" si="10"/>
        <v/>
      </c>
      <c r="V98" s="7"/>
      <c r="W98" s="7"/>
      <c r="X98" s="4" t="str">
        <f t="shared" ca="1" si="11"/>
        <v>Active</v>
      </c>
      <c r="Y98" s="6" t="s">
        <v>657</v>
      </c>
      <c r="Z98" s="6" t="s">
        <v>916</v>
      </c>
      <c r="AA98" s="6" t="s">
        <v>659</v>
      </c>
      <c r="AC98" s="6" t="s">
        <v>1317</v>
      </c>
      <c r="AD98" s="6" t="s">
        <v>1318</v>
      </c>
      <c r="AE98" s="6" t="s">
        <v>847</v>
      </c>
      <c r="AF98" s="6" t="s">
        <v>1319</v>
      </c>
    </row>
    <row r="99" spans="1:32" x14ac:dyDescent="0.35">
      <c r="A99" s="5">
        <f t="shared" si="6"/>
        <v>201943650</v>
      </c>
      <c r="B99" s="5" t="s">
        <v>109</v>
      </c>
      <c r="C99" s="5" t="s">
        <v>420</v>
      </c>
      <c r="D99" s="6" t="s">
        <v>1320</v>
      </c>
      <c r="E99" s="6" t="s">
        <v>648</v>
      </c>
      <c r="F99" s="6" t="s">
        <v>809</v>
      </c>
      <c r="G99" s="6" t="s">
        <v>2664</v>
      </c>
      <c r="H99" s="6" t="s">
        <v>2692</v>
      </c>
      <c r="I99" s="7">
        <v>32654</v>
      </c>
      <c r="J99" s="6">
        <f t="shared" ca="1" si="7"/>
        <v>37</v>
      </c>
      <c r="K99" s="6" t="s">
        <v>791</v>
      </c>
      <c r="L99" s="6" t="s">
        <v>2660</v>
      </c>
      <c r="M99" s="6" t="s">
        <v>677</v>
      </c>
      <c r="N99" s="6" t="s">
        <v>653</v>
      </c>
      <c r="O99" s="6" t="s">
        <v>1321</v>
      </c>
      <c r="P99" s="6" t="s">
        <v>1322</v>
      </c>
      <c r="Q99" s="6" t="s">
        <v>778</v>
      </c>
      <c r="R99" s="7">
        <v>43650</v>
      </c>
      <c r="S99" s="4" t="str">
        <f t="shared" ca="1" si="8"/>
        <v>PKWTT</v>
      </c>
      <c r="T99" s="10" t="str">
        <f t="shared" ca="1" si="9"/>
        <v/>
      </c>
      <c r="U99" s="7" t="str">
        <f t="shared" ca="1" si="10"/>
        <v/>
      </c>
      <c r="V99" s="7"/>
      <c r="W99" s="7"/>
      <c r="X99" s="4" t="str">
        <f t="shared" ca="1" si="11"/>
        <v>Active</v>
      </c>
      <c r="Y99" s="6" t="s">
        <v>794</v>
      </c>
      <c r="Z99" s="6" t="s">
        <v>2631</v>
      </c>
      <c r="AA99" s="6" t="s">
        <v>659</v>
      </c>
      <c r="AC99" s="6" t="s">
        <v>1324</v>
      </c>
      <c r="AD99" s="6" t="s">
        <v>1325</v>
      </c>
      <c r="AE99" s="6" t="s">
        <v>847</v>
      </c>
      <c r="AF99" s="6" t="s">
        <v>1326</v>
      </c>
    </row>
    <row r="100" spans="1:32" x14ac:dyDescent="0.35">
      <c r="A100" s="5">
        <f t="shared" si="6"/>
        <v>201743026</v>
      </c>
      <c r="B100" s="5" t="s">
        <v>110</v>
      </c>
      <c r="C100" s="5" t="s">
        <v>421</v>
      </c>
      <c r="D100" s="6" t="s">
        <v>901</v>
      </c>
      <c r="E100" s="6" t="s">
        <v>676</v>
      </c>
      <c r="F100" s="6" t="s">
        <v>738</v>
      </c>
      <c r="G100" s="6" t="s">
        <v>2664</v>
      </c>
      <c r="H100" s="6" t="s">
        <v>2692</v>
      </c>
      <c r="I100" s="7">
        <v>29078</v>
      </c>
      <c r="J100" s="6">
        <f t="shared" ca="1" si="7"/>
        <v>46</v>
      </c>
      <c r="K100" s="6" t="s">
        <v>791</v>
      </c>
      <c r="L100" s="6" t="s">
        <v>2660</v>
      </c>
      <c r="M100" s="6" t="s">
        <v>701</v>
      </c>
      <c r="N100" s="6" t="s">
        <v>653</v>
      </c>
      <c r="O100" s="6" t="s">
        <v>1327</v>
      </c>
      <c r="P100" s="6" t="s">
        <v>902</v>
      </c>
      <c r="Q100" s="6" t="s">
        <v>818</v>
      </c>
      <c r="R100" s="7">
        <v>43026</v>
      </c>
      <c r="S100" s="4" t="str">
        <f t="shared" ca="1" si="8"/>
        <v>PKWTT</v>
      </c>
      <c r="T100" s="10" t="str">
        <f t="shared" ca="1" si="9"/>
        <v/>
      </c>
      <c r="U100" s="7" t="str">
        <f t="shared" ca="1" si="10"/>
        <v/>
      </c>
      <c r="V100" s="7"/>
      <c r="W100" s="7"/>
      <c r="X100" s="4" t="str">
        <f t="shared" ca="1" si="11"/>
        <v>Active</v>
      </c>
      <c r="Y100" s="6" t="s">
        <v>714</v>
      </c>
      <c r="Z100" s="6" t="s">
        <v>715</v>
      </c>
      <c r="AA100" s="6" t="s">
        <v>659</v>
      </c>
      <c r="AC100" s="6" t="s">
        <v>1329</v>
      </c>
      <c r="AD100" s="6" t="s">
        <v>1330</v>
      </c>
      <c r="AE100" s="6" t="s">
        <v>847</v>
      </c>
      <c r="AF100" s="6" t="s">
        <v>1331</v>
      </c>
    </row>
    <row r="101" spans="1:32" x14ac:dyDescent="0.35">
      <c r="A101" s="5">
        <f t="shared" si="6"/>
        <v>202044004</v>
      </c>
      <c r="B101" s="5" t="s">
        <v>112</v>
      </c>
      <c r="C101" s="5" t="s">
        <v>423</v>
      </c>
      <c r="D101" s="6" t="s">
        <v>1012</v>
      </c>
      <c r="E101" s="6" t="s">
        <v>676</v>
      </c>
      <c r="F101" s="6" t="s">
        <v>809</v>
      </c>
      <c r="G101" s="6" t="s">
        <v>2664</v>
      </c>
      <c r="H101" s="6" t="s">
        <v>2692</v>
      </c>
      <c r="I101" s="7">
        <v>33324</v>
      </c>
      <c r="J101" s="6">
        <f t="shared" ca="1" si="7"/>
        <v>35</v>
      </c>
      <c r="K101" s="6" t="s">
        <v>791</v>
      </c>
      <c r="L101" s="6" t="s">
        <v>666</v>
      </c>
      <c r="M101" s="6" t="s">
        <v>677</v>
      </c>
      <c r="N101" s="6" t="s">
        <v>653</v>
      </c>
      <c r="O101" s="6" t="s">
        <v>1339</v>
      </c>
      <c r="P101" s="6" t="s">
        <v>1013</v>
      </c>
      <c r="Q101" s="6" t="s">
        <v>704</v>
      </c>
      <c r="R101" s="7">
        <v>44004</v>
      </c>
      <c r="S101" s="4" t="str">
        <f t="shared" ca="1" si="8"/>
        <v>PKWTT</v>
      </c>
      <c r="T101" s="10" t="str">
        <f t="shared" ca="1" si="9"/>
        <v/>
      </c>
      <c r="U101" s="7" t="str">
        <f t="shared" ca="1" si="10"/>
        <v/>
      </c>
      <c r="V101" s="7"/>
      <c r="W101" s="7"/>
      <c r="X101" s="4" t="str">
        <f t="shared" ca="1" si="11"/>
        <v>Active</v>
      </c>
      <c r="Y101" s="6" t="s">
        <v>732</v>
      </c>
      <c r="Z101" s="6" t="s">
        <v>733</v>
      </c>
      <c r="AA101" s="6" t="s">
        <v>659</v>
      </c>
      <c r="AC101" s="6" t="s">
        <v>1341</v>
      </c>
      <c r="AD101" s="6" t="s">
        <v>1342</v>
      </c>
      <c r="AE101" s="6" t="s">
        <v>847</v>
      </c>
      <c r="AF101" s="6" t="s">
        <v>1343</v>
      </c>
    </row>
    <row r="102" spans="1:32" x14ac:dyDescent="0.35">
      <c r="A102" s="5">
        <f t="shared" si="6"/>
        <v>201642675</v>
      </c>
      <c r="B102" s="5" t="s">
        <v>312</v>
      </c>
      <c r="C102" s="5" t="s">
        <v>623</v>
      </c>
      <c r="D102" s="6" t="s">
        <v>1112</v>
      </c>
      <c r="E102" s="6" t="s">
        <v>676</v>
      </c>
      <c r="F102" s="6" t="s">
        <v>738</v>
      </c>
      <c r="G102" s="6" t="s">
        <v>2695</v>
      </c>
      <c r="H102" s="6" t="s">
        <v>2697</v>
      </c>
      <c r="I102" s="7">
        <v>29875</v>
      </c>
      <c r="J102" s="6">
        <f t="shared" ca="1" si="7"/>
        <v>44</v>
      </c>
      <c r="K102" s="6" t="s">
        <v>791</v>
      </c>
      <c r="L102" s="6" t="s">
        <v>2660</v>
      </c>
      <c r="M102" s="6" t="s">
        <v>701</v>
      </c>
      <c r="N102" s="6" t="s">
        <v>653</v>
      </c>
      <c r="O102" s="6" t="s">
        <v>2493</v>
      </c>
      <c r="P102" s="6" t="s">
        <v>1114</v>
      </c>
      <c r="Q102" s="6" t="s">
        <v>818</v>
      </c>
      <c r="R102" s="7">
        <v>42675</v>
      </c>
      <c r="S102" s="4" t="str">
        <f t="shared" ca="1" si="8"/>
        <v>PKWTT</v>
      </c>
      <c r="T102" s="10" t="str">
        <f t="shared" ca="1" si="9"/>
        <v/>
      </c>
      <c r="U102" s="7" t="str">
        <f t="shared" ca="1" si="10"/>
        <v/>
      </c>
      <c r="V102" s="7"/>
      <c r="W102" s="7"/>
      <c r="X102" s="4" t="str">
        <f t="shared" ca="1" si="11"/>
        <v>Active</v>
      </c>
      <c r="Y102" s="6" t="s">
        <v>794</v>
      </c>
      <c r="Z102" s="6" t="s">
        <v>2625</v>
      </c>
      <c r="AA102" s="6" t="s">
        <v>706</v>
      </c>
      <c r="AC102" s="6" t="s">
        <v>2495</v>
      </c>
      <c r="AD102" s="6" t="s">
        <v>2496</v>
      </c>
      <c r="AE102" s="6" t="s">
        <v>847</v>
      </c>
      <c r="AF102" s="6" t="s">
        <v>2497</v>
      </c>
    </row>
    <row r="103" spans="1:32" x14ac:dyDescent="0.35">
      <c r="A103" s="5">
        <f t="shared" si="6"/>
        <v>201943804</v>
      </c>
      <c r="B103" s="5" t="s">
        <v>113</v>
      </c>
      <c r="C103" s="5" t="s">
        <v>424</v>
      </c>
      <c r="D103" s="6" t="s">
        <v>1344</v>
      </c>
      <c r="E103" s="6" t="s">
        <v>676</v>
      </c>
      <c r="F103" s="6" t="s">
        <v>809</v>
      </c>
      <c r="G103" s="6" t="s">
        <v>2695</v>
      </c>
      <c r="H103" s="6" t="s">
        <v>2697</v>
      </c>
      <c r="I103" s="7">
        <v>33799</v>
      </c>
      <c r="J103" s="6">
        <f t="shared" ca="1" si="7"/>
        <v>34</v>
      </c>
      <c r="K103" s="6" t="s">
        <v>791</v>
      </c>
      <c r="L103" s="6" t="s">
        <v>2660</v>
      </c>
      <c r="M103" s="6" t="s">
        <v>677</v>
      </c>
      <c r="N103" s="6" t="s">
        <v>653</v>
      </c>
      <c r="O103" s="6" t="s">
        <v>1345</v>
      </c>
      <c r="P103" s="6" t="s">
        <v>1346</v>
      </c>
      <c r="Q103" s="6" t="s">
        <v>818</v>
      </c>
      <c r="R103" s="7">
        <v>43804</v>
      </c>
      <c r="S103" s="4" t="str">
        <f t="shared" ca="1" si="8"/>
        <v>PKWTT</v>
      </c>
      <c r="T103" s="10" t="str">
        <f t="shared" ca="1" si="9"/>
        <v/>
      </c>
      <c r="U103" s="7" t="str">
        <f t="shared" ca="1" si="10"/>
        <v/>
      </c>
      <c r="V103" s="7"/>
      <c r="W103" s="7"/>
      <c r="X103" s="4" t="str">
        <f t="shared" ca="1" si="11"/>
        <v>Active</v>
      </c>
      <c r="Y103" s="6" t="s">
        <v>657</v>
      </c>
      <c r="Z103" s="6" t="s">
        <v>669</v>
      </c>
      <c r="AA103" s="6" t="s">
        <v>670</v>
      </c>
      <c r="AC103" s="6" t="s">
        <v>1348</v>
      </c>
      <c r="AD103" s="6" t="s">
        <v>1349</v>
      </c>
      <c r="AE103" s="6" t="s">
        <v>847</v>
      </c>
      <c r="AF103" s="6" t="s">
        <v>1350</v>
      </c>
    </row>
    <row r="104" spans="1:32" x14ac:dyDescent="0.35">
      <c r="A104" s="5">
        <f t="shared" si="6"/>
        <v>201843298</v>
      </c>
      <c r="B104" s="5" t="s">
        <v>99</v>
      </c>
      <c r="C104" s="5" t="s">
        <v>410</v>
      </c>
      <c r="D104" s="6" t="s">
        <v>967</v>
      </c>
      <c r="E104" s="6" t="s">
        <v>648</v>
      </c>
      <c r="F104" s="6" t="s">
        <v>649</v>
      </c>
      <c r="G104" s="6" t="s">
        <v>2695</v>
      </c>
      <c r="H104" s="6" t="s">
        <v>2697</v>
      </c>
      <c r="I104" s="7">
        <v>30320</v>
      </c>
      <c r="J104" s="6">
        <f t="shared" ca="1" si="7"/>
        <v>43</v>
      </c>
      <c r="K104" s="6" t="s">
        <v>791</v>
      </c>
      <c r="L104" s="6" t="s">
        <v>666</v>
      </c>
      <c r="M104" s="6" t="s">
        <v>652</v>
      </c>
      <c r="N104" s="6" t="s">
        <v>653</v>
      </c>
      <c r="O104" s="6" t="s">
        <v>1250</v>
      </c>
      <c r="P104" s="6" t="s">
        <v>969</v>
      </c>
      <c r="Q104" s="6" t="s">
        <v>656</v>
      </c>
      <c r="R104" s="7">
        <v>43298</v>
      </c>
      <c r="S104" s="4" t="str">
        <f t="shared" ca="1" si="8"/>
        <v>PKWTT</v>
      </c>
      <c r="T104" s="10" t="str">
        <f t="shared" ca="1" si="9"/>
        <v/>
      </c>
      <c r="U104" s="7" t="str">
        <f t="shared" ca="1" si="10"/>
        <v/>
      </c>
      <c r="V104" s="7"/>
      <c r="W104" s="7"/>
      <c r="X104" s="4" t="str">
        <f t="shared" ca="1" si="11"/>
        <v>Active</v>
      </c>
      <c r="Y104" s="6" t="s">
        <v>794</v>
      </c>
      <c r="Z104" s="6" t="s">
        <v>2625</v>
      </c>
      <c r="AA104" s="6" t="s">
        <v>706</v>
      </c>
      <c r="AC104" s="6" t="s">
        <v>1252</v>
      </c>
      <c r="AD104" s="6" t="s">
        <v>1253</v>
      </c>
      <c r="AE104" s="6" t="s">
        <v>847</v>
      </c>
      <c r="AF104" s="6" t="s">
        <v>1254</v>
      </c>
    </row>
    <row r="105" spans="1:32" x14ac:dyDescent="0.35">
      <c r="A105" s="5">
        <f t="shared" si="6"/>
        <v>202044150</v>
      </c>
      <c r="B105" s="5" t="s">
        <v>114</v>
      </c>
      <c r="C105" s="5" t="s">
        <v>425</v>
      </c>
      <c r="D105" s="6" t="s">
        <v>999</v>
      </c>
      <c r="E105" s="6" t="s">
        <v>676</v>
      </c>
      <c r="F105" s="6" t="s">
        <v>768</v>
      </c>
      <c r="G105" s="6" t="s">
        <v>2663</v>
      </c>
      <c r="H105" s="6" t="s">
        <v>2686</v>
      </c>
      <c r="I105" s="7">
        <v>30475</v>
      </c>
      <c r="J105" s="6">
        <f t="shared" ca="1" si="7"/>
        <v>43</v>
      </c>
      <c r="K105" s="6" t="s">
        <v>791</v>
      </c>
      <c r="L105" s="6" t="s">
        <v>2660</v>
      </c>
      <c r="M105" s="6" t="s">
        <v>652</v>
      </c>
      <c r="N105" s="6" t="s">
        <v>653</v>
      </c>
      <c r="O105" s="6" t="s">
        <v>1351</v>
      </c>
      <c r="P105" s="6" t="s">
        <v>1001</v>
      </c>
      <c r="Q105" s="6" t="s">
        <v>656</v>
      </c>
      <c r="R105" s="7">
        <v>44150</v>
      </c>
      <c r="S105" s="4" t="str">
        <f t="shared" ca="1" si="8"/>
        <v>PKWTT</v>
      </c>
      <c r="T105" s="10" t="str">
        <f t="shared" ca="1" si="9"/>
        <v/>
      </c>
      <c r="U105" s="7" t="str">
        <f t="shared" ca="1" si="10"/>
        <v/>
      </c>
      <c r="V105" s="7"/>
      <c r="W105" s="7"/>
      <c r="X105" s="4" t="str">
        <f t="shared" ca="1" si="11"/>
        <v>Active</v>
      </c>
      <c r="Y105" s="6" t="s">
        <v>794</v>
      </c>
      <c r="Z105" s="6" t="s">
        <v>2628</v>
      </c>
      <c r="AA105" s="6" t="s">
        <v>2624</v>
      </c>
      <c r="AC105" s="6" t="s">
        <v>1353</v>
      </c>
      <c r="AD105" s="6" t="s">
        <v>1354</v>
      </c>
      <c r="AE105" s="6" t="s">
        <v>847</v>
      </c>
      <c r="AF105" s="6" t="s">
        <v>1355</v>
      </c>
    </row>
    <row r="106" spans="1:32" x14ac:dyDescent="0.35">
      <c r="A106" s="5">
        <f t="shared" si="6"/>
        <v>201943725</v>
      </c>
      <c r="B106" s="5" t="s">
        <v>116</v>
      </c>
      <c r="C106" s="5" t="s">
        <v>427</v>
      </c>
      <c r="D106" s="6" t="s">
        <v>1361</v>
      </c>
      <c r="E106" s="6" t="s">
        <v>676</v>
      </c>
      <c r="F106" s="6" t="s">
        <v>738</v>
      </c>
      <c r="G106" s="6" t="s">
        <v>2695</v>
      </c>
      <c r="H106" s="6" t="s">
        <v>2697</v>
      </c>
      <c r="I106" s="7">
        <v>27919</v>
      </c>
      <c r="J106" s="6">
        <f t="shared" ca="1" si="7"/>
        <v>50</v>
      </c>
      <c r="K106" s="6" t="s">
        <v>791</v>
      </c>
      <c r="L106" s="6" t="s">
        <v>666</v>
      </c>
      <c r="M106" s="6" t="s">
        <v>677</v>
      </c>
      <c r="N106" s="6" t="s">
        <v>653</v>
      </c>
      <c r="O106" s="6" t="s">
        <v>1362</v>
      </c>
      <c r="P106" s="6" t="s">
        <v>1363</v>
      </c>
      <c r="Q106" s="6" t="s">
        <v>656</v>
      </c>
      <c r="R106" s="7">
        <v>43725</v>
      </c>
      <c r="S106" s="4" t="str">
        <f t="shared" ca="1" si="8"/>
        <v>PKWTT</v>
      </c>
      <c r="T106" s="10" t="str">
        <f t="shared" ca="1" si="9"/>
        <v/>
      </c>
      <c r="U106" s="7" t="str">
        <f t="shared" ca="1" si="10"/>
        <v/>
      </c>
      <c r="V106" s="7"/>
      <c r="W106" s="7"/>
      <c r="X106" s="4" t="str">
        <f t="shared" ca="1" si="11"/>
        <v>Active</v>
      </c>
      <c r="Y106" s="6" t="s">
        <v>657</v>
      </c>
      <c r="Z106" s="6" t="s">
        <v>916</v>
      </c>
      <c r="AA106" s="6" t="s">
        <v>659</v>
      </c>
      <c r="AC106" s="6" t="s">
        <v>1365</v>
      </c>
      <c r="AD106" s="6" t="s">
        <v>1366</v>
      </c>
      <c r="AE106" s="6" t="s">
        <v>847</v>
      </c>
      <c r="AF106" s="6" t="s">
        <v>1367</v>
      </c>
    </row>
    <row r="107" spans="1:32" x14ac:dyDescent="0.35">
      <c r="A107" s="5">
        <f t="shared" si="6"/>
        <v>202044136</v>
      </c>
      <c r="B107" s="5" t="s">
        <v>117</v>
      </c>
      <c r="C107" s="5" t="s">
        <v>428</v>
      </c>
      <c r="D107" s="6" t="s">
        <v>1119</v>
      </c>
      <c r="E107" s="6" t="s">
        <v>676</v>
      </c>
      <c r="F107" s="6" t="s">
        <v>742</v>
      </c>
      <c r="G107" s="6" t="s">
        <v>2695</v>
      </c>
      <c r="H107" s="6" t="s">
        <v>2697</v>
      </c>
      <c r="I107" s="7">
        <v>32840</v>
      </c>
      <c r="J107" s="6">
        <f t="shared" ca="1" si="7"/>
        <v>36</v>
      </c>
      <c r="K107" s="6" t="s">
        <v>791</v>
      </c>
      <c r="L107" s="6" t="s">
        <v>2660</v>
      </c>
      <c r="M107" s="6" t="s">
        <v>691</v>
      </c>
      <c r="N107" s="6" t="s">
        <v>653</v>
      </c>
      <c r="O107" s="6" t="s">
        <v>1370</v>
      </c>
      <c r="P107" s="6" t="s">
        <v>1120</v>
      </c>
      <c r="Q107" s="6" t="s">
        <v>818</v>
      </c>
      <c r="R107" s="7">
        <v>44136</v>
      </c>
      <c r="S107" s="4" t="str">
        <f t="shared" ca="1" si="8"/>
        <v>PKWTT</v>
      </c>
      <c r="T107" s="10" t="str">
        <f t="shared" ca="1" si="9"/>
        <v/>
      </c>
      <c r="U107" s="7" t="str">
        <f t="shared" ca="1" si="10"/>
        <v/>
      </c>
      <c r="V107" s="7"/>
      <c r="W107" s="7"/>
      <c r="X107" s="4" t="str">
        <f t="shared" ca="1" si="11"/>
        <v>Active</v>
      </c>
      <c r="Y107" s="6" t="s">
        <v>657</v>
      </c>
      <c r="Z107" s="6" t="s">
        <v>658</v>
      </c>
      <c r="AA107" s="6" t="s">
        <v>659</v>
      </c>
      <c r="AC107" s="6" t="s">
        <v>1372</v>
      </c>
      <c r="AD107" s="6" t="s">
        <v>1373</v>
      </c>
      <c r="AE107" s="6" t="s">
        <v>847</v>
      </c>
      <c r="AF107" s="6" t="s">
        <v>1374</v>
      </c>
    </row>
    <row r="108" spans="1:32" x14ac:dyDescent="0.35">
      <c r="A108" s="5">
        <f t="shared" si="6"/>
        <v>202345221</v>
      </c>
      <c r="B108" s="5" t="s">
        <v>118</v>
      </c>
      <c r="C108" s="5" t="s">
        <v>429</v>
      </c>
      <c r="D108" s="6" t="s">
        <v>1375</v>
      </c>
      <c r="E108" s="6" t="s">
        <v>648</v>
      </c>
      <c r="F108" s="6" t="s">
        <v>742</v>
      </c>
      <c r="G108" s="6" t="s">
        <v>2664</v>
      </c>
      <c r="H108" s="6" t="s">
        <v>2692</v>
      </c>
      <c r="I108" s="7">
        <v>33766</v>
      </c>
      <c r="J108" s="6">
        <f t="shared" ca="1" si="7"/>
        <v>34</v>
      </c>
      <c r="K108" s="6" t="s">
        <v>791</v>
      </c>
      <c r="L108" s="6" t="s">
        <v>2660</v>
      </c>
      <c r="M108" s="6" t="s">
        <v>701</v>
      </c>
      <c r="N108" s="6" t="s">
        <v>653</v>
      </c>
      <c r="O108" s="6" t="s">
        <v>1376</v>
      </c>
      <c r="P108" s="6" t="s">
        <v>1377</v>
      </c>
      <c r="Q108" s="6" t="s">
        <v>680</v>
      </c>
      <c r="R108" s="7">
        <v>45221</v>
      </c>
      <c r="S108" s="4" t="str">
        <f t="shared" ca="1" si="8"/>
        <v>PKWT</v>
      </c>
      <c r="T108" s="10">
        <f t="shared" ca="1" si="9"/>
        <v>2</v>
      </c>
      <c r="U108" s="7">
        <f t="shared" ca="1" si="10"/>
        <v>46316</v>
      </c>
      <c r="V108" s="7"/>
      <c r="W108" s="7"/>
      <c r="X108" s="4" t="str">
        <f t="shared" ca="1" si="11"/>
        <v>Active</v>
      </c>
      <c r="Y108" s="6" t="s">
        <v>794</v>
      </c>
      <c r="Z108" s="6" t="s">
        <v>2631</v>
      </c>
      <c r="AA108" s="6" t="s">
        <v>659</v>
      </c>
      <c r="AC108" s="6" t="s">
        <v>1379</v>
      </c>
      <c r="AD108" s="6" t="s">
        <v>1380</v>
      </c>
      <c r="AE108" s="6" t="s">
        <v>847</v>
      </c>
      <c r="AF108" s="6" t="s">
        <v>1381</v>
      </c>
    </row>
    <row r="109" spans="1:32" x14ac:dyDescent="0.35">
      <c r="A109" s="5">
        <f t="shared" si="6"/>
        <v>201843330</v>
      </c>
      <c r="B109" s="5" t="s">
        <v>119</v>
      </c>
      <c r="C109" s="5" t="s">
        <v>430</v>
      </c>
      <c r="D109" s="6" t="s">
        <v>1382</v>
      </c>
      <c r="E109" s="6" t="s">
        <v>676</v>
      </c>
      <c r="F109" s="6" t="s">
        <v>738</v>
      </c>
      <c r="G109" s="6" t="s">
        <v>2695</v>
      </c>
      <c r="H109" s="6" t="s">
        <v>2697</v>
      </c>
      <c r="I109" s="7">
        <v>31331</v>
      </c>
      <c r="J109" s="6">
        <f t="shared" ca="1" si="7"/>
        <v>40</v>
      </c>
      <c r="K109" s="6" t="s">
        <v>791</v>
      </c>
      <c r="L109" s="6" t="s">
        <v>2660</v>
      </c>
      <c r="M109" s="6" t="s">
        <v>652</v>
      </c>
      <c r="N109" s="6" t="s">
        <v>653</v>
      </c>
      <c r="O109" s="6" t="s">
        <v>1383</v>
      </c>
      <c r="P109" s="6" t="s">
        <v>1384</v>
      </c>
      <c r="Q109" s="6" t="s">
        <v>731</v>
      </c>
      <c r="R109" s="7">
        <v>43330</v>
      </c>
      <c r="S109" s="4" t="str">
        <f t="shared" ca="1" si="8"/>
        <v>PKWTT</v>
      </c>
      <c r="T109" s="10" t="str">
        <f t="shared" ca="1" si="9"/>
        <v/>
      </c>
      <c r="U109" s="7" t="str">
        <f t="shared" ca="1" si="10"/>
        <v/>
      </c>
      <c r="V109" s="7"/>
      <c r="W109" s="7"/>
      <c r="X109" s="4" t="str">
        <f t="shared" ca="1" si="11"/>
        <v>Active</v>
      </c>
      <c r="Y109" s="6" t="s">
        <v>657</v>
      </c>
      <c r="Z109" s="6" t="s">
        <v>705</v>
      </c>
      <c r="AA109" s="6" t="s">
        <v>706</v>
      </c>
      <c r="AC109" s="6" t="s">
        <v>1386</v>
      </c>
      <c r="AD109" s="6" t="s">
        <v>1387</v>
      </c>
      <c r="AE109" s="6" t="s">
        <v>847</v>
      </c>
      <c r="AF109" s="6" t="s">
        <v>1388</v>
      </c>
    </row>
    <row r="110" spans="1:32" x14ac:dyDescent="0.35">
      <c r="A110" s="5">
        <f t="shared" si="6"/>
        <v>202345177</v>
      </c>
      <c r="B110" s="5" t="s">
        <v>120</v>
      </c>
      <c r="C110" s="5" t="s">
        <v>431</v>
      </c>
      <c r="D110" s="6" t="s">
        <v>997</v>
      </c>
      <c r="E110" s="6" t="s">
        <v>648</v>
      </c>
      <c r="F110" s="6" t="s">
        <v>689</v>
      </c>
      <c r="G110" s="6" t="s">
        <v>2664</v>
      </c>
      <c r="H110" s="6" t="s">
        <v>2692</v>
      </c>
      <c r="I110" s="7">
        <v>34689</v>
      </c>
      <c r="J110" s="6">
        <f t="shared" ca="1" si="7"/>
        <v>31</v>
      </c>
      <c r="K110" s="6" t="s">
        <v>791</v>
      </c>
      <c r="L110" s="6" t="s">
        <v>2660</v>
      </c>
      <c r="M110" s="6" t="s">
        <v>691</v>
      </c>
      <c r="N110" s="6" t="s">
        <v>653</v>
      </c>
      <c r="O110" s="6" t="s">
        <v>1391</v>
      </c>
      <c r="P110" s="6" t="s">
        <v>998</v>
      </c>
      <c r="Q110" s="6" t="s">
        <v>656</v>
      </c>
      <c r="R110" s="7">
        <v>45177</v>
      </c>
      <c r="S110" s="4" t="str">
        <f t="shared" ca="1" si="8"/>
        <v>PKWT</v>
      </c>
      <c r="T110" s="10">
        <f t="shared" ca="1" si="9"/>
        <v>2</v>
      </c>
      <c r="U110" s="7">
        <f t="shared" ca="1" si="10"/>
        <v>46272</v>
      </c>
      <c r="V110" s="7"/>
      <c r="W110" s="7"/>
      <c r="X110" s="4" t="str">
        <f t="shared" ca="1" si="11"/>
        <v>Active</v>
      </c>
      <c r="Y110" s="6" t="s">
        <v>681</v>
      </c>
      <c r="Z110" s="6" t="s">
        <v>682</v>
      </c>
      <c r="AA110" s="6" t="s">
        <v>683</v>
      </c>
      <c r="AC110" s="6" t="s">
        <v>1393</v>
      </c>
      <c r="AD110" s="6" t="s">
        <v>1394</v>
      </c>
      <c r="AE110" s="6" t="s">
        <v>847</v>
      </c>
      <c r="AF110" s="6" t="s">
        <v>1395</v>
      </c>
    </row>
    <row r="111" spans="1:32" x14ac:dyDescent="0.35">
      <c r="A111" s="5">
        <f t="shared" si="6"/>
        <v>201843269</v>
      </c>
      <c r="B111" s="5" t="s">
        <v>121</v>
      </c>
      <c r="C111" s="5" t="s">
        <v>432</v>
      </c>
      <c r="D111" s="6" t="s">
        <v>937</v>
      </c>
      <c r="E111" s="6" t="s">
        <v>676</v>
      </c>
      <c r="F111" s="6" t="s">
        <v>768</v>
      </c>
      <c r="G111" s="6" t="s">
        <v>2664</v>
      </c>
      <c r="H111" s="6" t="s">
        <v>2692</v>
      </c>
      <c r="I111" s="7">
        <v>33534</v>
      </c>
      <c r="J111" s="6">
        <f t="shared" ca="1" si="7"/>
        <v>34</v>
      </c>
      <c r="K111" s="6" t="s">
        <v>791</v>
      </c>
      <c r="L111" s="6" t="s">
        <v>666</v>
      </c>
      <c r="M111" s="6" t="s">
        <v>652</v>
      </c>
      <c r="N111" s="6" t="s">
        <v>653</v>
      </c>
      <c r="O111" s="6" t="s">
        <v>1396</v>
      </c>
      <c r="P111" s="6" t="s">
        <v>939</v>
      </c>
      <c r="Q111" s="6" t="s">
        <v>694</v>
      </c>
      <c r="R111" s="7">
        <v>43269</v>
      </c>
      <c r="S111" s="4" t="str">
        <f t="shared" ca="1" si="8"/>
        <v>PKWTT</v>
      </c>
      <c r="T111" s="10" t="str">
        <f t="shared" ca="1" si="9"/>
        <v/>
      </c>
      <c r="U111" s="7" t="str">
        <f t="shared" ca="1" si="10"/>
        <v/>
      </c>
      <c r="V111" s="7"/>
      <c r="W111" s="7"/>
      <c r="X111" s="4" t="str">
        <f t="shared" ca="1" si="11"/>
        <v>Active</v>
      </c>
      <c r="Y111" s="6" t="s">
        <v>1169</v>
      </c>
      <c r="Z111" s="6" t="s">
        <v>1170</v>
      </c>
      <c r="AA111" s="6" t="s">
        <v>683</v>
      </c>
      <c r="AC111" s="6" t="s">
        <v>1398</v>
      </c>
      <c r="AD111" s="6" t="s">
        <v>1399</v>
      </c>
      <c r="AE111" s="6" t="s">
        <v>847</v>
      </c>
      <c r="AF111" s="6" t="s">
        <v>1400</v>
      </c>
    </row>
    <row r="112" spans="1:32" x14ac:dyDescent="0.35">
      <c r="A112" s="5">
        <f t="shared" si="6"/>
        <v>202545977</v>
      </c>
      <c r="B112" s="5" t="s">
        <v>122</v>
      </c>
      <c r="C112" s="5" t="s">
        <v>433</v>
      </c>
      <c r="D112" s="6" t="s">
        <v>1401</v>
      </c>
      <c r="E112" s="6" t="s">
        <v>648</v>
      </c>
      <c r="F112" s="6" t="s">
        <v>689</v>
      </c>
      <c r="G112" s="6" t="s">
        <v>2664</v>
      </c>
      <c r="H112" s="6" t="s">
        <v>2692</v>
      </c>
      <c r="I112" s="7">
        <v>36381</v>
      </c>
      <c r="J112" s="6">
        <f t="shared" ca="1" si="7"/>
        <v>26</v>
      </c>
      <c r="K112" s="6" t="s">
        <v>791</v>
      </c>
      <c r="L112" s="6" t="s">
        <v>2660</v>
      </c>
      <c r="M112" s="6" t="s">
        <v>677</v>
      </c>
      <c r="N112" s="6" t="s">
        <v>653</v>
      </c>
      <c r="O112" s="6" t="s">
        <v>1402</v>
      </c>
      <c r="P112" s="6" t="s">
        <v>1403</v>
      </c>
      <c r="Q112" s="6" t="s">
        <v>818</v>
      </c>
      <c r="R112" s="7">
        <v>45977</v>
      </c>
      <c r="S112" s="4" t="str">
        <f t="shared" ca="1" si="8"/>
        <v>PKWT</v>
      </c>
      <c r="T112" s="10">
        <f t="shared" ca="1" si="9"/>
        <v>1</v>
      </c>
      <c r="U112" s="7">
        <f t="shared" ca="1" si="10"/>
        <v>46341</v>
      </c>
      <c r="V112" s="7">
        <v>46127</v>
      </c>
      <c r="W112" s="7" t="s">
        <v>2674</v>
      </c>
      <c r="X112" s="4" t="str">
        <f t="shared" ca="1" si="11"/>
        <v>Non-Active</v>
      </c>
      <c r="Y112" s="6" t="s">
        <v>681</v>
      </c>
      <c r="Z112" s="6" t="s">
        <v>759</v>
      </c>
      <c r="AA112" s="6" t="s">
        <v>659</v>
      </c>
      <c r="AC112" s="6" t="s">
        <v>1405</v>
      </c>
      <c r="AD112" s="6" t="s">
        <v>1406</v>
      </c>
      <c r="AE112" s="6" t="s">
        <v>847</v>
      </c>
      <c r="AF112" s="6" t="s">
        <v>1407</v>
      </c>
    </row>
    <row r="113" spans="1:32" x14ac:dyDescent="0.35">
      <c r="A113" s="5">
        <f t="shared" si="6"/>
        <v>202445629</v>
      </c>
      <c r="B113" s="5" t="s">
        <v>123</v>
      </c>
      <c r="C113" s="5" t="s">
        <v>434</v>
      </c>
      <c r="D113" s="6" t="s">
        <v>1408</v>
      </c>
      <c r="E113" s="6" t="s">
        <v>676</v>
      </c>
      <c r="F113" s="6" t="s">
        <v>768</v>
      </c>
      <c r="G113" s="6" t="s">
        <v>2664</v>
      </c>
      <c r="H113" s="6" t="s">
        <v>2692</v>
      </c>
      <c r="I113" s="7">
        <v>28077</v>
      </c>
      <c r="J113" s="6">
        <f t="shared" ca="1" si="7"/>
        <v>49</v>
      </c>
      <c r="K113" s="6" t="s">
        <v>791</v>
      </c>
      <c r="L113" s="6" t="s">
        <v>666</v>
      </c>
      <c r="M113" s="6" t="s">
        <v>652</v>
      </c>
      <c r="N113" s="6" t="s">
        <v>653</v>
      </c>
      <c r="O113" s="6" t="s">
        <v>1409</v>
      </c>
      <c r="P113" s="6" t="s">
        <v>1410</v>
      </c>
      <c r="Q113" s="6" t="s">
        <v>694</v>
      </c>
      <c r="R113" s="7">
        <v>45629</v>
      </c>
      <c r="S113" s="4" t="str">
        <f t="shared" ca="1" si="8"/>
        <v>PKWT</v>
      </c>
      <c r="T113" s="10">
        <f t="shared" ca="1" si="9"/>
        <v>2</v>
      </c>
      <c r="U113" s="7">
        <f t="shared" ca="1" si="10"/>
        <v>46723</v>
      </c>
      <c r="V113" s="7">
        <v>45994</v>
      </c>
      <c r="W113" s="7" t="s">
        <v>2674</v>
      </c>
      <c r="X113" s="4" t="str">
        <f t="shared" ca="1" si="11"/>
        <v>Non-Active</v>
      </c>
      <c r="Y113" s="6" t="s">
        <v>681</v>
      </c>
      <c r="Z113" s="6" t="s">
        <v>759</v>
      </c>
      <c r="AA113" s="6" t="s">
        <v>659</v>
      </c>
      <c r="AC113" s="6" t="s">
        <v>1412</v>
      </c>
      <c r="AD113" s="6" t="s">
        <v>1413</v>
      </c>
      <c r="AE113" s="6" t="s">
        <v>847</v>
      </c>
      <c r="AF113" s="6" t="s">
        <v>1414</v>
      </c>
    </row>
    <row r="114" spans="1:32" x14ac:dyDescent="0.35">
      <c r="A114" s="5">
        <f t="shared" si="6"/>
        <v>201943797</v>
      </c>
      <c r="B114" s="5" t="s">
        <v>124</v>
      </c>
      <c r="C114" s="5" t="s">
        <v>435</v>
      </c>
      <c r="D114" s="6" t="s">
        <v>1262</v>
      </c>
      <c r="E114" s="6" t="s">
        <v>648</v>
      </c>
      <c r="F114" s="6" t="s">
        <v>664</v>
      </c>
      <c r="G114" s="6" t="s">
        <v>2664</v>
      </c>
      <c r="H114" s="6" t="s">
        <v>2692</v>
      </c>
      <c r="I114" s="7">
        <v>34702</v>
      </c>
      <c r="J114" s="6">
        <f t="shared" ca="1" si="7"/>
        <v>31</v>
      </c>
      <c r="K114" s="6" t="s">
        <v>791</v>
      </c>
      <c r="L114" s="6" t="s">
        <v>666</v>
      </c>
      <c r="M114" s="6" t="s">
        <v>652</v>
      </c>
      <c r="N114" s="6" t="s">
        <v>653</v>
      </c>
      <c r="O114" s="6" t="s">
        <v>1415</v>
      </c>
      <c r="P114" s="6" t="s">
        <v>1263</v>
      </c>
      <c r="Q114" s="6" t="s">
        <v>656</v>
      </c>
      <c r="R114" s="7">
        <v>43797</v>
      </c>
      <c r="S114" s="4" t="str">
        <f t="shared" ca="1" si="8"/>
        <v>PKWTT</v>
      </c>
      <c r="T114" s="10" t="str">
        <f t="shared" ca="1" si="9"/>
        <v/>
      </c>
      <c r="U114" s="7" t="str">
        <f t="shared" ca="1" si="10"/>
        <v/>
      </c>
      <c r="V114" s="7"/>
      <c r="W114" s="7"/>
      <c r="X114" s="4" t="str">
        <f t="shared" ca="1" si="11"/>
        <v>Active</v>
      </c>
      <c r="Y114" s="6" t="s">
        <v>732</v>
      </c>
      <c r="Z114" s="6" t="s">
        <v>733</v>
      </c>
      <c r="AA114" s="6" t="s">
        <v>659</v>
      </c>
      <c r="AC114" s="6" t="s">
        <v>1417</v>
      </c>
      <c r="AD114" s="6" t="s">
        <v>1418</v>
      </c>
      <c r="AE114" s="6" t="s">
        <v>847</v>
      </c>
      <c r="AF114" s="6" t="s">
        <v>1419</v>
      </c>
    </row>
    <row r="115" spans="1:32" x14ac:dyDescent="0.35">
      <c r="A115" s="5">
        <f t="shared" si="6"/>
        <v>201943543</v>
      </c>
      <c r="B115" s="5" t="s">
        <v>126</v>
      </c>
      <c r="C115" s="5" t="s">
        <v>437</v>
      </c>
      <c r="D115" s="6" t="s">
        <v>1427</v>
      </c>
      <c r="E115" s="6" t="s">
        <v>648</v>
      </c>
      <c r="F115" s="6" t="s">
        <v>738</v>
      </c>
      <c r="G115" s="6" t="s">
        <v>2664</v>
      </c>
      <c r="H115" s="6" t="s">
        <v>2692</v>
      </c>
      <c r="I115" s="7">
        <v>29690</v>
      </c>
      <c r="J115" s="6">
        <f t="shared" ca="1" si="7"/>
        <v>45</v>
      </c>
      <c r="K115" s="6" t="s">
        <v>665</v>
      </c>
      <c r="L115" s="6" t="s">
        <v>666</v>
      </c>
      <c r="M115" s="6" t="s">
        <v>652</v>
      </c>
      <c r="N115" s="6" t="s">
        <v>653</v>
      </c>
      <c r="O115" s="6" t="s">
        <v>1428</v>
      </c>
      <c r="P115" s="6" t="s">
        <v>1429</v>
      </c>
      <c r="Q115" s="6" t="s">
        <v>731</v>
      </c>
      <c r="R115" s="7">
        <v>43543</v>
      </c>
      <c r="S115" s="4" t="str">
        <f t="shared" ca="1" si="8"/>
        <v>PKWTT</v>
      </c>
      <c r="T115" s="10" t="str">
        <f t="shared" ca="1" si="9"/>
        <v/>
      </c>
      <c r="U115" s="7" t="str">
        <f t="shared" ca="1" si="10"/>
        <v/>
      </c>
      <c r="V115" s="7"/>
      <c r="W115" s="7"/>
      <c r="X115" s="4" t="str">
        <f t="shared" ca="1" si="11"/>
        <v>Active</v>
      </c>
      <c r="Y115" s="6" t="s">
        <v>714</v>
      </c>
      <c r="Z115" s="6" t="s">
        <v>715</v>
      </c>
      <c r="AA115" s="6" t="s">
        <v>659</v>
      </c>
      <c r="AC115" s="6" t="s">
        <v>1431</v>
      </c>
      <c r="AD115" s="6" t="s">
        <v>1432</v>
      </c>
      <c r="AE115" s="6" t="s">
        <v>847</v>
      </c>
      <c r="AF115" s="6" t="s">
        <v>1433</v>
      </c>
    </row>
    <row r="116" spans="1:32" x14ac:dyDescent="0.35">
      <c r="A116" s="5">
        <f t="shared" si="6"/>
        <v>201843377</v>
      </c>
      <c r="B116" s="5" t="s">
        <v>127</v>
      </c>
      <c r="C116" s="5" t="s">
        <v>438</v>
      </c>
      <c r="D116" s="6" t="s">
        <v>1434</v>
      </c>
      <c r="E116" s="6" t="s">
        <v>648</v>
      </c>
      <c r="F116" s="6" t="s">
        <v>809</v>
      </c>
      <c r="G116" s="6" t="s">
        <v>2664</v>
      </c>
      <c r="H116" s="6" t="s">
        <v>2692</v>
      </c>
      <c r="I116" s="7">
        <v>29152</v>
      </c>
      <c r="J116" s="6">
        <f t="shared" ca="1" si="7"/>
        <v>46</v>
      </c>
      <c r="K116" s="6" t="s">
        <v>791</v>
      </c>
      <c r="L116" s="6" t="s">
        <v>2660</v>
      </c>
      <c r="M116" s="6" t="s">
        <v>691</v>
      </c>
      <c r="N116" s="6" t="s">
        <v>653</v>
      </c>
      <c r="O116" s="6" t="s">
        <v>1435</v>
      </c>
      <c r="P116" s="6" t="s">
        <v>1436</v>
      </c>
      <c r="Q116" s="6" t="s">
        <v>704</v>
      </c>
      <c r="R116" s="7">
        <v>43377</v>
      </c>
      <c r="S116" s="4" t="str">
        <f t="shared" ca="1" si="8"/>
        <v>PKWTT</v>
      </c>
      <c r="T116" s="10" t="str">
        <f t="shared" ca="1" si="9"/>
        <v/>
      </c>
      <c r="U116" s="7" t="str">
        <f t="shared" ca="1" si="10"/>
        <v/>
      </c>
      <c r="V116" s="7"/>
      <c r="W116" s="7"/>
      <c r="X116" s="4" t="str">
        <f t="shared" ca="1" si="11"/>
        <v>Active</v>
      </c>
      <c r="Y116" s="6" t="s">
        <v>714</v>
      </c>
      <c r="Z116" s="6" t="s">
        <v>715</v>
      </c>
      <c r="AA116" s="6" t="s">
        <v>659</v>
      </c>
      <c r="AC116" s="6" t="s">
        <v>1438</v>
      </c>
      <c r="AD116" s="6" t="s">
        <v>1439</v>
      </c>
      <c r="AE116" s="6" t="s">
        <v>847</v>
      </c>
      <c r="AF116" s="6" t="s">
        <v>1440</v>
      </c>
    </row>
    <row r="117" spans="1:32" x14ac:dyDescent="0.35">
      <c r="A117" s="5">
        <f t="shared" si="6"/>
        <v>201843195</v>
      </c>
      <c r="B117" s="5" t="s">
        <v>128</v>
      </c>
      <c r="C117" s="5" t="s">
        <v>439</v>
      </c>
      <c r="D117" s="6" t="s">
        <v>1445</v>
      </c>
      <c r="E117" s="6" t="s">
        <v>676</v>
      </c>
      <c r="F117" s="6" t="s">
        <v>689</v>
      </c>
      <c r="G117" s="6" t="s">
        <v>2695</v>
      </c>
      <c r="H117" s="6" t="s">
        <v>2697</v>
      </c>
      <c r="I117" s="7">
        <v>30683</v>
      </c>
      <c r="J117" s="6">
        <f t="shared" ca="1" si="7"/>
        <v>42</v>
      </c>
      <c r="K117" s="6" t="s">
        <v>791</v>
      </c>
      <c r="L117" s="6" t="s">
        <v>666</v>
      </c>
      <c r="M117" s="6" t="s">
        <v>652</v>
      </c>
      <c r="N117" s="6" t="s">
        <v>653</v>
      </c>
      <c r="O117" s="6" t="s">
        <v>1446</v>
      </c>
      <c r="P117" s="6" t="s">
        <v>1447</v>
      </c>
      <c r="Q117" s="6" t="s">
        <v>656</v>
      </c>
      <c r="R117" s="7">
        <v>43195</v>
      </c>
      <c r="S117" s="4" t="str">
        <f t="shared" ca="1" si="8"/>
        <v>PKWTT</v>
      </c>
      <c r="T117" s="10" t="str">
        <f t="shared" ca="1" si="9"/>
        <v/>
      </c>
      <c r="U117" s="7" t="str">
        <f t="shared" ca="1" si="10"/>
        <v/>
      </c>
      <c r="V117" s="7"/>
      <c r="W117" s="7"/>
      <c r="X117" s="4" t="str">
        <f t="shared" ca="1" si="11"/>
        <v>Active</v>
      </c>
      <c r="Y117" s="6" t="s">
        <v>657</v>
      </c>
      <c r="Z117" s="6" t="s">
        <v>916</v>
      </c>
      <c r="AA117" s="6" t="s">
        <v>659</v>
      </c>
      <c r="AC117" s="6" t="s">
        <v>1449</v>
      </c>
      <c r="AD117" s="6" t="s">
        <v>1450</v>
      </c>
      <c r="AE117" s="6" t="s">
        <v>847</v>
      </c>
      <c r="AF117" s="6" t="s">
        <v>1451</v>
      </c>
    </row>
    <row r="118" spans="1:32" x14ac:dyDescent="0.35">
      <c r="A118" s="5">
        <f t="shared" si="6"/>
        <v>201943823</v>
      </c>
      <c r="B118" s="5" t="s">
        <v>129</v>
      </c>
      <c r="C118" s="5" t="s">
        <v>440</v>
      </c>
      <c r="D118" s="6" t="s">
        <v>1452</v>
      </c>
      <c r="E118" s="6" t="s">
        <v>648</v>
      </c>
      <c r="F118" s="6" t="s">
        <v>742</v>
      </c>
      <c r="G118" s="6" t="s">
        <v>2695</v>
      </c>
      <c r="H118" s="6" t="s">
        <v>2697</v>
      </c>
      <c r="I118" s="7">
        <v>32850</v>
      </c>
      <c r="J118" s="6">
        <f t="shared" ca="1" si="7"/>
        <v>36</v>
      </c>
      <c r="K118" s="6" t="s">
        <v>791</v>
      </c>
      <c r="L118" s="6" t="s">
        <v>666</v>
      </c>
      <c r="M118" s="6" t="s">
        <v>652</v>
      </c>
      <c r="N118" s="6" t="s">
        <v>653</v>
      </c>
      <c r="O118" s="6" t="s">
        <v>1453</v>
      </c>
      <c r="P118" s="6" t="s">
        <v>1454</v>
      </c>
      <c r="Q118" s="6" t="s">
        <v>694</v>
      </c>
      <c r="R118" s="7">
        <v>43823</v>
      </c>
      <c r="S118" s="4" t="str">
        <f t="shared" ca="1" si="8"/>
        <v>PKWTT</v>
      </c>
      <c r="T118" s="10" t="str">
        <f t="shared" ca="1" si="9"/>
        <v/>
      </c>
      <c r="U118" s="7" t="str">
        <f t="shared" ca="1" si="10"/>
        <v/>
      </c>
      <c r="V118" s="7"/>
      <c r="W118" s="7"/>
      <c r="X118" s="4" t="str">
        <f t="shared" ca="1" si="11"/>
        <v>Active</v>
      </c>
      <c r="Y118" s="6" t="s">
        <v>657</v>
      </c>
      <c r="Z118" s="6" t="s">
        <v>669</v>
      </c>
      <c r="AA118" s="6" t="s">
        <v>670</v>
      </c>
      <c r="AC118" s="6" t="s">
        <v>1456</v>
      </c>
      <c r="AD118" s="6" t="s">
        <v>1457</v>
      </c>
      <c r="AE118" s="6" t="s">
        <v>847</v>
      </c>
      <c r="AF118" s="6" t="s">
        <v>1458</v>
      </c>
    </row>
    <row r="119" spans="1:32" x14ac:dyDescent="0.35">
      <c r="A119" s="5">
        <f t="shared" si="6"/>
        <v>201642410</v>
      </c>
      <c r="B119" s="5" t="s">
        <v>130</v>
      </c>
      <c r="C119" s="5" t="s">
        <v>441</v>
      </c>
      <c r="D119" s="6" t="s">
        <v>1199</v>
      </c>
      <c r="E119" s="6" t="s">
        <v>676</v>
      </c>
      <c r="F119" s="6" t="s">
        <v>742</v>
      </c>
      <c r="G119" s="6" t="s">
        <v>2664</v>
      </c>
      <c r="H119" s="6" t="s">
        <v>2692</v>
      </c>
      <c r="I119" s="7">
        <v>32072</v>
      </c>
      <c r="J119" s="6">
        <f t="shared" ca="1" si="7"/>
        <v>38</v>
      </c>
      <c r="K119" s="6" t="s">
        <v>791</v>
      </c>
      <c r="L119" s="6" t="s">
        <v>2660</v>
      </c>
      <c r="M119" s="6" t="s">
        <v>652</v>
      </c>
      <c r="N119" s="6" t="s">
        <v>653</v>
      </c>
      <c r="O119" s="6" t="s">
        <v>1459</v>
      </c>
      <c r="P119" s="6" t="s">
        <v>1200</v>
      </c>
      <c r="Q119" s="6" t="s">
        <v>778</v>
      </c>
      <c r="R119" s="7">
        <v>42410</v>
      </c>
      <c r="S119" s="4" t="str">
        <f t="shared" ca="1" si="8"/>
        <v>PKWTT</v>
      </c>
      <c r="T119" s="10" t="str">
        <f t="shared" ca="1" si="9"/>
        <v/>
      </c>
      <c r="U119" s="7" t="str">
        <f t="shared" ca="1" si="10"/>
        <v/>
      </c>
      <c r="V119" s="7"/>
      <c r="W119" s="7"/>
      <c r="X119" s="4" t="str">
        <f t="shared" ca="1" si="11"/>
        <v>Active</v>
      </c>
      <c r="Y119" s="6" t="s">
        <v>732</v>
      </c>
      <c r="Z119" s="6" t="s">
        <v>733</v>
      </c>
      <c r="AA119" s="6" t="s">
        <v>659</v>
      </c>
      <c r="AC119" s="6" t="s">
        <v>1461</v>
      </c>
      <c r="AD119" s="6" t="s">
        <v>1462</v>
      </c>
      <c r="AE119" s="6" t="s">
        <v>847</v>
      </c>
      <c r="AF119" s="6" t="s">
        <v>1463</v>
      </c>
    </row>
    <row r="120" spans="1:32" x14ac:dyDescent="0.35">
      <c r="A120" s="5">
        <f t="shared" si="6"/>
        <v>202144402</v>
      </c>
      <c r="B120" s="5" t="s">
        <v>315</v>
      </c>
      <c r="C120" s="5" t="s">
        <v>626</v>
      </c>
      <c r="D120" s="6" t="s">
        <v>1030</v>
      </c>
      <c r="E120" s="6" t="s">
        <v>648</v>
      </c>
      <c r="F120" s="6" t="s">
        <v>768</v>
      </c>
      <c r="G120" s="6" t="s">
        <v>2663</v>
      </c>
      <c r="H120" s="6" t="s">
        <v>2693</v>
      </c>
      <c r="I120" s="7">
        <v>30226</v>
      </c>
      <c r="J120" s="6">
        <f t="shared" ca="1" si="7"/>
        <v>43</v>
      </c>
      <c r="K120" s="6" t="s">
        <v>791</v>
      </c>
      <c r="L120" s="6" t="s">
        <v>666</v>
      </c>
      <c r="M120" s="6" t="s">
        <v>652</v>
      </c>
      <c r="N120" s="6" t="s">
        <v>653</v>
      </c>
      <c r="O120" s="6" t="s">
        <v>2508</v>
      </c>
      <c r="P120" s="6" t="s">
        <v>1032</v>
      </c>
      <c r="Q120" s="6" t="s">
        <v>680</v>
      </c>
      <c r="R120" s="7">
        <v>44402</v>
      </c>
      <c r="S120" s="4" t="str">
        <f t="shared" ca="1" si="8"/>
        <v>PKWTT</v>
      </c>
      <c r="T120" s="10" t="str">
        <f t="shared" ca="1" si="9"/>
        <v/>
      </c>
      <c r="U120" s="7" t="str">
        <f t="shared" ca="1" si="10"/>
        <v/>
      </c>
      <c r="V120" s="7"/>
      <c r="W120" s="7"/>
      <c r="X120" s="4" t="str">
        <f t="shared" ca="1" si="11"/>
        <v>Active</v>
      </c>
      <c r="Y120" s="6" t="s">
        <v>794</v>
      </c>
      <c r="Z120" s="6" t="s">
        <v>2629</v>
      </c>
      <c r="AA120" s="6" t="s">
        <v>2624</v>
      </c>
      <c r="AC120" s="6" t="s">
        <v>2510</v>
      </c>
      <c r="AD120" s="6" t="s">
        <v>2511</v>
      </c>
      <c r="AE120" s="6" t="s">
        <v>847</v>
      </c>
      <c r="AF120" s="6" t="s">
        <v>2512</v>
      </c>
    </row>
    <row r="121" spans="1:32" x14ac:dyDescent="0.35">
      <c r="A121" s="5">
        <f t="shared" si="6"/>
        <v>201742740</v>
      </c>
      <c r="B121" s="5" t="s">
        <v>132</v>
      </c>
      <c r="C121" s="5" t="s">
        <v>443</v>
      </c>
      <c r="D121" s="6" t="s">
        <v>1473</v>
      </c>
      <c r="E121" s="6" t="s">
        <v>648</v>
      </c>
      <c r="F121" s="6" t="s">
        <v>809</v>
      </c>
      <c r="G121" s="6" t="s">
        <v>2664</v>
      </c>
      <c r="H121" s="6" t="s">
        <v>2692</v>
      </c>
      <c r="I121" s="7">
        <v>30264</v>
      </c>
      <c r="J121" s="6">
        <f t="shared" ca="1" si="7"/>
        <v>43</v>
      </c>
      <c r="K121" s="6" t="s">
        <v>791</v>
      </c>
      <c r="L121" s="6" t="s">
        <v>666</v>
      </c>
      <c r="M121" s="6" t="s">
        <v>677</v>
      </c>
      <c r="N121" s="6" t="s">
        <v>653</v>
      </c>
      <c r="O121" s="6" t="s">
        <v>1474</v>
      </c>
      <c r="P121" s="6" t="s">
        <v>1475</v>
      </c>
      <c r="Q121" s="6" t="s">
        <v>731</v>
      </c>
      <c r="R121" s="7">
        <v>42740</v>
      </c>
      <c r="S121" s="4" t="str">
        <f t="shared" ca="1" si="8"/>
        <v>PKWTT</v>
      </c>
      <c r="T121" s="10" t="str">
        <f t="shared" ca="1" si="9"/>
        <v/>
      </c>
      <c r="U121" s="7" t="str">
        <f t="shared" ca="1" si="10"/>
        <v/>
      </c>
      <c r="V121" s="7"/>
      <c r="W121" s="7"/>
      <c r="X121" s="4" t="str">
        <f t="shared" ca="1" si="11"/>
        <v>Active</v>
      </c>
      <c r="Y121" s="6" t="s">
        <v>681</v>
      </c>
      <c r="Z121" s="6" t="s">
        <v>682</v>
      </c>
      <c r="AA121" s="6" t="s">
        <v>683</v>
      </c>
      <c r="AC121" s="6" t="s">
        <v>1477</v>
      </c>
      <c r="AD121" s="6" t="s">
        <v>1478</v>
      </c>
      <c r="AE121" s="6" t="s">
        <v>847</v>
      </c>
      <c r="AF121" s="6" t="s">
        <v>1479</v>
      </c>
    </row>
    <row r="122" spans="1:32" x14ac:dyDescent="0.35">
      <c r="A122" s="5">
        <f t="shared" si="6"/>
        <v>202345166</v>
      </c>
      <c r="B122" s="5" t="s">
        <v>133</v>
      </c>
      <c r="C122" s="5" t="s">
        <v>444</v>
      </c>
      <c r="D122" s="6" t="s">
        <v>1480</v>
      </c>
      <c r="E122" s="6" t="s">
        <v>648</v>
      </c>
      <c r="F122" s="6" t="s">
        <v>768</v>
      </c>
      <c r="G122" s="6" t="s">
        <v>2664</v>
      </c>
      <c r="H122" s="6" t="s">
        <v>2692</v>
      </c>
      <c r="I122" s="7">
        <v>35300</v>
      </c>
      <c r="J122" s="6">
        <f t="shared" ca="1" si="7"/>
        <v>29</v>
      </c>
      <c r="K122" s="6" t="s">
        <v>791</v>
      </c>
      <c r="L122" s="6" t="s">
        <v>666</v>
      </c>
      <c r="M122" s="6" t="s">
        <v>677</v>
      </c>
      <c r="N122" s="6" t="s">
        <v>653</v>
      </c>
      <c r="O122" s="6" t="s">
        <v>1481</v>
      </c>
      <c r="P122" s="6" t="s">
        <v>1482</v>
      </c>
      <c r="Q122" s="6" t="s">
        <v>656</v>
      </c>
      <c r="R122" s="7">
        <v>45166</v>
      </c>
      <c r="S122" s="4" t="str">
        <f t="shared" ca="1" si="8"/>
        <v>PKWT</v>
      </c>
      <c r="T122" s="10">
        <f t="shared" ca="1" si="9"/>
        <v>2</v>
      </c>
      <c r="U122" s="7">
        <f t="shared" ca="1" si="10"/>
        <v>46261</v>
      </c>
      <c r="V122" s="7"/>
      <c r="W122" s="7"/>
      <c r="X122" s="4" t="str">
        <f t="shared" ca="1" si="11"/>
        <v>Active</v>
      </c>
      <c r="Y122" s="6" t="s">
        <v>794</v>
      </c>
      <c r="Z122" s="6" t="s">
        <v>2631</v>
      </c>
      <c r="AA122" s="6" t="s">
        <v>659</v>
      </c>
      <c r="AC122" s="6" t="s">
        <v>1484</v>
      </c>
      <c r="AD122" s="6" t="s">
        <v>1485</v>
      </c>
      <c r="AE122" s="6" t="s">
        <v>847</v>
      </c>
      <c r="AF122" s="6" t="s">
        <v>1486</v>
      </c>
    </row>
    <row r="123" spans="1:32" x14ac:dyDescent="0.35">
      <c r="A123" s="5">
        <f t="shared" si="6"/>
        <v>202144304</v>
      </c>
      <c r="B123" s="5" t="s">
        <v>134</v>
      </c>
      <c r="C123" s="5" t="s">
        <v>445</v>
      </c>
      <c r="D123" s="6" t="s">
        <v>1487</v>
      </c>
      <c r="E123" s="6" t="s">
        <v>676</v>
      </c>
      <c r="F123" s="6" t="s">
        <v>809</v>
      </c>
      <c r="G123" s="6" t="s">
        <v>2664</v>
      </c>
      <c r="H123" s="6" t="s">
        <v>2692</v>
      </c>
      <c r="I123" s="7">
        <v>28717</v>
      </c>
      <c r="J123" s="6">
        <f t="shared" ca="1" si="7"/>
        <v>47</v>
      </c>
      <c r="K123" s="6" t="s">
        <v>791</v>
      </c>
      <c r="L123" s="6" t="s">
        <v>2660</v>
      </c>
      <c r="M123" s="6" t="s">
        <v>691</v>
      </c>
      <c r="N123" s="6" t="s">
        <v>653</v>
      </c>
      <c r="O123" s="6" t="s">
        <v>1488</v>
      </c>
      <c r="P123" s="6" t="s">
        <v>1489</v>
      </c>
      <c r="Q123" s="6" t="s">
        <v>656</v>
      </c>
      <c r="R123" s="7">
        <v>44304</v>
      </c>
      <c r="S123" s="4" t="str">
        <f t="shared" ca="1" si="8"/>
        <v>PKWTT</v>
      </c>
      <c r="T123" s="10" t="str">
        <f t="shared" ca="1" si="9"/>
        <v/>
      </c>
      <c r="U123" s="7" t="str">
        <f t="shared" ca="1" si="10"/>
        <v/>
      </c>
      <c r="V123" s="7"/>
      <c r="W123" s="7"/>
      <c r="X123" s="4" t="str">
        <f t="shared" ca="1" si="11"/>
        <v>Active</v>
      </c>
      <c r="Y123" s="6" t="s">
        <v>732</v>
      </c>
      <c r="Z123" s="6" t="s">
        <v>733</v>
      </c>
      <c r="AA123" s="6" t="s">
        <v>659</v>
      </c>
      <c r="AC123" s="6" t="s">
        <v>1491</v>
      </c>
      <c r="AD123" s="6" t="s">
        <v>1492</v>
      </c>
      <c r="AE123" s="6" t="s">
        <v>847</v>
      </c>
      <c r="AF123" s="6" t="s">
        <v>1493</v>
      </c>
    </row>
    <row r="124" spans="1:32" x14ac:dyDescent="0.35">
      <c r="A124" s="5">
        <f t="shared" si="6"/>
        <v>202545831</v>
      </c>
      <c r="B124" s="5" t="s">
        <v>135</v>
      </c>
      <c r="C124" s="5" t="s">
        <v>446</v>
      </c>
      <c r="D124" s="6" t="s">
        <v>1494</v>
      </c>
      <c r="E124" s="6" t="s">
        <v>676</v>
      </c>
      <c r="F124" s="6" t="s">
        <v>649</v>
      </c>
      <c r="G124" s="6" t="s">
        <v>2695</v>
      </c>
      <c r="H124" s="6" t="s">
        <v>2697</v>
      </c>
      <c r="I124" s="7">
        <v>39430</v>
      </c>
      <c r="J124" s="6">
        <f t="shared" ca="1" si="7"/>
        <v>18</v>
      </c>
      <c r="K124" s="6" t="s">
        <v>690</v>
      </c>
      <c r="L124" s="6" t="s">
        <v>666</v>
      </c>
      <c r="M124" s="6" t="s">
        <v>652</v>
      </c>
      <c r="N124" s="6" t="s">
        <v>653</v>
      </c>
      <c r="O124" s="6" t="s">
        <v>1495</v>
      </c>
      <c r="P124" s="6" t="s">
        <v>1496</v>
      </c>
      <c r="Q124" s="6" t="s">
        <v>694</v>
      </c>
      <c r="R124" s="7">
        <v>45831</v>
      </c>
      <c r="S124" s="4" t="str">
        <f t="shared" ca="1" si="8"/>
        <v>PKWT</v>
      </c>
      <c r="T124" s="10">
        <f t="shared" ca="1" si="9"/>
        <v>2</v>
      </c>
      <c r="U124" s="7">
        <f t="shared" ca="1" si="10"/>
        <v>46926</v>
      </c>
      <c r="V124" s="7"/>
      <c r="W124" s="7"/>
      <c r="X124" s="4" t="str">
        <f t="shared" ca="1" si="11"/>
        <v>Active</v>
      </c>
      <c r="Y124" s="6" t="s">
        <v>657</v>
      </c>
      <c r="Z124" s="6" t="s">
        <v>658</v>
      </c>
      <c r="AA124" s="6" t="s">
        <v>2640</v>
      </c>
      <c r="AC124" s="6" t="s">
        <v>1498</v>
      </c>
      <c r="AD124" s="6" t="s">
        <v>1499</v>
      </c>
      <c r="AE124" s="6" t="s">
        <v>847</v>
      </c>
      <c r="AF124" s="6" t="s">
        <v>1500</v>
      </c>
    </row>
    <row r="125" spans="1:32" x14ac:dyDescent="0.35">
      <c r="A125" s="5">
        <f t="shared" si="6"/>
        <v>201943604</v>
      </c>
      <c r="B125" s="5" t="s">
        <v>136</v>
      </c>
      <c r="C125" s="5" t="s">
        <v>447</v>
      </c>
      <c r="D125" s="6" t="s">
        <v>1167</v>
      </c>
      <c r="E125" s="6" t="s">
        <v>676</v>
      </c>
      <c r="F125" s="6" t="s">
        <v>649</v>
      </c>
      <c r="G125" s="6" t="s">
        <v>2664</v>
      </c>
      <c r="H125" s="6" t="s">
        <v>2692</v>
      </c>
      <c r="I125" s="7">
        <v>35559</v>
      </c>
      <c r="J125" s="6">
        <f t="shared" ca="1" si="7"/>
        <v>29</v>
      </c>
      <c r="K125" s="6" t="s">
        <v>791</v>
      </c>
      <c r="L125" s="6" t="s">
        <v>2660</v>
      </c>
      <c r="M125" s="6" t="s">
        <v>677</v>
      </c>
      <c r="N125" s="6" t="s">
        <v>653</v>
      </c>
      <c r="O125" s="6" t="s">
        <v>1501</v>
      </c>
      <c r="P125" s="6" t="s">
        <v>1168</v>
      </c>
      <c r="Q125" s="6" t="s">
        <v>704</v>
      </c>
      <c r="R125" s="7">
        <v>43604</v>
      </c>
      <c r="S125" s="4" t="str">
        <f t="shared" ca="1" si="8"/>
        <v>PKWTT</v>
      </c>
      <c r="T125" s="10" t="str">
        <f t="shared" ca="1" si="9"/>
        <v/>
      </c>
      <c r="U125" s="7" t="str">
        <f t="shared" ca="1" si="10"/>
        <v/>
      </c>
      <c r="V125" s="7"/>
      <c r="W125" s="7"/>
      <c r="X125" s="4" t="str">
        <f t="shared" ca="1" si="11"/>
        <v>Active</v>
      </c>
      <c r="Y125" s="6" t="s">
        <v>794</v>
      </c>
      <c r="Z125" s="6" t="s">
        <v>2626</v>
      </c>
      <c r="AA125" s="6" t="s">
        <v>659</v>
      </c>
      <c r="AC125" s="6" t="s">
        <v>1503</v>
      </c>
      <c r="AD125" s="6" t="s">
        <v>1504</v>
      </c>
      <c r="AE125" s="6" t="s">
        <v>847</v>
      </c>
      <c r="AF125" s="6" t="s">
        <v>1505</v>
      </c>
    </row>
    <row r="126" spans="1:32" x14ac:dyDescent="0.35">
      <c r="A126" s="5">
        <f t="shared" si="6"/>
        <v>202244602</v>
      </c>
      <c r="B126" s="5" t="s">
        <v>137</v>
      </c>
      <c r="C126" s="5" t="s">
        <v>448</v>
      </c>
      <c r="D126" s="6" t="s">
        <v>1506</v>
      </c>
      <c r="E126" s="6" t="s">
        <v>676</v>
      </c>
      <c r="F126" s="6" t="s">
        <v>689</v>
      </c>
      <c r="G126" s="6" t="s">
        <v>2695</v>
      </c>
      <c r="H126" s="6" t="s">
        <v>2697</v>
      </c>
      <c r="I126" s="7">
        <v>30214</v>
      </c>
      <c r="J126" s="6">
        <f t="shared" ca="1" si="7"/>
        <v>43</v>
      </c>
      <c r="K126" s="6" t="s">
        <v>791</v>
      </c>
      <c r="L126" s="6" t="s">
        <v>666</v>
      </c>
      <c r="M126" s="6" t="s">
        <v>691</v>
      </c>
      <c r="N126" s="6" t="s">
        <v>653</v>
      </c>
      <c r="O126" s="6" t="s">
        <v>1507</v>
      </c>
      <c r="P126" s="6" t="s">
        <v>1508</v>
      </c>
      <c r="Q126" s="6" t="s">
        <v>731</v>
      </c>
      <c r="R126" s="7">
        <v>44602</v>
      </c>
      <c r="S126" s="4" t="str">
        <f t="shared" ca="1" si="8"/>
        <v>PKWT</v>
      </c>
      <c r="T126" s="10">
        <f t="shared" ca="1" si="9"/>
        <v>3</v>
      </c>
      <c r="U126" s="7">
        <f t="shared" ca="1" si="10"/>
        <v>46427</v>
      </c>
      <c r="V126" s="7"/>
      <c r="W126" s="7"/>
      <c r="X126" s="4" t="str">
        <f t="shared" ca="1" si="11"/>
        <v>Active</v>
      </c>
      <c r="Y126" s="6" t="s">
        <v>657</v>
      </c>
      <c r="Z126" s="6" t="s">
        <v>705</v>
      </c>
      <c r="AA126" s="6" t="s">
        <v>706</v>
      </c>
      <c r="AC126" s="6" t="s">
        <v>1510</v>
      </c>
      <c r="AD126" s="6" t="s">
        <v>1511</v>
      </c>
      <c r="AE126" s="6" t="s">
        <v>847</v>
      </c>
      <c r="AF126" s="6" t="s">
        <v>1512</v>
      </c>
    </row>
    <row r="127" spans="1:32" x14ac:dyDescent="0.35">
      <c r="A127" s="5">
        <f t="shared" si="6"/>
        <v>202043999</v>
      </c>
      <c r="B127" s="5" t="s">
        <v>138</v>
      </c>
      <c r="C127" s="5" t="s">
        <v>449</v>
      </c>
      <c r="D127" s="6" t="s">
        <v>1217</v>
      </c>
      <c r="E127" s="6" t="s">
        <v>676</v>
      </c>
      <c r="F127" s="6" t="s">
        <v>738</v>
      </c>
      <c r="G127" s="6" t="s">
        <v>2664</v>
      </c>
      <c r="H127" s="6" t="s">
        <v>2692</v>
      </c>
      <c r="I127" s="7">
        <v>35558</v>
      </c>
      <c r="J127" s="6">
        <f t="shared" ca="1" si="7"/>
        <v>29</v>
      </c>
      <c r="K127" s="6" t="s">
        <v>665</v>
      </c>
      <c r="L127" s="6" t="s">
        <v>666</v>
      </c>
      <c r="M127" s="6" t="s">
        <v>691</v>
      </c>
      <c r="N127" s="6" t="s">
        <v>653</v>
      </c>
      <c r="O127" s="6" t="s">
        <v>1517</v>
      </c>
      <c r="P127" s="6" t="s">
        <v>1218</v>
      </c>
      <c r="Q127" s="6" t="s">
        <v>680</v>
      </c>
      <c r="R127" s="7">
        <v>43999</v>
      </c>
      <c r="S127" s="4" t="str">
        <f t="shared" ca="1" si="8"/>
        <v>PKWTT</v>
      </c>
      <c r="T127" s="10" t="str">
        <f t="shared" ca="1" si="9"/>
        <v/>
      </c>
      <c r="U127" s="7" t="str">
        <f t="shared" ca="1" si="10"/>
        <v/>
      </c>
      <c r="V127" s="7"/>
      <c r="W127" s="7"/>
      <c r="X127" s="4" t="str">
        <f t="shared" ca="1" si="11"/>
        <v>Active</v>
      </c>
      <c r="Y127" s="6" t="s">
        <v>794</v>
      </c>
      <c r="Z127" s="6" t="s">
        <v>2633</v>
      </c>
      <c r="AA127" s="6" t="s">
        <v>659</v>
      </c>
      <c r="AC127" s="6" t="s">
        <v>1519</v>
      </c>
      <c r="AD127" s="6" t="s">
        <v>1520</v>
      </c>
      <c r="AE127" s="6" t="s">
        <v>847</v>
      </c>
      <c r="AF127" s="6" t="s">
        <v>1521</v>
      </c>
    </row>
    <row r="128" spans="1:32" x14ac:dyDescent="0.35">
      <c r="A128" s="5">
        <f t="shared" si="6"/>
        <v>201743005</v>
      </c>
      <c r="B128" s="5" t="s">
        <v>67</v>
      </c>
      <c r="C128" s="5" t="s">
        <v>378</v>
      </c>
      <c r="D128" s="6" t="s">
        <v>1014</v>
      </c>
      <c r="E128" s="6" t="s">
        <v>648</v>
      </c>
      <c r="F128" s="6" t="s">
        <v>649</v>
      </c>
      <c r="G128" s="6" t="s">
        <v>2664</v>
      </c>
      <c r="H128" s="6" t="s">
        <v>2692</v>
      </c>
      <c r="I128" s="7">
        <v>30791</v>
      </c>
      <c r="J128" s="6">
        <f t="shared" ca="1" si="7"/>
        <v>42</v>
      </c>
      <c r="K128" s="6" t="s">
        <v>665</v>
      </c>
      <c r="L128" s="6" t="s">
        <v>666</v>
      </c>
      <c r="M128" s="6" t="s">
        <v>677</v>
      </c>
      <c r="N128" s="6" t="s">
        <v>653</v>
      </c>
      <c r="O128" s="6" t="s">
        <v>1015</v>
      </c>
      <c r="P128" s="6" t="s">
        <v>1016</v>
      </c>
      <c r="Q128" s="6" t="s">
        <v>731</v>
      </c>
      <c r="R128" s="7">
        <v>43005</v>
      </c>
      <c r="S128" s="4" t="str">
        <f t="shared" ca="1" si="8"/>
        <v>PKWTT</v>
      </c>
      <c r="T128" s="10" t="str">
        <f t="shared" ca="1" si="9"/>
        <v/>
      </c>
      <c r="U128" s="7" t="str">
        <f t="shared" ca="1" si="10"/>
        <v/>
      </c>
      <c r="V128" s="7"/>
      <c r="W128" s="7"/>
      <c r="X128" s="4" t="str">
        <f t="shared" ca="1" si="11"/>
        <v>Active</v>
      </c>
      <c r="Y128" s="6" t="s">
        <v>794</v>
      </c>
      <c r="Z128" s="6" t="s">
        <v>2632</v>
      </c>
      <c r="AA128" s="6" t="s">
        <v>659</v>
      </c>
      <c r="AC128" s="6" t="s">
        <v>1019</v>
      </c>
      <c r="AD128" s="6" t="s">
        <v>1020</v>
      </c>
      <c r="AE128" s="6" t="s">
        <v>847</v>
      </c>
      <c r="AF128" s="6" t="s">
        <v>1021</v>
      </c>
    </row>
    <row r="129" spans="1:32" x14ac:dyDescent="0.35">
      <c r="A129" s="5">
        <f t="shared" si="6"/>
        <v>201843210</v>
      </c>
      <c r="B129" s="5" t="s">
        <v>140</v>
      </c>
      <c r="C129" s="5" t="s">
        <v>451</v>
      </c>
      <c r="D129" s="6" t="s">
        <v>1529</v>
      </c>
      <c r="E129" s="6" t="s">
        <v>648</v>
      </c>
      <c r="F129" s="6" t="s">
        <v>809</v>
      </c>
      <c r="G129" s="6" t="s">
        <v>2664</v>
      </c>
      <c r="H129" s="6" t="s">
        <v>2692</v>
      </c>
      <c r="I129" s="7">
        <v>28296</v>
      </c>
      <c r="J129" s="6">
        <f t="shared" ca="1" si="7"/>
        <v>49</v>
      </c>
      <c r="K129" s="6" t="s">
        <v>665</v>
      </c>
      <c r="L129" s="6" t="s">
        <v>666</v>
      </c>
      <c r="M129" s="6" t="s">
        <v>652</v>
      </c>
      <c r="N129" s="6" t="s">
        <v>653</v>
      </c>
      <c r="O129" s="6" t="s">
        <v>1530</v>
      </c>
      <c r="P129" s="6" t="s">
        <v>1531</v>
      </c>
      <c r="Q129" s="6" t="s">
        <v>731</v>
      </c>
      <c r="R129" s="7">
        <v>43210</v>
      </c>
      <c r="S129" s="4" t="str">
        <f t="shared" ca="1" si="8"/>
        <v>PKWTT</v>
      </c>
      <c r="T129" s="10" t="str">
        <f t="shared" ca="1" si="9"/>
        <v/>
      </c>
      <c r="U129" s="7" t="str">
        <f t="shared" ca="1" si="10"/>
        <v/>
      </c>
      <c r="V129" s="7"/>
      <c r="W129" s="7"/>
      <c r="X129" s="4" t="str">
        <f t="shared" ca="1" si="11"/>
        <v>Active</v>
      </c>
      <c r="Y129" s="6" t="s">
        <v>714</v>
      </c>
      <c r="Z129" s="6" t="s">
        <v>715</v>
      </c>
      <c r="AA129" s="6" t="s">
        <v>659</v>
      </c>
      <c r="AC129" s="6" t="s">
        <v>1533</v>
      </c>
      <c r="AD129" s="6" t="s">
        <v>1534</v>
      </c>
      <c r="AE129" s="6" t="s">
        <v>847</v>
      </c>
      <c r="AF129" s="6" t="s">
        <v>1535</v>
      </c>
    </row>
    <row r="130" spans="1:32" x14ac:dyDescent="0.35">
      <c r="A130" s="5">
        <f t="shared" ref="A130:A193" si="12">VALUE(YEAR(R130)&amp;TEXT(R130,"0000"))</f>
        <v>201642621</v>
      </c>
      <c r="B130" s="5" t="s">
        <v>141</v>
      </c>
      <c r="C130" s="5" t="s">
        <v>452</v>
      </c>
      <c r="D130" s="6" t="s">
        <v>1536</v>
      </c>
      <c r="E130" s="6" t="s">
        <v>676</v>
      </c>
      <c r="F130" s="6" t="s">
        <v>742</v>
      </c>
      <c r="G130" s="6" t="s">
        <v>2664</v>
      </c>
      <c r="H130" s="6" t="s">
        <v>2692</v>
      </c>
      <c r="I130" s="7">
        <v>33426</v>
      </c>
      <c r="J130" s="6">
        <f t="shared" ref="J130:J193" ca="1" si="13">IF(I130="","",DATEDIF(I130,TODAY(),"Y"))</f>
        <v>35</v>
      </c>
      <c r="K130" s="6" t="s">
        <v>791</v>
      </c>
      <c r="L130" s="6" t="s">
        <v>2660</v>
      </c>
      <c r="M130" s="6" t="s">
        <v>677</v>
      </c>
      <c r="N130" s="6" t="s">
        <v>653</v>
      </c>
      <c r="O130" s="6" t="s">
        <v>1537</v>
      </c>
      <c r="P130" s="6" t="s">
        <v>1538</v>
      </c>
      <c r="Q130" s="6" t="s">
        <v>656</v>
      </c>
      <c r="R130" s="7">
        <v>42621</v>
      </c>
      <c r="S130" s="4" t="str">
        <f t="shared" ref="S130:S193" ca="1" si="14">IF(AND(T130&lt;&gt;"",U130&lt;&gt;""),"PKWT","PKWTT")</f>
        <v>PKWTT</v>
      </c>
      <c r="T130" s="10" t="str">
        <f t="shared" ref="T130:T193" ca="1" si="15">IF(R130&gt;TODAY(),"",IF(DATEDIF(R130,TODAY(),"Y")&gt;=5,"",IF(DATEDIF(R130,TODAY(),"Y")&lt;1,1,IF(DATEDIF(R130,TODAY(),"Y")&lt;3,2,3))))</f>
        <v/>
      </c>
      <c r="U130" s="7" t="str">
        <f t="shared" ref="U130:U193" ca="1" si="16">IF(T130="","",IF(T130=1,EDATE(R130,12)-1,IF(T130=2,EDATE(R130,36)-1,IF(T130=3,EDATE(R130,60)-1,""))))</f>
        <v/>
      </c>
      <c r="V130" s="7"/>
      <c r="W130" s="7"/>
      <c r="X130" s="4" t="str">
        <f t="shared" ca="1" si="11"/>
        <v>Active</v>
      </c>
      <c r="Y130" s="6" t="s">
        <v>681</v>
      </c>
      <c r="Z130" s="6" t="s">
        <v>682</v>
      </c>
      <c r="AA130" s="6" t="s">
        <v>683</v>
      </c>
      <c r="AC130" s="6" t="s">
        <v>1540</v>
      </c>
      <c r="AD130" s="6" t="s">
        <v>1541</v>
      </c>
      <c r="AE130" s="6" t="s">
        <v>847</v>
      </c>
      <c r="AF130" s="6" t="s">
        <v>1542</v>
      </c>
    </row>
    <row r="131" spans="1:32" x14ac:dyDescent="0.35">
      <c r="A131" s="5">
        <f t="shared" si="12"/>
        <v>201843460</v>
      </c>
      <c r="B131" s="5" t="s">
        <v>142</v>
      </c>
      <c r="C131" s="5" t="s">
        <v>453</v>
      </c>
      <c r="D131" s="6" t="s">
        <v>1121</v>
      </c>
      <c r="E131" s="6" t="s">
        <v>648</v>
      </c>
      <c r="F131" s="6" t="s">
        <v>809</v>
      </c>
      <c r="G131" s="6" t="s">
        <v>2664</v>
      </c>
      <c r="H131" s="1" t="s">
        <v>2692</v>
      </c>
      <c r="I131" s="7">
        <v>34402</v>
      </c>
      <c r="J131" s="6">
        <f t="shared" ca="1" si="13"/>
        <v>32</v>
      </c>
      <c r="K131" s="6" t="s">
        <v>791</v>
      </c>
      <c r="L131" s="6" t="s">
        <v>2660</v>
      </c>
      <c r="M131" s="6" t="s">
        <v>691</v>
      </c>
      <c r="N131" s="6" t="s">
        <v>653</v>
      </c>
      <c r="O131" s="6" t="s">
        <v>1543</v>
      </c>
      <c r="P131" s="6" t="s">
        <v>1122</v>
      </c>
      <c r="Q131" s="6" t="s">
        <v>704</v>
      </c>
      <c r="R131" s="7">
        <v>43460</v>
      </c>
      <c r="S131" s="4" t="str">
        <f t="shared" ca="1" si="14"/>
        <v>PKWTT</v>
      </c>
      <c r="T131" s="10" t="str">
        <f t="shared" ca="1" si="15"/>
        <v/>
      </c>
      <c r="U131" s="7" t="str">
        <f t="shared" ca="1" si="16"/>
        <v/>
      </c>
      <c r="V131" s="7"/>
      <c r="W131" s="7"/>
      <c r="X131" s="4" t="str">
        <f t="shared" ref="X131:X194" ca="1" si="17">IF(V131&lt;&gt;"","Non-Active",IF(S131="PKWTT","Active",IF(U131&gt;=TODAY(),"Active","Non-Active")))</f>
        <v>Active</v>
      </c>
      <c r="Y131" s="6" t="s">
        <v>681</v>
      </c>
      <c r="Z131" s="6" t="s">
        <v>682</v>
      </c>
      <c r="AA131" s="6" t="s">
        <v>683</v>
      </c>
      <c r="AC131" s="6" t="s">
        <v>1545</v>
      </c>
      <c r="AD131" s="6" t="s">
        <v>1546</v>
      </c>
      <c r="AE131" s="6" t="s">
        <v>847</v>
      </c>
      <c r="AF131" s="6" t="s">
        <v>1547</v>
      </c>
    </row>
    <row r="132" spans="1:32" x14ac:dyDescent="0.35">
      <c r="A132" s="5">
        <f t="shared" si="12"/>
        <v>202445543</v>
      </c>
      <c r="B132" s="5" t="s">
        <v>143</v>
      </c>
      <c r="C132" s="5" t="s">
        <v>454</v>
      </c>
      <c r="D132" s="6" t="s">
        <v>1548</v>
      </c>
      <c r="E132" s="6" t="s">
        <v>648</v>
      </c>
      <c r="F132" s="6" t="s">
        <v>664</v>
      </c>
      <c r="G132" s="6" t="s">
        <v>2664</v>
      </c>
      <c r="H132" s="1" t="s">
        <v>2692</v>
      </c>
      <c r="I132" s="7">
        <v>28770</v>
      </c>
      <c r="J132" s="6">
        <f t="shared" ca="1" si="13"/>
        <v>47</v>
      </c>
      <c r="K132" s="6" t="s">
        <v>791</v>
      </c>
      <c r="L132" s="6" t="s">
        <v>2660</v>
      </c>
      <c r="M132" s="6" t="s">
        <v>677</v>
      </c>
      <c r="N132" s="6" t="s">
        <v>653</v>
      </c>
      <c r="O132" s="6" t="s">
        <v>1549</v>
      </c>
      <c r="P132" s="6" t="s">
        <v>1550</v>
      </c>
      <c r="Q132" s="6" t="s">
        <v>778</v>
      </c>
      <c r="R132" s="7">
        <v>45543</v>
      </c>
      <c r="S132" s="4" t="str">
        <f t="shared" ca="1" si="14"/>
        <v>PKWT</v>
      </c>
      <c r="T132" s="10">
        <f t="shared" ca="1" si="15"/>
        <v>2</v>
      </c>
      <c r="U132" s="7">
        <f t="shared" ca="1" si="16"/>
        <v>46637</v>
      </c>
      <c r="V132" s="7"/>
      <c r="W132" s="7"/>
      <c r="X132" s="4" t="str">
        <f t="shared" ca="1" si="17"/>
        <v>Active</v>
      </c>
      <c r="Y132" s="6" t="s">
        <v>681</v>
      </c>
      <c r="Z132" s="6" t="s">
        <v>759</v>
      </c>
      <c r="AA132" s="6" t="s">
        <v>659</v>
      </c>
      <c r="AC132" s="6" t="s">
        <v>1552</v>
      </c>
      <c r="AD132" s="6" t="s">
        <v>1553</v>
      </c>
      <c r="AE132" s="6" t="s">
        <v>847</v>
      </c>
      <c r="AF132" s="6" t="s">
        <v>1554</v>
      </c>
    </row>
    <row r="133" spans="1:32" x14ac:dyDescent="0.35">
      <c r="A133" s="5">
        <f t="shared" si="12"/>
        <v>201642487</v>
      </c>
      <c r="B133" s="5" t="s">
        <v>144</v>
      </c>
      <c r="C133" s="5" t="s">
        <v>455</v>
      </c>
      <c r="D133" s="6" t="s">
        <v>1434</v>
      </c>
      <c r="E133" s="6" t="s">
        <v>648</v>
      </c>
      <c r="F133" s="6" t="s">
        <v>689</v>
      </c>
      <c r="G133" s="6" t="s">
        <v>2695</v>
      </c>
      <c r="H133" s="6" t="s">
        <v>2697</v>
      </c>
      <c r="I133" s="7">
        <v>36074</v>
      </c>
      <c r="J133" s="6">
        <f t="shared" ca="1" si="13"/>
        <v>27</v>
      </c>
      <c r="K133" s="6" t="s">
        <v>690</v>
      </c>
      <c r="L133" s="6" t="s">
        <v>666</v>
      </c>
      <c r="M133" s="6" t="s">
        <v>652</v>
      </c>
      <c r="N133" s="6" t="s">
        <v>653</v>
      </c>
      <c r="O133" s="6" t="s">
        <v>1555</v>
      </c>
      <c r="P133" s="6" t="s">
        <v>1436</v>
      </c>
      <c r="Q133" s="6" t="s">
        <v>680</v>
      </c>
      <c r="R133" s="7">
        <v>42487</v>
      </c>
      <c r="S133" s="4" t="str">
        <f t="shared" ca="1" si="14"/>
        <v>PKWTT</v>
      </c>
      <c r="T133" s="10" t="str">
        <f t="shared" ca="1" si="15"/>
        <v/>
      </c>
      <c r="U133" s="7" t="str">
        <f t="shared" ca="1" si="16"/>
        <v/>
      </c>
      <c r="V133" s="7"/>
      <c r="W133" s="7"/>
      <c r="X133" s="4" t="str">
        <f t="shared" ca="1" si="17"/>
        <v>Active</v>
      </c>
      <c r="Y133" s="6" t="s">
        <v>657</v>
      </c>
      <c r="Z133" s="6" t="s">
        <v>669</v>
      </c>
      <c r="AA133" s="6" t="s">
        <v>670</v>
      </c>
      <c r="AC133" s="6" t="s">
        <v>1557</v>
      </c>
      <c r="AD133" s="6" t="s">
        <v>1558</v>
      </c>
      <c r="AE133" s="6" t="s">
        <v>847</v>
      </c>
      <c r="AF133" s="6" t="s">
        <v>1559</v>
      </c>
    </row>
    <row r="134" spans="1:32" x14ac:dyDescent="0.35">
      <c r="A134" s="5">
        <f t="shared" si="12"/>
        <v>202545815</v>
      </c>
      <c r="B134" s="5" t="s">
        <v>145</v>
      </c>
      <c r="C134" s="5" t="s">
        <v>456</v>
      </c>
      <c r="D134" s="6" t="s">
        <v>1210</v>
      </c>
      <c r="E134" s="6" t="s">
        <v>676</v>
      </c>
      <c r="F134" s="6" t="s">
        <v>809</v>
      </c>
      <c r="G134" s="6" t="s">
        <v>2664</v>
      </c>
      <c r="H134" s="1" t="s">
        <v>2692</v>
      </c>
      <c r="I134" s="7">
        <v>27831</v>
      </c>
      <c r="J134" s="6">
        <f t="shared" ca="1" si="13"/>
        <v>50</v>
      </c>
      <c r="K134" s="6" t="s">
        <v>690</v>
      </c>
      <c r="L134" s="6" t="s">
        <v>666</v>
      </c>
      <c r="M134" s="6" t="s">
        <v>691</v>
      </c>
      <c r="N134" s="6" t="s">
        <v>653</v>
      </c>
      <c r="O134" s="6" t="s">
        <v>1560</v>
      </c>
      <c r="P134" s="6" t="s">
        <v>1211</v>
      </c>
      <c r="Q134" s="6" t="s">
        <v>694</v>
      </c>
      <c r="R134" s="7">
        <v>45815</v>
      </c>
      <c r="S134" s="4" t="str">
        <f t="shared" ca="1" si="14"/>
        <v>PKWT</v>
      </c>
      <c r="T134" s="10">
        <f t="shared" ca="1" si="15"/>
        <v>2</v>
      </c>
      <c r="U134" s="7">
        <f t="shared" ca="1" si="16"/>
        <v>46910</v>
      </c>
      <c r="V134" s="7"/>
      <c r="W134" s="7"/>
      <c r="X134" s="4" t="str">
        <f t="shared" ca="1" si="17"/>
        <v>Active</v>
      </c>
      <c r="Y134" s="6" t="s">
        <v>681</v>
      </c>
      <c r="Z134" s="6" t="s">
        <v>759</v>
      </c>
      <c r="AA134" s="6" t="s">
        <v>659</v>
      </c>
      <c r="AC134" s="6" t="s">
        <v>1562</v>
      </c>
      <c r="AD134" s="6" t="s">
        <v>1563</v>
      </c>
      <c r="AE134" s="6" t="s">
        <v>847</v>
      </c>
      <c r="AF134" s="6" t="s">
        <v>1564</v>
      </c>
    </row>
    <row r="135" spans="1:32" x14ac:dyDescent="0.35">
      <c r="A135" s="5">
        <f t="shared" si="12"/>
        <v>202445407</v>
      </c>
      <c r="B135" s="5" t="s">
        <v>146</v>
      </c>
      <c r="C135" s="5" t="s">
        <v>457</v>
      </c>
      <c r="D135" s="6" t="s">
        <v>1238</v>
      </c>
      <c r="E135" s="6" t="s">
        <v>648</v>
      </c>
      <c r="F135" s="6" t="s">
        <v>649</v>
      </c>
      <c r="G135" s="6" t="s">
        <v>2664</v>
      </c>
      <c r="H135" s="1" t="s">
        <v>2692</v>
      </c>
      <c r="I135" s="7">
        <v>37420</v>
      </c>
      <c r="J135" s="6">
        <f t="shared" ca="1" si="13"/>
        <v>24</v>
      </c>
      <c r="K135" s="6" t="s">
        <v>791</v>
      </c>
      <c r="L135" s="6" t="s">
        <v>2660</v>
      </c>
      <c r="M135" s="6" t="s">
        <v>701</v>
      </c>
      <c r="N135" s="6" t="s">
        <v>653</v>
      </c>
      <c r="O135" s="6" t="s">
        <v>1565</v>
      </c>
      <c r="P135" s="6" t="s">
        <v>1240</v>
      </c>
      <c r="Q135" s="6" t="s">
        <v>656</v>
      </c>
      <c r="R135" s="7">
        <v>45407</v>
      </c>
      <c r="S135" s="4" t="str">
        <f t="shared" ca="1" si="14"/>
        <v>PKWT</v>
      </c>
      <c r="T135" s="10">
        <f t="shared" ca="1" si="15"/>
        <v>2</v>
      </c>
      <c r="U135" s="7">
        <f t="shared" ca="1" si="16"/>
        <v>46501</v>
      </c>
      <c r="V135" s="7"/>
      <c r="W135" s="7"/>
      <c r="X135" s="4" t="str">
        <f t="shared" ca="1" si="17"/>
        <v>Active</v>
      </c>
      <c r="Y135" s="6" t="s">
        <v>794</v>
      </c>
      <c r="Z135" s="6" t="s">
        <v>2633</v>
      </c>
      <c r="AA135" s="6" t="s">
        <v>659</v>
      </c>
      <c r="AC135" s="6" t="s">
        <v>1567</v>
      </c>
      <c r="AD135" s="6" t="s">
        <v>1568</v>
      </c>
      <c r="AE135" s="6" t="s">
        <v>847</v>
      </c>
      <c r="AF135" s="6" t="s">
        <v>1569</v>
      </c>
    </row>
    <row r="136" spans="1:32" x14ac:dyDescent="0.35">
      <c r="A136" s="5">
        <f t="shared" si="12"/>
        <v>201943726</v>
      </c>
      <c r="B136" s="5" t="s">
        <v>147</v>
      </c>
      <c r="C136" s="5" t="s">
        <v>458</v>
      </c>
      <c r="D136" s="6" t="s">
        <v>1210</v>
      </c>
      <c r="E136" s="6" t="s">
        <v>676</v>
      </c>
      <c r="F136" s="6" t="s">
        <v>809</v>
      </c>
      <c r="G136" s="6" t="s">
        <v>2664</v>
      </c>
      <c r="H136" s="1" t="s">
        <v>2692</v>
      </c>
      <c r="I136" s="7">
        <v>36701</v>
      </c>
      <c r="J136" s="6">
        <f t="shared" ca="1" si="13"/>
        <v>26</v>
      </c>
      <c r="K136" s="6" t="s">
        <v>665</v>
      </c>
      <c r="L136" s="6" t="s">
        <v>666</v>
      </c>
      <c r="M136" s="6" t="s">
        <v>701</v>
      </c>
      <c r="N136" s="6" t="s">
        <v>653</v>
      </c>
      <c r="O136" s="6" t="s">
        <v>1570</v>
      </c>
      <c r="P136" s="6" t="s">
        <v>1211</v>
      </c>
      <c r="Q136" s="6" t="s">
        <v>778</v>
      </c>
      <c r="R136" s="7">
        <v>43726</v>
      </c>
      <c r="S136" s="4" t="str">
        <f t="shared" ca="1" si="14"/>
        <v>PKWTT</v>
      </c>
      <c r="T136" s="10" t="str">
        <f t="shared" ca="1" si="15"/>
        <v/>
      </c>
      <c r="U136" s="7" t="str">
        <f t="shared" ca="1" si="16"/>
        <v/>
      </c>
      <c r="V136" s="7"/>
      <c r="W136" s="7"/>
      <c r="X136" s="4" t="str">
        <f t="shared" ca="1" si="17"/>
        <v>Active</v>
      </c>
      <c r="Y136" s="6" t="s">
        <v>714</v>
      </c>
      <c r="Z136" s="6" t="s">
        <v>715</v>
      </c>
      <c r="AA136" s="6" t="s">
        <v>659</v>
      </c>
      <c r="AC136" s="6" t="s">
        <v>1572</v>
      </c>
      <c r="AD136" s="6" t="s">
        <v>1573</v>
      </c>
      <c r="AE136" s="6" t="s">
        <v>847</v>
      </c>
      <c r="AF136" s="6" t="s">
        <v>1574</v>
      </c>
    </row>
    <row r="137" spans="1:32" x14ac:dyDescent="0.35">
      <c r="A137" s="5">
        <f t="shared" si="12"/>
        <v>201642523</v>
      </c>
      <c r="B137" s="5" t="s">
        <v>148</v>
      </c>
      <c r="C137" s="5" t="s">
        <v>459</v>
      </c>
      <c r="D137" s="6" t="s">
        <v>1575</v>
      </c>
      <c r="E137" s="6" t="s">
        <v>648</v>
      </c>
      <c r="F137" s="6" t="s">
        <v>649</v>
      </c>
      <c r="G137" s="6" t="s">
        <v>2664</v>
      </c>
      <c r="H137" s="1" t="s">
        <v>2692</v>
      </c>
      <c r="I137" s="7">
        <v>33807</v>
      </c>
      <c r="J137" s="6">
        <f t="shared" ca="1" si="13"/>
        <v>34</v>
      </c>
      <c r="K137" s="6" t="s">
        <v>791</v>
      </c>
      <c r="L137" s="6" t="s">
        <v>2660</v>
      </c>
      <c r="M137" s="6" t="s">
        <v>691</v>
      </c>
      <c r="N137" s="6" t="s">
        <v>653</v>
      </c>
      <c r="O137" s="6" t="s">
        <v>1576</v>
      </c>
      <c r="P137" s="6" t="s">
        <v>1577</v>
      </c>
      <c r="Q137" s="6" t="s">
        <v>704</v>
      </c>
      <c r="R137" s="7">
        <v>42523</v>
      </c>
      <c r="S137" s="4" t="str">
        <f t="shared" ca="1" si="14"/>
        <v>PKWTT</v>
      </c>
      <c r="T137" s="10" t="str">
        <f t="shared" ca="1" si="15"/>
        <v/>
      </c>
      <c r="U137" s="7" t="str">
        <f t="shared" ca="1" si="16"/>
        <v/>
      </c>
      <c r="V137" s="7"/>
      <c r="W137" s="7"/>
      <c r="X137" s="4" t="str">
        <f t="shared" ca="1" si="17"/>
        <v>Active</v>
      </c>
      <c r="Y137" s="6" t="s">
        <v>794</v>
      </c>
      <c r="Z137" s="6" t="s">
        <v>2632</v>
      </c>
      <c r="AA137" s="6" t="s">
        <v>659</v>
      </c>
      <c r="AC137" s="6" t="s">
        <v>1579</v>
      </c>
      <c r="AD137" s="6" t="s">
        <v>1580</v>
      </c>
      <c r="AE137" s="6" t="s">
        <v>847</v>
      </c>
      <c r="AF137" s="6" t="s">
        <v>1581</v>
      </c>
    </row>
    <row r="138" spans="1:32" x14ac:dyDescent="0.35">
      <c r="A138" s="5">
        <f t="shared" si="12"/>
        <v>201943561</v>
      </c>
      <c r="B138" s="5" t="s">
        <v>149</v>
      </c>
      <c r="C138" s="5" t="s">
        <v>460</v>
      </c>
      <c r="D138" s="6" t="s">
        <v>1582</v>
      </c>
      <c r="E138" s="6" t="s">
        <v>648</v>
      </c>
      <c r="F138" s="6" t="s">
        <v>689</v>
      </c>
      <c r="G138" s="6" t="s">
        <v>2695</v>
      </c>
      <c r="H138" s="6" t="s">
        <v>2697</v>
      </c>
      <c r="I138" s="7">
        <v>28602</v>
      </c>
      <c r="J138" s="6">
        <f t="shared" ca="1" si="13"/>
        <v>48</v>
      </c>
      <c r="K138" s="6" t="s">
        <v>791</v>
      </c>
      <c r="L138" s="6" t="s">
        <v>666</v>
      </c>
      <c r="M138" s="6" t="s">
        <v>677</v>
      </c>
      <c r="N138" s="6" t="s">
        <v>653</v>
      </c>
      <c r="O138" s="6" t="s">
        <v>1583</v>
      </c>
      <c r="P138" s="6" t="s">
        <v>1584</v>
      </c>
      <c r="Q138" s="6" t="s">
        <v>778</v>
      </c>
      <c r="R138" s="7">
        <v>43561</v>
      </c>
      <c r="S138" s="4" t="str">
        <f t="shared" ca="1" si="14"/>
        <v>PKWTT</v>
      </c>
      <c r="T138" s="10" t="str">
        <f t="shared" ca="1" si="15"/>
        <v/>
      </c>
      <c r="U138" s="7" t="str">
        <f t="shared" ca="1" si="16"/>
        <v/>
      </c>
      <c r="V138" s="7"/>
      <c r="W138" s="7"/>
      <c r="X138" s="4" t="str">
        <f t="shared" ca="1" si="17"/>
        <v>Active</v>
      </c>
      <c r="Y138" s="6" t="s">
        <v>657</v>
      </c>
      <c r="Z138" s="6" t="s">
        <v>658</v>
      </c>
      <c r="AA138" s="6" t="s">
        <v>659</v>
      </c>
      <c r="AC138" s="6" t="s">
        <v>1586</v>
      </c>
      <c r="AD138" s="6" t="s">
        <v>1587</v>
      </c>
      <c r="AE138" s="6" t="s">
        <v>847</v>
      </c>
      <c r="AF138" s="6" t="s">
        <v>1588</v>
      </c>
    </row>
    <row r="139" spans="1:32" x14ac:dyDescent="0.35">
      <c r="A139" s="5">
        <f t="shared" si="12"/>
        <v>201441987</v>
      </c>
      <c r="B139" s="5" t="s">
        <v>150</v>
      </c>
      <c r="C139" s="5" t="s">
        <v>461</v>
      </c>
      <c r="D139" s="6" t="s">
        <v>1443</v>
      </c>
      <c r="E139" s="6" t="s">
        <v>648</v>
      </c>
      <c r="F139" s="6" t="s">
        <v>768</v>
      </c>
      <c r="G139" s="6" t="s">
        <v>2664</v>
      </c>
      <c r="H139" s="1" t="s">
        <v>2692</v>
      </c>
      <c r="I139" s="7">
        <v>27435</v>
      </c>
      <c r="J139" s="6">
        <f t="shared" ca="1" si="13"/>
        <v>51</v>
      </c>
      <c r="K139" s="6" t="s">
        <v>791</v>
      </c>
      <c r="L139" s="6" t="s">
        <v>2660</v>
      </c>
      <c r="M139" s="6" t="s">
        <v>677</v>
      </c>
      <c r="N139" s="6" t="s">
        <v>653</v>
      </c>
      <c r="O139" s="6" t="s">
        <v>1589</v>
      </c>
      <c r="P139" s="6" t="s">
        <v>1444</v>
      </c>
      <c r="Q139" s="6" t="s">
        <v>731</v>
      </c>
      <c r="R139" s="7">
        <v>41987</v>
      </c>
      <c r="S139" s="4" t="str">
        <f t="shared" ca="1" si="14"/>
        <v>PKWTT</v>
      </c>
      <c r="T139" s="10" t="str">
        <f t="shared" ca="1" si="15"/>
        <v/>
      </c>
      <c r="U139" s="7" t="str">
        <f t="shared" ca="1" si="16"/>
        <v/>
      </c>
      <c r="V139" s="7"/>
      <c r="W139" s="7"/>
      <c r="X139" s="4" t="str">
        <f t="shared" ca="1" si="17"/>
        <v>Active</v>
      </c>
      <c r="Y139" s="6" t="s">
        <v>714</v>
      </c>
      <c r="Z139" s="6" t="s">
        <v>715</v>
      </c>
      <c r="AA139" s="6" t="s">
        <v>659</v>
      </c>
      <c r="AC139" s="6" t="s">
        <v>1591</v>
      </c>
      <c r="AD139" s="6" t="s">
        <v>1592</v>
      </c>
      <c r="AE139" s="6" t="s">
        <v>847</v>
      </c>
      <c r="AF139" s="6" t="s">
        <v>1593</v>
      </c>
    </row>
    <row r="140" spans="1:32" x14ac:dyDescent="0.35">
      <c r="A140" s="5">
        <f t="shared" si="12"/>
        <v>201743014</v>
      </c>
      <c r="B140" s="5" t="s">
        <v>151</v>
      </c>
      <c r="C140" s="5" t="s">
        <v>462</v>
      </c>
      <c r="D140" s="6" t="s">
        <v>1199</v>
      </c>
      <c r="E140" s="6" t="s">
        <v>676</v>
      </c>
      <c r="F140" s="6" t="s">
        <v>664</v>
      </c>
      <c r="G140" s="6" t="s">
        <v>2695</v>
      </c>
      <c r="H140" s="6" t="s">
        <v>2697</v>
      </c>
      <c r="I140" s="7">
        <v>35570</v>
      </c>
      <c r="J140" s="6">
        <f t="shared" ca="1" si="13"/>
        <v>29</v>
      </c>
      <c r="K140" s="6" t="s">
        <v>665</v>
      </c>
      <c r="L140" s="6" t="s">
        <v>666</v>
      </c>
      <c r="M140" s="6" t="s">
        <v>652</v>
      </c>
      <c r="N140" s="6" t="s">
        <v>653</v>
      </c>
      <c r="O140" s="6" t="s">
        <v>1594</v>
      </c>
      <c r="P140" s="6" t="s">
        <v>1200</v>
      </c>
      <c r="Q140" s="6" t="s">
        <v>778</v>
      </c>
      <c r="R140" s="7">
        <v>43014</v>
      </c>
      <c r="S140" s="4" t="str">
        <f t="shared" ca="1" si="14"/>
        <v>PKWTT</v>
      </c>
      <c r="T140" s="10" t="str">
        <f t="shared" ca="1" si="15"/>
        <v/>
      </c>
      <c r="U140" s="7" t="str">
        <f t="shared" ca="1" si="16"/>
        <v/>
      </c>
      <c r="V140" s="7"/>
      <c r="W140" s="7"/>
      <c r="X140" s="4" t="str">
        <f t="shared" ca="1" si="17"/>
        <v>Active</v>
      </c>
      <c r="Y140" s="6" t="s">
        <v>657</v>
      </c>
      <c r="Z140" s="6" t="s">
        <v>669</v>
      </c>
      <c r="AA140" s="6" t="s">
        <v>670</v>
      </c>
      <c r="AC140" s="6" t="s">
        <v>1596</v>
      </c>
      <c r="AD140" s="6" t="s">
        <v>1597</v>
      </c>
      <c r="AE140" s="6" t="s">
        <v>847</v>
      </c>
      <c r="AF140" s="6" t="s">
        <v>1598</v>
      </c>
    </row>
    <row r="141" spans="1:32" x14ac:dyDescent="0.35">
      <c r="A141" s="5">
        <f t="shared" si="12"/>
        <v>202545791</v>
      </c>
      <c r="B141" s="5" t="s">
        <v>152</v>
      </c>
      <c r="C141" s="5" t="s">
        <v>463</v>
      </c>
      <c r="D141" s="6" t="s">
        <v>1306</v>
      </c>
      <c r="E141" s="6" t="s">
        <v>676</v>
      </c>
      <c r="F141" s="6" t="s">
        <v>742</v>
      </c>
      <c r="G141" s="6" t="s">
        <v>2664</v>
      </c>
      <c r="H141" s="1" t="s">
        <v>2692</v>
      </c>
      <c r="I141" s="7">
        <v>30765</v>
      </c>
      <c r="J141" s="6">
        <f t="shared" ca="1" si="13"/>
        <v>42</v>
      </c>
      <c r="K141" s="6" t="s">
        <v>650</v>
      </c>
      <c r="L141" s="6" t="s">
        <v>2660</v>
      </c>
      <c r="M141" s="6" t="s">
        <v>677</v>
      </c>
      <c r="N141" s="6" t="s">
        <v>653</v>
      </c>
      <c r="O141" s="6" t="s">
        <v>1599</v>
      </c>
      <c r="P141" s="6" t="s">
        <v>1308</v>
      </c>
      <c r="Q141" s="6" t="s">
        <v>656</v>
      </c>
      <c r="R141" s="7">
        <v>45791</v>
      </c>
      <c r="S141" s="4" t="str">
        <f t="shared" ca="1" si="14"/>
        <v>PKWT</v>
      </c>
      <c r="T141" s="10">
        <f t="shared" ca="1" si="15"/>
        <v>2</v>
      </c>
      <c r="U141" s="7">
        <f t="shared" ca="1" si="16"/>
        <v>46886</v>
      </c>
      <c r="V141" s="7"/>
      <c r="W141" s="7"/>
      <c r="X141" s="4" t="str">
        <f t="shared" ca="1" si="17"/>
        <v>Active</v>
      </c>
      <c r="Y141" s="6" t="s">
        <v>681</v>
      </c>
      <c r="Z141" s="6" t="s">
        <v>759</v>
      </c>
      <c r="AA141" s="6" t="s">
        <v>659</v>
      </c>
      <c r="AC141" s="6" t="s">
        <v>1601</v>
      </c>
      <c r="AD141" s="6" t="s">
        <v>1602</v>
      </c>
      <c r="AE141" s="6" t="s">
        <v>847</v>
      </c>
      <c r="AF141" s="6" t="s">
        <v>1603</v>
      </c>
    </row>
    <row r="142" spans="1:32" x14ac:dyDescent="0.35">
      <c r="A142" s="5">
        <f t="shared" si="12"/>
        <v>202344945</v>
      </c>
      <c r="B142" s="5" t="s">
        <v>153</v>
      </c>
      <c r="C142" s="5" t="s">
        <v>464</v>
      </c>
      <c r="D142" s="6" t="s">
        <v>1604</v>
      </c>
      <c r="E142" s="6" t="s">
        <v>648</v>
      </c>
      <c r="F142" s="6" t="s">
        <v>738</v>
      </c>
      <c r="G142" s="6" t="s">
        <v>2664</v>
      </c>
      <c r="H142" s="6" t="s">
        <v>2692</v>
      </c>
      <c r="I142" s="7">
        <v>36502</v>
      </c>
      <c r="J142" s="6">
        <f t="shared" ca="1" si="13"/>
        <v>26</v>
      </c>
      <c r="K142" s="6" t="s">
        <v>690</v>
      </c>
      <c r="L142" s="6" t="s">
        <v>666</v>
      </c>
      <c r="M142" s="6" t="s">
        <v>652</v>
      </c>
      <c r="N142" s="6" t="s">
        <v>653</v>
      </c>
      <c r="O142" s="6" t="s">
        <v>1605</v>
      </c>
      <c r="P142" s="6" t="s">
        <v>1606</v>
      </c>
      <c r="Q142" s="6" t="s">
        <v>778</v>
      </c>
      <c r="R142" s="7">
        <v>44945</v>
      </c>
      <c r="S142" s="4" t="str">
        <f t="shared" ca="1" si="14"/>
        <v>PKWT</v>
      </c>
      <c r="T142" s="10">
        <f t="shared" ca="1" si="15"/>
        <v>3</v>
      </c>
      <c r="U142" s="7">
        <f t="shared" ca="1" si="16"/>
        <v>46770</v>
      </c>
      <c r="V142" s="7"/>
      <c r="W142" s="7"/>
      <c r="X142" s="4" t="str">
        <f t="shared" ca="1" si="17"/>
        <v>Active</v>
      </c>
      <c r="Y142" s="6" t="s">
        <v>732</v>
      </c>
      <c r="Z142" s="6" t="s">
        <v>733</v>
      </c>
      <c r="AA142" s="6" t="s">
        <v>659</v>
      </c>
      <c r="AC142" s="6" t="s">
        <v>1608</v>
      </c>
      <c r="AD142" s="6" t="s">
        <v>1609</v>
      </c>
      <c r="AE142" s="6" t="s">
        <v>847</v>
      </c>
      <c r="AF142" s="6" t="s">
        <v>1610</v>
      </c>
    </row>
    <row r="143" spans="1:32" x14ac:dyDescent="0.35">
      <c r="A143" s="5">
        <f t="shared" si="12"/>
        <v>201843377</v>
      </c>
      <c r="B143" s="5" t="s">
        <v>154</v>
      </c>
      <c r="C143" s="5" t="s">
        <v>465</v>
      </c>
      <c r="D143" s="6" t="s">
        <v>1156</v>
      </c>
      <c r="E143" s="6" t="s">
        <v>648</v>
      </c>
      <c r="F143" s="6" t="s">
        <v>649</v>
      </c>
      <c r="G143" s="6" t="s">
        <v>2695</v>
      </c>
      <c r="H143" s="6" t="s">
        <v>2697</v>
      </c>
      <c r="I143" s="7">
        <v>30398</v>
      </c>
      <c r="J143" s="6">
        <f t="shared" ca="1" si="13"/>
        <v>43</v>
      </c>
      <c r="K143" s="6" t="s">
        <v>665</v>
      </c>
      <c r="L143" s="6" t="s">
        <v>666</v>
      </c>
      <c r="M143" s="6" t="s">
        <v>652</v>
      </c>
      <c r="N143" s="6" t="s">
        <v>653</v>
      </c>
      <c r="O143" s="6" t="s">
        <v>1611</v>
      </c>
      <c r="P143" s="6" t="s">
        <v>1157</v>
      </c>
      <c r="Q143" s="6" t="s">
        <v>704</v>
      </c>
      <c r="R143" s="7">
        <v>43377</v>
      </c>
      <c r="S143" s="4" t="str">
        <f t="shared" ca="1" si="14"/>
        <v>PKWTT</v>
      </c>
      <c r="T143" s="10" t="str">
        <f t="shared" ca="1" si="15"/>
        <v/>
      </c>
      <c r="U143" s="7" t="str">
        <f t="shared" ca="1" si="16"/>
        <v/>
      </c>
      <c r="V143" s="7"/>
      <c r="W143" s="7"/>
      <c r="X143" s="4" t="str">
        <f t="shared" ca="1" si="17"/>
        <v>Active</v>
      </c>
      <c r="Y143" s="6" t="s">
        <v>657</v>
      </c>
      <c r="Z143" s="6" t="s">
        <v>669</v>
      </c>
      <c r="AA143" s="6" t="s">
        <v>670</v>
      </c>
      <c r="AC143" s="6" t="s">
        <v>1613</v>
      </c>
      <c r="AD143" s="6" t="s">
        <v>1614</v>
      </c>
      <c r="AE143" s="6" t="s">
        <v>847</v>
      </c>
      <c r="AF143" s="6" t="s">
        <v>1615</v>
      </c>
    </row>
    <row r="144" spans="1:32" x14ac:dyDescent="0.35">
      <c r="A144" s="5">
        <f t="shared" si="12"/>
        <v>201742809</v>
      </c>
      <c r="B144" s="5" t="s">
        <v>155</v>
      </c>
      <c r="C144" s="5" t="s">
        <v>466</v>
      </c>
      <c r="D144" s="6" t="s">
        <v>946</v>
      </c>
      <c r="E144" s="6" t="s">
        <v>648</v>
      </c>
      <c r="F144" s="6" t="s">
        <v>649</v>
      </c>
      <c r="G144" s="6" t="s">
        <v>2695</v>
      </c>
      <c r="H144" s="6" t="s">
        <v>2696</v>
      </c>
      <c r="I144" s="7">
        <v>32680</v>
      </c>
      <c r="J144" s="6">
        <f t="shared" ca="1" si="13"/>
        <v>37</v>
      </c>
      <c r="K144" s="6" t="s">
        <v>791</v>
      </c>
      <c r="L144" s="6" t="s">
        <v>666</v>
      </c>
      <c r="M144" s="6" t="s">
        <v>677</v>
      </c>
      <c r="N144" s="6" t="s">
        <v>653</v>
      </c>
      <c r="O144" s="6" t="s">
        <v>1616</v>
      </c>
      <c r="P144" s="6" t="s">
        <v>947</v>
      </c>
      <c r="Q144" s="6" t="s">
        <v>694</v>
      </c>
      <c r="R144" s="7">
        <v>42809</v>
      </c>
      <c r="S144" s="4" t="str">
        <f t="shared" ca="1" si="14"/>
        <v>PKWTT</v>
      </c>
      <c r="T144" s="10" t="str">
        <f t="shared" ca="1" si="15"/>
        <v/>
      </c>
      <c r="U144" s="7" t="str">
        <f t="shared" ca="1" si="16"/>
        <v/>
      </c>
      <c r="V144" s="7"/>
      <c r="W144" s="7"/>
      <c r="X144" s="4" t="str">
        <f t="shared" ca="1" si="17"/>
        <v>Active</v>
      </c>
      <c r="Y144" s="6" t="s">
        <v>657</v>
      </c>
      <c r="Z144" s="6" t="s">
        <v>916</v>
      </c>
      <c r="AA144" s="6" t="s">
        <v>659</v>
      </c>
      <c r="AC144" s="6" t="s">
        <v>1618</v>
      </c>
      <c r="AD144" s="6" t="s">
        <v>1619</v>
      </c>
      <c r="AE144" s="6" t="s">
        <v>847</v>
      </c>
      <c r="AF144" s="6" t="s">
        <v>1620</v>
      </c>
    </row>
    <row r="145" spans="1:32" x14ac:dyDescent="0.35">
      <c r="A145" s="5">
        <f t="shared" si="12"/>
        <v>202545771</v>
      </c>
      <c r="B145" s="5" t="s">
        <v>156</v>
      </c>
      <c r="C145" s="5" t="s">
        <v>467</v>
      </c>
      <c r="D145" s="6" t="s">
        <v>700</v>
      </c>
      <c r="E145" s="6" t="s">
        <v>648</v>
      </c>
      <c r="F145" s="6" t="s">
        <v>689</v>
      </c>
      <c r="G145" s="6" t="s">
        <v>2664</v>
      </c>
      <c r="H145" s="1" t="s">
        <v>2692</v>
      </c>
      <c r="I145" s="7">
        <v>38263</v>
      </c>
      <c r="J145" s="6">
        <f t="shared" ca="1" si="13"/>
        <v>21</v>
      </c>
      <c r="K145" s="6" t="s">
        <v>791</v>
      </c>
      <c r="L145" s="6" t="s">
        <v>666</v>
      </c>
      <c r="M145" s="6" t="s">
        <v>691</v>
      </c>
      <c r="N145" s="6" t="s">
        <v>653</v>
      </c>
      <c r="O145" s="6" t="s">
        <v>1621</v>
      </c>
      <c r="P145" s="6" t="s">
        <v>703</v>
      </c>
      <c r="Q145" s="6" t="s">
        <v>818</v>
      </c>
      <c r="R145" s="7">
        <v>45771</v>
      </c>
      <c r="S145" s="4" t="str">
        <f t="shared" ca="1" si="14"/>
        <v>PKWT</v>
      </c>
      <c r="T145" s="10">
        <f t="shared" ca="1" si="15"/>
        <v>2</v>
      </c>
      <c r="U145" s="7">
        <f t="shared" ca="1" si="16"/>
        <v>46866</v>
      </c>
      <c r="V145" s="7"/>
      <c r="W145" s="7"/>
      <c r="X145" s="4" t="str">
        <f t="shared" ca="1" si="17"/>
        <v>Active</v>
      </c>
      <c r="Y145" s="6" t="s">
        <v>681</v>
      </c>
      <c r="Z145" s="6" t="s">
        <v>682</v>
      </c>
      <c r="AA145" s="6" t="s">
        <v>683</v>
      </c>
      <c r="AC145" s="6" t="s">
        <v>1623</v>
      </c>
      <c r="AD145" s="6" t="s">
        <v>1624</v>
      </c>
      <c r="AE145" s="6" t="s">
        <v>847</v>
      </c>
      <c r="AF145" s="6" t="s">
        <v>1625</v>
      </c>
    </row>
    <row r="146" spans="1:32" x14ac:dyDescent="0.35">
      <c r="A146" s="5">
        <f t="shared" si="12"/>
        <v>201843438</v>
      </c>
      <c r="B146" s="5" t="s">
        <v>157</v>
      </c>
      <c r="C146" s="5" t="s">
        <v>468</v>
      </c>
      <c r="D146" s="6" t="s">
        <v>1260</v>
      </c>
      <c r="E146" s="6" t="s">
        <v>676</v>
      </c>
      <c r="F146" s="6" t="s">
        <v>809</v>
      </c>
      <c r="G146" s="6" t="s">
        <v>2664</v>
      </c>
      <c r="H146" s="1" t="s">
        <v>2692</v>
      </c>
      <c r="I146" s="7">
        <v>36581</v>
      </c>
      <c r="J146" s="6">
        <f t="shared" ca="1" si="13"/>
        <v>26</v>
      </c>
      <c r="K146" s="6" t="s">
        <v>690</v>
      </c>
      <c r="L146" s="6" t="s">
        <v>2660</v>
      </c>
      <c r="M146" s="6" t="s">
        <v>677</v>
      </c>
      <c r="N146" s="6" t="s">
        <v>653</v>
      </c>
      <c r="O146" s="6" t="s">
        <v>1626</v>
      </c>
      <c r="P146" s="6" t="s">
        <v>1261</v>
      </c>
      <c r="Q146" s="6" t="s">
        <v>818</v>
      </c>
      <c r="R146" s="7">
        <v>43438</v>
      </c>
      <c r="S146" s="4" t="str">
        <f t="shared" ca="1" si="14"/>
        <v>PKWTT</v>
      </c>
      <c r="T146" s="10" t="str">
        <f t="shared" ca="1" si="15"/>
        <v/>
      </c>
      <c r="U146" s="7" t="str">
        <f t="shared" ca="1" si="16"/>
        <v/>
      </c>
      <c r="V146" s="7"/>
      <c r="W146" s="7"/>
      <c r="X146" s="4" t="str">
        <f t="shared" ca="1" si="17"/>
        <v>Active</v>
      </c>
      <c r="Y146" s="6" t="s">
        <v>714</v>
      </c>
      <c r="Z146" s="6" t="s">
        <v>715</v>
      </c>
      <c r="AA146" s="6" t="s">
        <v>659</v>
      </c>
      <c r="AC146" s="6" t="s">
        <v>1628</v>
      </c>
      <c r="AD146" s="6" t="s">
        <v>1629</v>
      </c>
      <c r="AE146" s="6" t="s">
        <v>847</v>
      </c>
      <c r="AF146" s="6" t="s">
        <v>1630</v>
      </c>
    </row>
    <row r="147" spans="1:32" x14ac:dyDescent="0.35">
      <c r="A147" s="5">
        <f t="shared" si="12"/>
        <v>202445300</v>
      </c>
      <c r="B147" s="5" t="s">
        <v>159</v>
      </c>
      <c r="C147" s="5" t="s">
        <v>470</v>
      </c>
      <c r="D147" s="6" t="s">
        <v>1022</v>
      </c>
      <c r="E147" s="6" t="s">
        <v>676</v>
      </c>
      <c r="F147" s="6" t="s">
        <v>809</v>
      </c>
      <c r="G147" s="6" t="s">
        <v>2695</v>
      </c>
      <c r="H147" s="6" t="s">
        <v>2696</v>
      </c>
      <c r="I147" s="7">
        <v>37208</v>
      </c>
      <c r="J147" s="6">
        <f t="shared" ca="1" si="13"/>
        <v>24</v>
      </c>
      <c r="K147" s="6" t="s">
        <v>791</v>
      </c>
      <c r="L147" s="6" t="s">
        <v>2660</v>
      </c>
      <c r="M147" s="6" t="s">
        <v>691</v>
      </c>
      <c r="N147" s="6" t="s">
        <v>653</v>
      </c>
      <c r="O147" s="6" t="s">
        <v>1638</v>
      </c>
      <c r="P147" s="6" t="s">
        <v>1023</v>
      </c>
      <c r="Q147" s="6" t="s">
        <v>656</v>
      </c>
      <c r="R147" s="7">
        <v>45300</v>
      </c>
      <c r="S147" s="4" t="str">
        <f t="shared" ca="1" si="14"/>
        <v>PKWT</v>
      </c>
      <c r="T147" s="10">
        <f t="shared" ca="1" si="15"/>
        <v>2</v>
      </c>
      <c r="U147" s="7">
        <f t="shared" ca="1" si="16"/>
        <v>46395</v>
      </c>
      <c r="V147" s="7"/>
      <c r="W147" s="7"/>
      <c r="X147" s="4" t="str">
        <f t="shared" ca="1" si="17"/>
        <v>Active</v>
      </c>
      <c r="Y147" s="6" t="s">
        <v>657</v>
      </c>
      <c r="Z147" s="6" t="s">
        <v>916</v>
      </c>
      <c r="AA147" s="6" t="s">
        <v>659</v>
      </c>
      <c r="AC147" s="6">
        <v>20243327812</v>
      </c>
      <c r="AD147" s="6" t="s">
        <v>1639</v>
      </c>
      <c r="AE147" s="6" t="s">
        <v>847</v>
      </c>
      <c r="AF147" s="6" t="s">
        <v>1640</v>
      </c>
    </row>
    <row r="148" spans="1:32" x14ac:dyDescent="0.35">
      <c r="A148" s="5">
        <f t="shared" si="12"/>
        <v>201943816</v>
      </c>
      <c r="B148" s="5" t="s">
        <v>160</v>
      </c>
      <c r="C148" s="5" t="s">
        <v>471</v>
      </c>
      <c r="D148" s="6" t="s">
        <v>1219</v>
      </c>
      <c r="E148" s="6" t="s">
        <v>648</v>
      </c>
      <c r="F148" s="6" t="s">
        <v>689</v>
      </c>
      <c r="G148" s="6" t="s">
        <v>2664</v>
      </c>
      <c r="H148" s="1" t="s">
        <v>2692</v>
      </c>
      <c r="I148" s="7">
        <v>35792</v>
      </c>
      <c r="J148" s="6">
        <f t="shared" ca="1" si="13"/>
        <v>28</v>
      </c>
      <c r="K148" s="6" t="s">
        <v>690</v>
      </c>
      <c r="L148" s="6" t="s">
        <v>2660</v>
      </c>
      <c r="M148" s="6" t="s">
        <v>652</v>
      </c>
      <c r="N148" s="6" t="s">
        <v>653</v>
      </c>
      <c r="O148" s="6" t="s">
        <v>1641</v>
      </c>
      <c r="P148" s="6" t="s">
        <v>1221</v>
      </c>
      <c r="Q148" s="6" t="s">
        <v>704</v>
      </c>
      <c r="R148" s="7">
        <v>43816</v>
      </c>
      <c r="S148" s="4" t="str">
        <f t="shared" ca="1" si="14"/>
        <v>PKWTT</v>
      </c>
      <c r="T148" s="10" t="str">
        <f t="shared" ca="1" si="15"/>
        <v/>
      </c>
      <c r="U148" s="7" t="str">
        <f t="shared" ca="1" si="16"/>
        <v/>
      </c>
      <c r="V148" s="7"/>
      <c r="W148" s="7"/>
      <c r="X148" s="4" t="str">
        <f t="shared" ca="1" si="17"/>
        <v>Active</v>
      </c>
      <c r="Y148" s="6" t="s">
        <v>794</v>
      </c>
      <c r="Z148" s="6" t="s">
        <v>2632</v>
      </c>
      <c r="AA148" s="6" t="s">
        <v>659</v>
      </c>
      <c r="AC148" s="6" t="s">
        <v>1643</v>
      </c>
      <c r="AD148" s="6" t="s">
        <v>1644</v>
      </c>
      <c r="AE148" s="6" t="s">
        <v>847</v>
      </c>
      <c r="AF148" s="6" t="s">
        <v>1645</v>
      </c>
    </row>
    <row r="149" spans="1:32" x14ac:dyDescent="0.35">
      <c r="A149" s="5">
        <f t="shared" si="12"/>
        <v>201943716</v>
      </c>
      <c r="B149" s="5" t="s">
        <v>161</v>
      </c>
      <c r="C149" s="5" t="s">
        <v>472</v>
      </c>
      <c r="D149" s="6" t="s">
        <v>1441</v>
      </c>
      <c r="E149" s="6" t="s">
        <v>648</v>
      </c>
      <c r="F149" s="6" t="s">
        <v>649</v>
      </c>
      <c r="G149" s="6" t="s">
        <v>2664</v>
      </c>
      <c r="H149" s="1" t="s">
        <v>2692</v>
      </c>
      <c r="I149" s="7">
        <v>33596</v>
      </c>
      <c r="J149" s="6">
        <f t="shared" ca="1" si="13"/>
        <v>34</v>
      </c>
      <c r="K149" s="6" t="s">
        <v>650</v>
      </c>
      <c r="L149" s="6" t="s">
        <v>666</v>
      </c>
      <c r="M149" s="6" t="s">
        <v>677</v>
      </c>
      <c r="N149" s="6" t="s">
        <v>653</v>
      </c>
      <c r="O149" s="6" t="s">
        <v>1646</v>
      </c>
      <c r="P149" s="6" t="s">
        <v>1442</v>
      </c>
      <c r="Q149" s="6" t="s">
        <v>818</v>
      </c>
      <c r="R149" s="7">
        <v>43716</v>
      </c>
      <c r="S149" s="4" t="str">
        <f t="shared" ca="1" si="14"/>
        <v>PKWTT</v>
      </c>
      <c r="T149" s="10" t="str">
        <f t="shared" ca="1" si="15"/>
        <v/>
      </c>
      <c r="U149" s="7" t="str">
        <f t="shared" ca="1" si="16"/>
        <v/>
      </c>
      <c r="V149" s="7"/>
      <c r="W149" s="7"/>
      <c r="X149" s="4" t="str">
        <f t="shared" ca="1" si="17"/>
        <v>Active</v>
      </c>
      <c r="Y149" s="6" t="s">
        <v>714</v>
      </c>
      <c r="Z149" s="6" t="s">
        <v>715</v>
      </c>
      <c r="AA149" s="6" t="s">
        <v>659</v>
      </c>
      <c r="AC149" s="6" t="s">
        <v>1648</v>
      </c>
      <c r="AD149" s="6" t="s">
        <v>1649</v>
      </c>
      <c r="AE149" s="6" t="s">
        <v>847</v>
      </c>
      <c r="AF149" s="6" t="s">
        <v>1650</v>
      </c>
    </row>
    <row r="150" spans="1:32" x14ac:dyDescent="0.35">
      <c r="A150" s="5">
        <f t="shared" si="12"/>
        <v>202345127</v>
      </c>
      <c r="B150" s="5" t="s">
        <v>162</v>
      </c>
      <c r="C150" s="5" t="s">
        <v>473</v>
      </c>
      <c r="D150" s="6" t="s">
        <v>865</v>
      </c>
      <c r="E150" s="6" t="s">
        <v>676</v>
      </c>
      <c r="F150" s="6" t="s">
        <v>689</v>
      </c>
      <c r="G150" s="6" t="s">
        <v>2695</v>
      </c>
      <c r="H150" s="6" t="s">
        <v>2696</v>
      </c>
      <c r="I150" s="7">
        <v>33067</v>
      </c>
      <c r="J150" s="6">
        <f t="shared" ca="1" si="13"/>
        <v>36</v>
      </c>
      <c r="K150" s="6" t="s">
        <v>690</v>
      </c>
      <c r="L150" s="6" t="s">
        <v>2660</v>
      </c>
      <c r="M150" s="6" t="s">
        <v>691</v>
      </c>
      <c r="N150" s="6" t="s">
        <v>653</v>
      </c>
      <c r="O150" s="6" t="s">
        <v>1651</v>
      </c>
      <c r="P150" s="6" t="s">
        <v>867</v>
      </c>
      <c r="Q150" s="6" t="s">
        <v>778</v>
      </c>
      <c r="R150" s="7">
        <v>45127</v>
      </c>
      <c r="S150" s="4" t="str">
        <f t="shared" ca="1" si="14"/>
        <v>PKWT</v>
      </c>
      <c r="T150" s="10">
        <f t="shared" ca="1" si="15"/>
        <v>3</v>
      </c>
      <c r="U150" s="7">
        <f t="shared" ca="1" si="16"/>
        <v>46953</v>
      </c>
      <c r="V150" s="7">
        <v>46222</v>
      </c>
      <c r="W150" s="7" t="s">
        <v>2673</v>
      </c>
      <c r="X150" s="4" t="str">
        <f t="shared" ca="1" si="17"/>
        <v>Non-Active</v>
      </c>
      <c r="Y150" s="6" t="s">
        <v>657</v>
      </c>
      <c r="Z150" s="6" t="s">
        <v>669</v>
      </c>
      <c r="AA150" s="6" t="s">
        <v>670</v>
      </c>
      <c r="AC150" s="6" t="s">
        <v>1653</v>
      </c>
      <c r="AD150" s="6" t="s">
        <v>1654</v>
      </c>
      <c r="AE150" s="6" t="s">
        <v>847</v>
      </c>
      <c r="AF150" s="6" t="s">
        <v>1655</v>
      </c>
    </row>
    <row r="151" spans="1:32" x14ac:dyDescent="0.35">
      <c r="A151" s="5">
        <f t="shared" si="12"/>
        <v>202244751</v>
      </c>
      <c r="B151" s="5" t="s">
        <v>163</v>
      </c>
      <c r="C151" s="5" t="s">
        <v>474</v>
      </c>
      <c r="D151" s="6" t="s">
        <v>1656</v>
      </c>
      <c r="E151" s="6" t="s">
        <v>648</v>
      </c>
      <c r="F151" s="6" t="s">
        <v>664</v>
      </c>
      <c r="G151" s="6" t="s">
        <v>2664</v>
      </c>
      <c r="H151" s="1" t="s">
        <v>2692</v>
      </c>
      <c r="I151" s="7">
        <v>28031</v>
      </c>
      <c r="J151" s="6">
        <f t="shared" ca="1" si="13"/>
        <v>49</v>
      </c>
      <c r="K151" s="6" t="s">
        <v>791</v>
      </c>
      <c r="L151" s="6" t="s">
        <v>666</v>
      </c>
      <c r="M151" s="6" t="s">
        <v>701</v>
      </c>
      <c r="N151" s="6" t="s">
        <v>653</v>
      </c>
      <c r="O151" s="6" t="s">
        <v>1657</v>
      </c>
      <c r="P151" s="6" t="s">
        <v>1658</v>
      </c>
      <c r="Q151" s="6" t="s">
        <v>694</v>
      </c>
      <c r="R151" s="7">
        <v>44751</v>
      </c>
      <c r="S151" s="4" t="str">
        <f t="shared" ca="1" si="14"/>
        <v>PKWT</v>
      </c>
      <c r="T151" s="10">
        <f t="shared" ca="1" si="15"/>
        <v>3</v>
      </c>
      <c r="U151" s="7">
        <f t="shared" ca="1" si="16"/>
        <v>46576</v>
      </c>
      <c r="V151" s="7"/>
      <c r="W151" s="7"/>
      <c r="X151" s="4" t="str">
        <f t="shared" ca="1" si="17"/>
        <v>Active</v>
      </c>
      <c r="Y151" s="6" t="s">
        <v>681</v>
      </c>
      <c r="Z151" s="6" t="s">
        <v>759</v>
      </c>
      <c r="AA151" s="6" t="s">
        <v>659</v>
      </c>
      <c r="AC151" s="6" t="s">
        <v>1660</v>
      </c>
      <c r="AD151" s="6" t="s">
        <v>1661</v>
      </c>
      <c r="AE151" s="6" t="s">
        <v>847</v>
      </c>
      <c r="AF151" s="6" t="s">
        <v>1662</v>
      </c>
    </row>
    <row r="152" spans="1:32" x14ac:dyDescent="0.35">
      <c r="A152" s="5">
        <f t="shared" si="12"/>
        <v>202144360</v>
      </c>
      <c r="B152" s="5" t="s">
        <v>164</v>
      </c>
      <c r="C152" s="5" t="s">
        <v>475</v>
      </c>
      <c r="D152" s="6" t="s">
        <v>1663</v>
      </c>
      <c r="E152" s="6" t="s">
        <v>648</v>
      </c>
      <c r="F152" s="6" t="s">
        <v>649</v>
      </c>
      <c r="G152" s="6" t="s">
        <v>2695</v>
      </c>
      <c r="H152" s="6" t="s">
        <v>2696</v>
      </c>
      <c r="I152" s="7">
        <v>29973</v>
      </c>
      <c r="J152" s="6">
        <f t="shared" ca="1" si="13"/>
        <v>44</v>
      </c>
      <c r="K152" s="6" t="s">
        <v>650</v>
      </c>
      <c r="L152" s="6" t="s">
        <v>2660</v>
      </c>
      <c r="M152" s="6" t="s">
        <v>691</v>
      </c>
      <c r="N152" s="6" t="s">
        <v>653</v>
      </c>
      <c r="O152" s="6" t="s">
        <v>1664</v>
      </c>
      <c r="P152" s="6" t="s">
        <v>1665</v>
      </c>
      <c r="Q152" s="6" t="s">
        <v>656</v>
      </c>
      <c r="R152" s="7">
        <v>44360</v>
      </c>
      <c r="S152" s="4" t="str">
        <f t="shared" ca="1" si="14"/>
        <v>PKWTT</v>
      </c>
      <c r="T152" s="10" t="str">
        <f t="shared" ca="1" si="15"/>
        <v/>
      </c>
      <c r="U152" s="7" t="str">
        <f t="shared" ca="1" si="16"/>
        <v/>
      </c>
      <c r="V152" s="7"/>
      <c r="W152" s="7"/>
      <c r="X152" s="4" t="str">
        <f t="shared" ca="1" si="17"/>
        <v>Active</v>
      </c>
      <c r="Y152" s="6" t="s">
        <v>657</v>
      </c>
      <c r="Z152" s="6" t="s">
        <v>916</v>
      </c>
      <c r="AA152" s="6" t="s">
        <v>659</v>
      </c>
      <c r="AC152" s="6" t="s">
        <v>1667</v>
      </c>
      <c r="AD152" s="6" t="s">
        <v>1668</v>
      </c>
      <c r="AE152" s="6" t="s">
        <v>847</v>
      </c>
      <c r="AF152" s="6" t="s">
        <v>1669</v>
      </c>
    </row>
    <row r="153" spans="1:32" x14ac:dyDescent="0.35">
      <c r="A153" s="5">
        <f t="shared" si="12"/>
        <v>201642724</v>
      </c>
      <c r="B153" s="5" t="s">
        <v>165</v>
      </c>
      <c r="C153" s="5" t="s">
        <v>476</v>
      </c>
      <c r="D153" s="6" t="s">
        <v>2658</v>
      </c>
      <c r="E153" s="6" t="s">
        <v>648</v>
      </c>
      <c r="F153" s="6" t="s">
        <v>738</v>
      </c>
      <c r="G153" s="6" t="s">
        <v>2664</v>
      </c>
      <c r="H153" s="1" t="s">
        <v>2692</v>
      </c>
      <c r="I153" s="7">
        <v>33679</v>
      </c>
      <c r="J153" s="6">
        <f t="shared" ca="1" si="13"/>
        <v>34</v>
      </c>
      <c r="K153" s="6" t="s">
        <v>791</v>
      </c>
      <c r="L153" s="6" t="s">
        <v>2660</v>
      </c>
      <c r="M153" s="6" t="s">
        <v>677</v>
      </c>
      <c r="N153" s="6" t="s">
        <v>653</v>
      </c>
      <c r="O153" s="6" t="s">
        <v>1672</v>
      </c>
      <c r="P153" s="6" t="s">
        <v>1673</v>
      </c>
      <c r="Q153" s="6" t="s">
        <v>731</v>
      </c>
      <c r="R153" s="7">
        <v>42724</v>
      </c>
      <c r="S153" s="4" t="str">
        <f t="shared" ca="1" si="14"/>
        <v>PKWTT</v>
      </c>
      <c r="T153" s="10" t="str">
        <f t="shared" ca="1" si="15"/>
        <v/>
      </c>
      <c r="U153" s="7" t="str">
        <f t="shared" ca="1" si="16"/>
        <v/>
      </c>
      <c r="V153" s="7"/>
      <c r="W153" s="7"/>
      <c r="X153" s="4" t="str">
        <f t="shared" ca="1" si="17"/>
        <v>Active</v>
      </c>
      <c r="Y153" s="6" t="s">
        <v>2643</v>
      </c>
      <c r="Z153" s="6" t="s">
        <v>695</v>
      </c>
      <c r="AA153" s="6" t="s">
        <v>683</v>
      </c>
      <c r="AC153" s="6" t="s">
        <v>1675</v>
      </c>
      <c r="AD153" s="6" t="s">
        <v>1676</v>
      </c>
      <c r="AE153" s="6" t="s">
        <v>847</v>
      </c>
      <c r="AF153" s="6" t="s">
        <v>1677</v>
      </c>
    </row>
    <row r="154" spans="1:32" x14ac:dyDescent="0.35">
      <c r="A154" s="5">
        <f t="shared" si="12"/>
        <v>202043986</v>
      </c>
      <c r="B154" s="5" t="s">
        <v>166</v>
      </c>
      <c r="C154" s="5" t="s">
        <v>477</v>
      </c>
      <c r="D154" s="6" t="s">
        <v>921</v>
      </c>
      <c r="E154" s="6" t="s">
        <v>648</v>
      </c>
      <c r="F154" s="6" t="s">
        <v>649</v>
      </c>
      <c r="G154" s="6" t="s">
        <v>2664</v>
      </c>
      <c r="H154" s="1" t="s">
        <v>2692</v>
      </c>
      <c r="I154" s="7">
        <v>33257</v>
      </c>
      <c r="J154" s="6">
        <f t="shared" ca="1" si="13"/>
        <v>35</v>
      </c>
      <c r="K154" s="6" t="s">
        <v>690</v>
      </c>
      <c r="L154" s="6" t="s">
        <v>666</v>
      </c>
      <c r="M154" s="6" t="s">
        <v>652</v>
      </c>
      <c r="N154" s="6" t="s">
        <v>653</v>
      </c>
      <c r="O154" s="6" t="s">
        <v>1678</v>
      </c>
      <c r="P154" s="6" t="s">
        <v>922</v>
      </c>
      <c r="Q154" s="6" t="s">
        <v>818</v>
      </c>
      <c r="R154" s="7">
        <v>43986</v>
      </c>
      <c r="S154" s="4" t="str">
        <f t="shared" ca="1" si="14"/>
        <v>PKWTT</v>
      </c>
      <c r="T154" s="10" t="str">
        <f t="shared" ca="1" si="15"/>
        <v/>
      </c>
      <c r="U154" s="7" t="str">
        <f t="shared" ca="1" si="16"/>
        <v/>
      </c>
      <c r="V154" s="7"/>
      <c r="W154" s="7"/>
      <c r="X154" s="4" t="str">
        <f t="shared" ca="1" si="17"/>
        <v>Active</v>
      </c>
      <c r="Y154" s="6" t="s">
        <v>2643</v>
      </c>
      <c r="Z154" s="6" t="s">
        <v>2649</v>
      </c>
      <c r="AA154" s="6" t="s">
        <v>659</v>
      </c>
      <c r="AC154" s="6" t="s">
        <v>1680</v>
      </c>
      <c r="AD154" s="6" t="s">
        <v>1681</v>
      </c>
      <c r="AE154" s="6" t="s">
        <v>847</v>
      </c>
      <c r="AF154" s="6" t="s">
        <v>1682</v>
      </c>
    </row>
    <row r="155" spans="1:32" x14ac:dyDescent="0.35">
      <c r="A155" s="5">
        <f t="shared" si="12"/>
        <v>201742748</v>
      </c>
      <c r="B155" s="5" t="s">
        <v>167</v>
      </c>
      <c r="C155" s="5" t="s">
        <v>478</v>
      </c>
      <c r="D155" s="6" t="s">
        <v>1683</v>
      </c>
      <c r="E155" s="6" t="s">
        <v>676</v>
      </c>
      <c r="F155" s="6" t="s">
        <v>768</v>
      </c>
      <c r="G155" s="6" t="s">
        <v>2664</v>
      </c>
      <c r="H155" s="1" t="s">
        <v>2692</v>
      </c>
      <c r="I155" s="7">
        <v>33232</v>
      </c>
      <c r="J155" s="6">
        <f t="shared" ca="1" si="13"/>
        <v>35</v>
      </c>
      <c r="K155" s="6" t="s">
        <v>791</v>
      </c>
      <c r="L155" s="6" t="s">
        <v>2660</v>
      </c>
      <c r="M155" s="6" t="s">
        <v>652</v>
      </c>
      <c r="N155" s="6" t="s">
        <v>653</v>
      </c>
      <c r="O155" s="6" t="s">
        <v>1684</v>
      </c>
      <c r="P155" s="6" t="s">
        <v>1685</v>
      </c>
      <c r="Q155" s="6" t="s">
        <v>656</v>
      </c>
      <c r="R155" s="7">
        <v>42748</v>
      </c>
      <c r="S155" s="4" t="str">
        <f t="shared" ca="1" si="14"/>
        <v>PKWTT</v>
      </c>
      <c r="T155" s="10" t="str">
        <f t="shared" ca="1" si="15"/>
        <v/>
      </c>
      <c r="U155" s="7" t="str">
        <f t="shared" ca="1" si="16"/>
        <v/>
      </c>
      <c r="V155" s="7"/>
      <c r="W155" s="7"/>
      <c r="X155" s="4" t="str">
        <f t="shared" ca="1" si="17"/>
        <v>Active</v>
      </c>
      <c r="Y155" s="6" t="s">
        <v>2643</v>
      </c>
      <c r="Z155" s="6" t="s">
        <v>2649</v>
      </c>
      <c r="AA155" s="6" t="s">
        <v>659</v>
      </c>
      <c r="AC155" s="6" t="s">
        <v>1687</v>
      </c>
      <c r="AD155" s="6" t="s">
        <v>1688</v>
      </c>
      <c r="AE155" s="6" t="s">
        <v>847</v>
      </c>
      <c r="AF155" s="6" t="s">
        <v>1689</v>
      </c>
    </row>
    <row r="156" spans="1:32" x14ac:dyDescent="0.35">
      <c r="A156" s="5">
        <f t="shared" si="12"/>
        <v>202044015</v>
      </c>
      <c r="B156" s="5" t="s">
        <v>168</v>
      </c>
      <c r="C156" s="5" t="s">
        <v>479</v>
      </c>
      <c r="D156" s="6" t="s">
        <v>1604</v>
      </c>
      <c r="E156" s="6" t="s">
        <v>648</v>
      </c>
      <c r="F156" s="6" t="s">
        <v>689</v>
      </c>
      <c r="G156" s="6" t="s">
        <v>2695</v>
      </c>
      <c r="H156" s="6" t="s">
        <v>2696</v>
      </c>
      <c r="I156" s="7">
        <v>33442</v>
      </c>
      <c r="J156" s="6">
        <f t="shared" ca="1" si="13"/>
        <v>35</v>
      </c>
      <c r="K156" s="6" t="s">
        <v>665</v>
      </c>
      <c r="L156" s="6" t="s">
        <v>666</v>
      </c>
      <c r="M156" s="6" t="s">
        <v>691</v>
      </c>
      <c r="N156" s="6" t="s">
        <v>653</v>
      </c>
      <c r="O156" s="6" t="s">
        <v>1690</v>
      </c>
      <c r="P156" s="6" t="s">
        <v>1606</v>
      </c>
      <c r="Q156" s="6" t="s">
        <v>694</v>
      </c>
      <c r="R156" s="7">
        <v>44015</v>
      </c>
      <c r="S156" s="4" t="str">
        <f t="shared" ca="1" si="14"/>
        <v>PKWTT</v>
      </c>
      <c r="T156" s="10" t="str">
        <f t="shared" ca="1" si="15"/>
        <v/>
      </c>
      <c r="U156" s="7" t="str">
        <f t="shared" ca="1" si="16"/>
        <v/>
      </c>
      <c r="V156" s="7"/>
      <c r="W156" s="7"/>
      <c r="X156" s="4" t="str">
        <f t="shared" ca="1" si="17"/>
        <v>Active</v>
      </c>
      <c r="Y156" s="6" t="s">
        <v>657</v>
      </c>
      <c r="Z156" s="6" t="s">
        <v>658</v>
      </c>
      <c r="AA156" s="6" t="s">
        <v>659</v>
      </c>
      <c r="AC156" s="6" t="s">
        <v>1692</v>
      </c>
      <c r="AD156" s="6" t="s">
        <v>1693</v>
      </c>
      <c r="AE156" s="6" t="s">
        <v>847</v>
      </c>
      <c r="AF156" s="6" t="s">
        <v>1694</v>
      </c>
    </row>
    <row r="157" spans="1:32" x14ac:dyDescent="0.35">
      <c r="A157" s="5">
        <f t="shared" si="12"/>
        <v>202244566</v>
      </c>
      <c r="B157" s="5" t="s">
        <v>169</v>
      </c>
      <c r="C157" s="5" t="s">
        <v>480</v>
      </c>
      <c r="D157" s="6" t="s">
        <v>1695</v>
      </c>
      <c r="E157" s="6" t="s">
        <v>648</v>
      </c>
      <c r="F157" s="6" t="s">
        <v>738</v>
      </c>
      <c r="G157" s="6" t="s">
        <v>2695</v>
      </c>
      <c r="H157" s="6" t="s">
        <v>2696</v>
      </c>
      <c r="I157" s="7">
        <v>37657</v>
      </c>
      <c r="J157" s="6">
        <f t="shared" ca="1" si="13"/>
        <v>23</v>
      </c>
      <c r="K157" s="6" t="s">
        <v>650</v>
      </c>
      <c r="L157" s="6" t="s">
        <v>666</v>
      </c>
      <c r="M157" s="6" t="s">
        <v>652</v>
      </c>
      <c r="N157" s="6" t="s">
        <v>653</v>
      </c>
      <c r="O157" s="6" t="s">
        <v>1696</v>
      </c>
      <c r="P157" s="6" t="s">
        <v>1697</v>
      </c>
      <c r="Q157" s="6" t="s">
        <v>778</v>
      </c>
      <c r="R157" s="7">
        <v>44566</v>
      </c>
      <c r="S157" s="4" t="str">
        <f t="shared" ca="1" si="14"/>
        <v>PKWT</v>
      </c>
      <c r="T157" s="10">
        <f t="shared" ca="1" si="15"/>
        <v>3</v>
      </c>
      <c r="U157" s="7">
        <f t="shared" ca="1" si="16"/>
        <v>46391</v>
      </c>
      <c r="V157" s="7"/>
      <c r="W157" s="7"/>
      <c r="X157" s="4" t="str">
        <f t="shared" ca="1" si="17"/>
        <v>Active</v>
      </c>
      <c r="Y157" s="6" t="s">
        <v>657</v>
      </c>
      <c r="Z157" s="6" t="s">
        <v>705</v>
      </c>
      <c r="AA157" s="6" t="s">
        <v>706</v>
      </c>
      <c r="AC157" s="6" t="s">
        <v>1699</v>
      </c>
      <c r="AD157" s="6" t="s">
        <v>1700</v>
      </c>
      <c r="AE157" s="6" t="s">
        <v>847</v>
      </c>
      <c r="AF157" s="6" t="s">
        <v>1701</v>
      </c>
    </row>
    <row r="158" spans="1:32" x14ac:dyDescent="0.35">
      <c r="A158" s="5">
        <f t="shared" si="12"/>
        <v>202445315</v>
      </c>
      <c r="B158" s="5" t="s">
        <v>171</v>
      </c>
      <c r="C158" s="5" t="s">
        <v>482</v>
      </c>
      <c r="D158" s="6" t="s">
        <v>1515</v>
      </c>
      <c r="E158" s="6" t="s">
        <v>648</v>
      </c>
      <c r="F158" s="6" t="s">
        <v>768</v>
      </c>
      <c r="G158" s="6" t="s">
        <v>2664</v>
      </c>
      <c r="H158" s="1" t="s">
        <v>2692</v>
      </c>
      <c r="I158" s="7">
        <v>33447</v>
      </c>
      <c r="J158" s="6">
        <f t="shared" ca="1" si="13"/>
        <v>35</v>
      </c>
      <c r="K158" s="6" t="s">
        <v>650</v>
      </c>
      <c r="L158" s="6" t="s">
        <v>2660</v>
      </c>
      <c r="M158" s="6" t="s">
        <v>701</v>
      </c>
      <c r="N158" s="6" t="s">
        <v>653</v>
      </c>
      <c r="O158" s="6" t="s">
        <v>1709</v>
      </c>
      <c r="P158" s="6" t="s">
        <v>1516</v>
      </c>
      <c r="Q158" s="6" t="s">
        <v>818</v>
      </c>
      <c r="R158" s="7">
        <v>45315</v>
      </c>
      <c r="S158" s="4" t="str">
        <f t="shared" ca="1" si="14"/>
        <v>PKWT</v>
      </c>
      <c r="T158" s="10">
        <f t="shared" ca="1" si="15"/>
        <v>2</v>
      </c>
      <c r="U158" s="7">
        <f t="shared" ca="1" si="16"/>
        <v>46410</v>
      </c>
      <c r="V158" s="7"/>
      <c r="W158" s="7"/>
      <c r="X158" s="4" t="str">
        <f t="shared" ca="1" si="17"/>
        <v>Active</v>
      </c>
      <c r="Y158" s="6" t="s">
        <v>681</v>
      </c>
      <c r="Z158" s="6" t="s">
        <v>759</v>
      </c>
      <c r="AA158" s="6" t="s">
        <v>659</v>
      </c>
      <c r="AC158" s="6" t="s">
        <v>1711</v>
      </c>
      <c r="AD158" s="6" t="s">
        <v>1712</v>
      </c>
      <c r="AE158" s="6" t="s">
        <v>847</v>
      </c>
      <c r="AF158" s="6" t="s">
        <v>1713</v>
      </c>
    </row>
    <row r="159" spans="1:32" x14ac:dyDescent="0.35">
      <c r="A159" s="5">
        <f t="shared" si="12"/>
        <v>201943729</v>
      </c>
      <c r="B159" s="5" t="s">
        <v>172</v>
      </c>
      <c r="C159" s="5" t="s">
        <v>483</v>
      </c>
      <c r="D159" s="6" t="s">
        <v>1714</v>
      </c>
      <c r="E159" s="6" t="s">
        <v>648</v>
      </c>
      <c r="F159" s="6" t="s">
        <v>738</v>
      </c>
      <c r="G159" s="6" t="s">
        <v>2664</v>
      </c>
      <c r="H159" s="1" t="s">
        <v>2692</v>
      </c>
      <c r="I159" s="7">
        <v>34958</v>
      </c>
      <c r="J159" s="6">
        <f t="shared" ca="1" si="13"/>
        <v>30</v>
      </c>
      <c r="K159" s="6" t="s">
        <v>665</v>
      </c>
      <c r="L159" s="6" t="s">
        <v>2660</v>
      </c>
      <c r="M159" s="6" t="s">
        <v>691</v>
      </c>
      <c r="N159" s="6" t="s">
        <v>653</v>
      </c>
      <c r="O159" s="6" t="s">
        <v>1715</v>
      </c>
      <c r="P159" s="6" t="s">
        <v>1716</v>
      </c>
      <c r="Q159" s="6" t="s">
        <v>656</v>
      </c>
      <c r="R159" s="7">
        <v>43729</v>
      </c>
      <c r="S159" s="4" t="str">
        <f t="shared" ca="1" si="14"/>
        <v>PKWTT</v>
      </c>
      <c r="T159" s="10" t="str">
        <f t="shared" ca="1" si="15"/>
        <v/>
      </c>
      <c r="U159" s="7" t="str">
        <f t="shared" ca="1" si="16"/>
        <v/>
      </c>
      <c r="V159" s="7"/>
      <c r="W159" s="7"/>
      <c r="X159" s="4" t="str">
        <f t="shared" ca="1" si="17"/>
        <v>Active</v>
      </c>
      <c r="Y159" s="6" t="s">
        <v>794</v>
      </c>
      <c r="Z159" s="6" t="s">
        <v>2632</v>
      </c>
      <c r="AA159" s="6" t="s">
        <v>659</v>
      </c>
      <c r="AC159" s="6" t="s">
        <v>1718</v>
      </c>
      <c r="AD159" s="6" t="s">
        <v>1719</v>
      </c>
      <c r="AE159" s="6" t="s">
        <v>847</v>
      </c>
      <c r="AF159" s="6" t="s">
        <v>1720</v>
      </c>
    </row>
    <row r="160" spans="1:32" x14ac:dyDescent="0.35">
      <c r="A160" s="5">
        <f t="shared" si="12"/>
        <v>202545795</v>
      </c>
      <c r="B160" s="5" t="s">
        <v>174</v>
      </c>
      <c r="C160" s="5" t="s">
        <v>485</v>
      </c>
      <c r="D160" s="6" t="s">
        <v>1375</v>
      </c>
      <c r="E160" s="6" t="s">
        <v>648</v>
      </c>
      <c r="F160" s="6" t="s">
        <v>768</v>
      </c>
      <c r="G160" s="6" t="s">
        <v>2664</v>
      </c>
      <c r="H160" s="1" t="s">
        <v>2692</v>
      </c>
      <c r="I160" s="7">
        <v>35542</v>
      </c>
      <c r="J160" s="6">
        <f t="shared" ca="1" si="13"/>
        <v>29</v>
      </c>
      <c r="K160" s="6" t="s">
        <v>665</v>
      </c>
      <c r="L160" s="6" t="s">
        <v>2660</v>
      </c>
      <c r="M160" s="6" t="s">
        <v>677</v>
      </c>
      <c r="N160" s="6" t="s">
        <v>653</v>
      </c>
      <c r="O160" s="6" t="s">
        <v>1728</v>
      </c>
      <c r="P160" s="6" t="s">
        <v>1377</v>
      </c>
      <c r="Q160" s="6" t="s">
        <v>778</v>
      </c>
      <c r="R160" s="7">
        <v>45795</v>
      </c>
      <c r="S160" s="4" t="str">
        <f t="shared" ca="1" si="14"/>
        <v>PKWT</v>
      </c>
      <c r="T160" s="10">
        <f t="shared" ca="1" si="15"/>
        <v>2</v>
      </c>
      <c r="U160" s="7">
        <f t="shared" ca="1" si="16"/>
        <v>46890</v>
      </c>
      <c r="V160" s="7"/>
      <c r="W160" s="7"/>
      <c r="X160" s="4" t="str">
        <f t="shared" ca="1" si="17"/>
        <v>Active</v>
      </c>
      <c r="Y160" s="6" t="s">
        <v>681</v>
      </c>
      <c r="Z160" s="6" t="s">
        <v>759</v>
      </c>
      <c r="AA160" s="6" t="s">
        <v>659</v>
      </c>
      <c r="AC160" s="6" t="s">
        <v>1730</v>
      </c>
      <c r="AD160" s="6" t="s">
        <v>1731</v>
      </c>
      <c r="AE160" s="6" t="s">
        <v>847</v>
      </c>
      <c r="AF160" s="6" t="s">
        <v>1732</v>
      </c>
    </row>
    <row r="161" spans="1:32" x14ac:dyDescent="0.35">
      <c r="A161" s="5">
        <f t="shared" si="12"/>
        <v>201642614</v>
      </c>
      <c r="B161" s="5" t="s">
        <v>175</v>
      </c>
      <c r="C161" s="5" t="s">
        <v>486</v>
      </c>
      <c r="D161" s="6" t="s">
        <v>1051</v>
      </c>
      <c r="E161" s="6" t="s">
        <v>648</v>
      </c>
      <c r="F161" s="6" t="s">
        <v>664</v>
      </c>
      <c r="G161" s="6" t="s">
        <v>2695</v>
      </c>
      <c r="H161" s="6" t="s">
        <v>2696</v>
      </c>
      <c r="I161" s="7">
        <v>29117</v>
      </c>
      <c r="J161" s="6">
        <f t="shared" ca="1" si="13"/>
        <v>46</v>
      </c>
      <c r="K161" s="6" t="s">
        <v>690</v>
      </c>
      <c r="L161" s="6" t="s">
        <v>666</v>
      </c>
      <c r="M161" s="6" t="s">
        <v>691</v>
      </c>
      <c r="N161" s="6" t="s">
        <v>653</v>
      </c>
      <c r="O161" s="6" t="s">
        <v>1733</v>
      </c>
      <c r="P161" s="6" t="s">
        <v>1053</v>
      </c>
      <c r="Q161" s="6" t="s">
        <v>704</v>
      </c>
      <c r="R161" s="7">
        <v>42614</v>
      </c>
      <c r="S161" s="4" t="str">
        <f t="shared" ca="1" si="14"/>
        <v>PKWTT</v>
      </c>
      <c r="T161" s="10" t="str">
        <f t="shared" ca="1" si="15"/>
        <v/>
      </c>
      <c r="U161" s="7" t="str">
        <f t="shared" ca="1" si="16"/>
        <v/>
      </c>
      <c r="V161" s="7"/>
      <c r="W161" s="7"/>
      <c r="X161" s="4" t="str">
        <f t="shared" ca="1" si="17"/>
        <v>Active</v>
      </c>
      <c r="Y161" s="6" t="s">
        <v>657</v>
      </c>
      <c r="Z161" s="6" t="s">
        <v>669</v>
      </c>
      <c r="AA161" s="6" t="s">
        <v>670</v>
      </c>
      <c r="AC161" s="6" t="s">
        <v>1735</v>
      </c>
      <c r="AD161" s="6" t="s">
        <v>1736</v>
      </c>
      <c r="AE161" s="6" t="s">
        <v>847</v>
      </c>
      <c r="AF161" s="6" t="s">
        <v>1737</v>
      </c>
    </row>
    <row r="162" spans="1:32" x14ac:dyDescent="0.35">
      <c r="A162" s="5">
        <f t="shared" si="12"/>
        <v>201742739</v>
      </c>
      <c r="B162" s="5" t="s">
        <v>176</v>
      </c>
      <c r="C162" s="5" t="s">
        <v>487</v>
      </c>
      <c r="D162" s="6" t="s">
        <v>1427</v>
      </c>
      <c r="E162" s="6" t="s">
        <v>648</v>
      </c>
      <c r="F162" s="6" t="s">
        <v>809</v>
      </c>
      <c r="G162" s="6" t="s">
        <v>2664</v>
      </c>
      <c r="H162" s="1" t="s">
        <v>2692</v>
      </c>
      <c r="I162" s="7">
        <v>32313</v>
      </c>
      <c r="J162" s="6">
        <f t="shared" ca="1" si="13"/>
        <v>38</v>
      </c>
      <c r="K162" s="6" t="s">
        <v>650</v>
      </c>
      <c r="L162" s="6" t="s">
        <v>666</v>
      </c>
      <c r="M162" s="6" t="s">
        <v>701</v>
      </c>
      <c r="N162" s="6" t="s">
        <v>653</v>
      </c>
      <c r="O162" s="6" t="s">
        <v>1738</v>
      </c>
      <c r="P162" s="6" t="s">
        <v>1429</v>
      </c>
      <c r="Q162" s="6" t="s">
        <v>778</v>
      </c>
      <c r="R162" s="7">
        <v>42739</v>
      </c>
      <c r="S162" s="4" t="str">
        <f t="shared" ca="1" si="14"/>
        <v>PKWTT</v>
      </c>
      <c r="T162" s="10" t="str">
        <f t="shared" ca="1" si="15"/>
        <v/>
      </c>
      <c r="U162" s="7" t="str">
        <f t="shared" ca="1" si="16"/>
        <v/>
      </c>
      <c r="V162" s="7"/>
      <c r="W162" s="7"/>
      <c r="X162" s="4" t="str">
        <f t="shared" ca="1" si="17"/>
        <v>Active</v>
      </c>
      <c r="Y162" s="6" t="s">
        <v>794</v>
      </c>
      <c r="Z162" s="6" t="s">
        <v>2632</v>
      </c>
      <c r="AA162" s="6" t="s">
        <v>659</v>
      </c>
      <c r="AC162" s="6" t="s">
        <v>1740</v>
      </c>
      <c r="AD162" s="6" t="s">
        <v>1741</v>
      </c>
      <c r="AE162" s="6" t="s">
        <v>847</v>
      </c>
      <c r="AF162" s="6" t="s">
        <v>1742</v>
      </c>
    </row>
    <row r="163" spans="1:32" x14ac:dyDescent="0.35">
      <c r="A163" s="5">
        <f t="shared" si="12"/>
        <v>202144287</v>
      </c>
      <c r="B163" s="5" t="s">
        <v>177</v>
      </c>
      <c r="C163" s="5" t="s">
        <v>488</v>
      </c>
      <c r="D163" s="6" t="s">
        <v>1743</v>
      </c>
      <c r="E163" s="6" t="s">
        <v>648</v>
      </c>
      <c r="F163" s="6" t="s">
        <v>738</v>
      </c>
      <c r="G163" s="6" t="s">
        <v>2664</v>
      </c>
      <c r="H163" s="1" t="s">
        <v>2692</v>
      </c>
      <c r="I163" s="7">
        <v>29857</v>
      </c>
      <c r="J163" s="6">
        <f t="shared" ca="1" si="13"/>
        <v>44</v>
      </c>
      <c r="K163" s="6" t="s">
        <v>791</v>
      </c>
      <c r="L163" s="6" t="s">
        <v>2660</v>
      </c>
      <c r="M163" s="6" t="s">
        <v>701</v>
      </c>
      <c r="N163" s="6" t="s">
        <v>653</v>
      </c>
      <c r="O163" s="6" t="s">
        <v>1744</v>
      </c>
      <c r="P163" s="6" t="s">
        <v>1745</v>
      </c>
      <c r="Q163" s="6" t="s">
        <v>818</v>
      </c>
      <c r="R163" s="7">
        <v>44287</v>
      </c>
      <c r="S163" s="4" t="str">
        <f t="shared" ca="1" si="14"/>
        <v>PKWTT</v>
      </c>
      <c r="T163" s="10" t="str">
        <f t="shared" ca="1" si="15"/>
        <v/>
      </c>
      <c r="U163" s="7" t="str">
        <f t="shared" ca="1" si="16"/>
        <v/>
      </c>
      <c r="V163" s="7"/>
      <c r="W163" s="7"/>
      <c r="X163" s="4" t="str">
        <f t="shared" ca="1" si="17"/>
        <v>Active</v>
      </c>
      <c r="Y163" s="6" t="s">
        <v>714</v>
      </c>
      <c r="Z163" s="6" t="s">
        <v>715</v>
      </c>
      <c r="AA163" s="6" t="s">
        <v>659</v>
      </c>
      <c r="AC163" s="6" t="s">
        <v>1747</v>
      </c>
      <c r="AD163" s="6" t="s">
        <v>1748</v>
      </c>
      <c r="AE163" s="6" t="s">
        <v>847</v>
      </c>
      <c r="AF163" s="6" t="s">
        <v>1749</v>
      </c>
    </row>
    <row r="164" spans="1:32" x14ac:dyDescent="0.35">
      <c r="A164" s="5">
        <f t="shared" si="12"/>
        <v>201843428</v>
      </c>
      <c r="B164" s="5" t="s">
        <v>178</v>
      </c>
      <c r="C164" s="5" t="s">
        <v>489</v>
      </c>
      <c r="D164" s="6" t="s">
        <v>1721</v>
      </c>
      <c r="E164" s="6" t="s">
        <v>676</v>
      </c>
      <c r="F164" s="6" t="s">
        <v>664</v>
      </c>
      <c r="G164" s="6" t="s">
        <v>2695</v>
      </c>
      <c r="H164" s="6" t="s">
        <v>2696</v>
      </c>
      <c r="I164" s="7">
        <v>37082</v>
      </c>
      <c r="J164" s="6">
        <f t="shared" ca="1" si="13"/>
        <v>25</v>
      </c>
      <c r="K164" s="6" t="s">
        <v>791</v>
      </c>
      <c r="L164" s="6" t="s">
        <v>666</v>
      </c>
      <c r="M164" s="6" t="s">
        <v>691</v>
      </c>
      <c r="N164" s="6" t="s">
        <v>653</v>
      </c>
      <c r="O164" s="6" t="s">
        <v>1752</v>
      </c>
      <c r="P164" s="6" t="s">
        <v>1722</v>
      </c>
      <c r="Q164" s="6" t="s">
        <v>778</v>
      </c>
      <c r="R164" s="7">
        <v>43428</v>
      </c>
      <c r="S164" s="4" t="str">
        <f t="shared" ca="1" si="14"/>
        <v>PKWTT</v>
      </c>
      <c r="T164" s="10" t="str">
        <f t="shared" ca="1" si="15"/>
        <v/>
      </c>
      <c r="U164" s="7" t="str">
        <f t="shared" ca="1" si="16"/>
        <v/>
      </c>
      <c r="V164" s="7"/>
      <c r="W164" s="7"/>
      <c r="X164" s="4" t="str">
        <f t="shared" ca="1" si="17"/>
        <v>Active</v>
      </c>
      <c r="Y164" s="6" t="s">
        <v>657</v>
      </c>
      <c r="Z164" s="6" t="s">
        <v>705</v>
      </c>
      <c r="AA164" s="6" t="s">
        <v>706</v>
      </c>
      <c r="AC164" s="6" t="s">
        <v>1754</v>
      </c>
      <c r="AD164" s="6" t="s">
        <v>1755</v>
      </c>
      <c r="AE164" s="6" t="s">
        <v>847</v>
      </c>
      <c r="AF164" s="6" t="s">
        <v>1756</v>
      </c>
    </row>
    <row r="165" spans="1:32" x14ac:dyDescent="0.35">
      <c r="A165" s="5">
        <f t="shared" si="12"/>
        <v>201642680</v>
      </c>
      <c r="B165" s="5" t="s">
        <v>131</v>
      </c>
      <c r="C165" s="5" t="s">
        <v>442</v>
      </c>
      <c r="D165" s="6" t="s">
        <v>1332</v>
      </c>
      <c r="E165" s="6" t="s">
        <v>648</v>
      </c>
      <c r="F165" s="6" t="s">
        <v>768</v>
      </c>
      <c r="G165" s="6" t="s">
        <v>2664</v>
      </c>
      <c r="H165" s="1" t="s">
        <v>2692</v>
      </c>
      <c r="I165" s="7">
        <v>34608</v>
      </c>
      <c r="J165" s="6">
        <f t="shared" ca="1" si="13"/>
        <v>31</v>
      </c>
      <c r="K165" s="6" t="s">
        <v>791</v>
      </c>
      <c r="L165" s="6" t="s">
        <v>2660</v>
      </c>
      <c r="M165" s="6" t="s">
        <v>701</v>
      </c>
      <c r="N165" s="6" t="s">
        <v>653</v>
      </c>
      <c r="O165" s="6" t="s">
        <v>1464</v>
      </c>
      <c r="P165" s="6" t="s">
        <v>1334</v>
      </c>
      <c r="Q165" s="6" t="s">
        <v>694</v>
      </c>
      <c r="R165" s="7">
        <v>42680</v>
      </c>
      <c r="S165" s="4" t="str">
        <f t="shared" ca="1" si="14"/>
        <v>PKWTT</v>
      </c>
      <c r="T165" s="10" t="str">
        <f t="shared" ca="1" si="15"/>
        <v/>
      </c>
      <c r="U165" s="7" t="str">
        <f t="shared" ca="1" si="16"/>
        <v/>
      </c>
      <c r="V165" s="7"/>
      <c r="W165" s="7"/>
      <c r="X165" s="4" t="str">
        <f t="shared" ca="1" si="17"/>
        <v>Active</v>
      </c>
      <c r="Y165" s="6" t="s">
        <v>794</v>
      </c>
      <c r="Z165" s="6" t="s">
        <v>2631</v>
      </c>
      <c r="AA165" s="6" t="s">
        <v>659</v>
      </c>
      <c r="AC165" s="6" t="s">
        <v>1466</v>
      </c>
      <c r="AD165" s="6" t="s">
        <v>1467</v>
      </c>
      <c r="AE165" s="6" t="s">
        <v>847</v>
      </c>
      <c r="AF165" s="6" t="s">
        <v>1468</v>
      </c>
    </row>
    <row r="166" spans="1:32" x14ac:dyDescent="0.35">
      <c r="A166" s="5">
        <f t="shared" si="12"/>
        <v>201642388</v>
      </c>
      <c r="B166" s="5" t="s">
        <v>180</v>
      </c>
      <c r="C166" s="5" t="s">
        <v>491</v>
      </c>
      <c r="D166" s="6" t="s">
        <v>1764</v>
      </c>
      <c r="E166" s="6" t="s">
        <v>648</v>
      </c>
      <c r="F166" s="6" t="s">
        <v>664</v>
      </c>
      <c r="G166" s="6" t="s">
        <v>2664</v>
      </c>
      <c r="H166" s="6" t="s">
        <v>2692</v>
      </c>
      <c r="I166" s="7">
        <v>27481</v>
      </c>
      <c r="J166" s="6">
        <f t="shared" ca="1" si="13"/>
        <v>51</v>
      </c>
      <c r="K166" s="6" t="s">
        <v>791</v>
      </c>
      <c r="L166" s="6" t="s">
        <v>666</v>
      </c>
      <c r="M166" s="6" t="s">
        <v>691</v>
      </c>
      <c r="N166" s="6" t="s">
        <v>653</v>
      </c>
      <c r="O166" s="6" t="s">
        <v>1765</v>
      </c>
      <c r="P166" s="6" t="s">
        <v>1766</v>
      </c>
      <c r="Q166" s="6" t="s">
        <v>818</v>
      </c>
      <c r="R166" s="7">
        <v>42388</v>
      </c>
      <c r="S166" s="4" t="str">
        <f t="shared" ca="1" si="14"/>
        <v>PKWTT</v>
      </c>
      <c r="T166" s="10" t="str">
        <f t="shared" ca="1" si="15"/>
        <v/>
      </c>
      <c r="U166" s="7" t="str">
        <f t="shared" ca="1" si="16"/>
        <v/>
      </c>
      <c r="V166" s="7"/>
      <c r="W166" s="7"/>
      <c r="X166" s="4" t="str">
        <f t="shared" ca="1" si="17"/>
        <v>Active</v>
      </c>
      <c r="Y166" s="6" t="s">
        <v>732</v>
      </c>
      <c r="Z166" s="6" t="s">
        <v>733</v>
      </c>
      <c r="AA166" s="6" t="s">
        <v>659</v>
      </c>
      <c r="AC166" s="6" t="s">
        <v>1768</v>
      </c>
      <c r="AD166" s="6" t="s">
        <v>1769</v>
      </c>
      <c r="AE166" s="6" t="s">
        <v>847</v>
      </c>
      <c r="AF166" s="6" t="s">
        <v>1770</v>
      </c>
    </row>
    <row r="167" spans="1:32" x14ac:dyDescent="0.35">
      <c r="A167" s="5">
        <f t="shared" si="12"/>
        <v>202344981</v>
      </c>
      <c r="B167" s="5" t="s">
        <v>181</v>
      </c>
      <c r="C167" s="5" t="s">
        <v>492</v>
      </c>
      <c r="D167" s="6" t="s">
        <v>1452</v>
      </c>
      <c r="E167" s="6" t="s">
        <v>648</v>
      </c>
      <c r="F167" s="6" t="s">
        <v>664</v>
      </c>
      <c r="G167" s="6" t="s">
        <v>2664</v>
      </c>
      <c r="H167" s="6" t="s">
        <v>2692</v>
      </c>
      <c r="I167" s="7">
        <v>31452</v>
      </c>
      <c r="J167" s="6">
        <f t="shared" ca="1" si="13"/>
        <v>40</v>
      </c>
      <c r="K167" s="6" t="s">
        <v>791</v>
      </c>
      <c r="L167" s="6" t="s">
        <v>666</v>
      </c>
      <c r="M167" s="6" t="s">
        <v>691</v>
      </c>
      <c r="N167" s="6" t="s">
        <v>653</v>
      </c>
      <c r="O167" s="6" t="s">
        <v>1771</v>
      </c>
      <c r="P167" s="6" t="s">
        <v>1454</v>
      </c>
      <c r="Q167" s="6" t="s">
        <v>694</v>
      </c>
      <c r="R167" s="7">
        <v>44981</v>
      </c>
      <c r="S167" s="4" t="str">
        <f t="shared" ca="1" si="14"/>
        <v>PKWT</v>
      </c>
      <c r="T167" s="10">
        <f t="shared" ca="1" si="15"/>
        <v>3</v>
      </c>
      <c r="U167" s="7">
        <f t="shared" ca="1" si="16"/>
        <v>46806</v>
      </c>
      <c r="V167" s="7"/>
      <c r="W167" s="7"/>
      <c r="X167" s="4" t="str">
        <f t="shared" ca="1" si="17"/>
        <v>Active</v>
      </c>
      <c r="Y167" s="6" t="s">
        <v>732</v>
      </c>
      <c r="Z167" s="6" t="s">
        <v>733</v>
      </c>
      <c r="AA167" s="6" t="s">
        <v>659</v>
      </c>
      <c r="AC167" s="6" t="s">
        <v>1773</v>
      </c>
      <c r="AD167" s="6" t="s">
        <v>1774</v>
      </c>
      <c r="AE167" s="6" t="s">
        <v>847</v>
      </c>
      <c r="AF167" s="6" t="s">
        <v>1775</v>
      </c>
    </row>
    <row r="168" spans="1:32" x14ac:dyDescent="0.35">
      <c r="A168" s="5">
        <f t="shared" si="12"/>
        <v>201943679</v>
      </c>
      <c r="B168" s="5" t="s">
        <v>182</v>
      </c>
      <c r="C168" s="5" t="s">
        <v>493</v>
      </c>
      <c r="D168" s="6" t="s">
        <v>1776</v>
      </c>
      <c r="E168" s="6" t="s">
        <v>648</v>
      </c>
      <c r="F168" s="6" t="s">
        <v>664</v>
      </c>
      <c r="G168" s="6" t="s">
        <v>2695</v>
      </c>
      <c r="H168" s="6" t="s">
        <v>2696</v>
      </c>
      <c r="I168" s="7">
        <v>30937</v>
      </c>
      <c r="J168" s="6">
        <f t="shared" ca="1" si="13"/>
        <v>41</v>
      </c>
      <c r="K168" s="6" t="s">
        <v>791</v>
      </c>
      <c r="L168" s="6" t="s">
        <v>666</v>
      </c>
      <c r="M168" s="6" t="s">
        <v>701</v>
      </c>
      <c r="N168" s="6" t="s">
        <v>653</v>
      </c>
      <c r="O168" s="6" t="s">
        <v>1777</v>
      </c>
      <c r="P168" s="6" t="s">
        <v>1778</v>
      </c>
      <c r="Q168" s="6" t="s">
        <v>731</v>
      </c>
      <c r="R168" s="7">
        <v>43679</v>
      </c>
      <c r="S168" s="4" t="str">
        <f t="shared" ca="1" si="14"/>
        <v>PKWTT</v>
      </c>
      <c r="T168" s="10" t="str">
        <f t="shared" ca="1" si="15"/>
        <v/>
      </c>
      <c r="U168" s="7" t="str">
        <f t="shared" ca="1" si="16"/>
        <v/>
      </c>
      <c r="V168" s="7"/>
      <c r="W168" s="7"/>
      <c r="X168" s="4" t="str">
        <f t="shared" ca="1" si="17"/>
        <v>Active</v>
      </c>
      <c r="Y168" s="6" t="s">
        <v>657</v>
      </c>
      <c r="Z168" s="6" t="s">
        <v>669</v>
      </c>
      <c r="AA168" s="6" t="s">
        <v>670</v>
      </c>
      <c r="AC168" s="6" t="s">
        <v>1780</v>
      </c>
      <c r="AD168" s="6" t="s">
        <v>1781</v>
      </c>
      <c r="AE168" s="6" t="s">
        <v>847</v>
      </c>
      <c r="AF168" s="6" t="s">
        <v>1782</v>
      </c>
    </row>
    <row r="169" spans="1:32" x14ac:dyDescent="0.35">
      <c r="A169" s="5">
        <f t="shared" si="12"/>
        <v>202044084</v>
      </c>
      <c r="B169" s="5" t="s">
        <v>183</v>
      </c>
      <c r="C169" s="5" t="s">
        <v>494</v>
      </c>
      <c r="D169" s="6" t="s">
        <v>1368</v>
      </c>
      <c r="E169" s="6" t="s">
        <v>676</v>
      </c>
      <c r="F169" s="6" t="s">
        <v>649</v>
      </c>
      <c r="G169" s="6" t="s">
        <v>2695</v>
      </c>
      <c r="H169" s="6" t="s">
        <v>2696</v>
      </c>
      <c r="I169" s="7">
        <v>30025</v>
      </c>
      <c r="J169" s="6">
        <f t="shared" ca="1" si="13"/>
        <v>44</v>
      </c>
      <c r="K169" s="6" t="s">
        <v>791</v>
      </c>
      <c r="L169" s="6" t="s">
        <v>2660</v>
      </c>
      <c r="M169" s="6" t="s">
        <v>652</v>
      </c>
      <c r="N169" s="6" t="s">
        <v>653</v>
      </c>
      <c r="O169" s="6" t="s">
        <v>1783</v>
      </c>
      <c r="P169" s="6" t="s">
        <v>1369</v>
      </c>
      <c r="Q169" s="6" t="s">
        <v>680</v>
      </c>
      <c r="R169" s="7">
        <v>44084</v>
      </c>
      <c r="S169" s="4" t="str">
        <f t="shared" ca="1" si="14"/>
        <v>PKWTT</v>
      </c>
      <c r="T169" s="10" t="str">
        <f t="shared" ca="1" si="15"/>
        <v/>
      </c>
      <c r="U169" s="7" t="str">
        <f t="shared" ca="1" si="16"/>
        <v/>
      </c>
      <c r="V169" s="7"/>
      <c r="W169" s="7"/>
      <c r="X169" s="4" t="str">
        <f t="shared" ca="1" si="17"/>
        <v>Active</v>
      </c>
      <c r="Y169" s="6" t="s">
        <v>657</v>
      </c>
      <c r="Z169" s="6" t="s">
        <v>658</v>
      </c>
      <c r="AA169" s="6" t="s">
        <v>659</v>
      </c>
      <c r="AC169" s="6" t="s">
        <v>1785</v>
      </c>
      <c r="AD169" s="6" t="s">
        <v>1786</v>
      </c>
      <c r="AE169" s="6" t="s">
        <v>847</v>
      </c>
      <c r="AF169" s="6" t="s">
        <v>1787</v>
      </c>
    </row>
    <row r="170" spans="1:32" x14ac:dyDescent="0.35">
      <c r="A170" s="5">
        <f t="shared" si="12"/>
        <v>202043907</v>
      </c>
      <c r="B170" s="5" t="s">
        <v>184</v>
      </c>
      <c r="C170" s="5" t="s">
        <v>495</v>
      </c>
      <c r="D170" s="6" t="s">
        <v>1788</v>
      </c>
      <c r="E170" s="6" t="s">
        <v>676</v>
      </c>
      <c r="F170" s="6" t="s">
        <v>742</v>
      </c>
      <c r="G170" s="6" t="s">
        <v>2664</v>
      </c>
      <c r="H170" s="1" t="s">
        <v>2692</v>
      </c>
      <c r="I170" s="7">
        <v>29000</v>
      </c>
      <c r="J170" s="6">
        <f t="shared" ca="1" si="13"/>
        <v>47</v>
      </c>
      <c r="K170" s="6" t="s">
        <v>690</v>
      </c>
      <c r="L170" s="6" t="s">
        <v>2660</v>
      </c>
      <c r="M170" s="6" t="s">
        <v>677</v>
      </c>
      <c r="N170" s="6" t="s">
        <v>653</v>
      </c>
      <c r="O170" s="6" t="s">
        <v>1789</v>
      </c>
      <c r="P170" s="6" t="s">
        <v>1790</v>
      </c>
      <c r="Q170" s="6" t="s">
        <v>818</v>
      </c>
      <c r="R170" s="7">
        <v>43907</v>
      </c>
      <c r="S170" s="4" t="str">
        <f t="shared" ca="1" si="14"/>
        <v>PKWTT</v>
      </c>
      <c r="T170" s="10" t="str">
        <f t="shared" ca="1" si="15"/>
        <v/>
      </c>
      <c r="U170" s="7" t="str">
        <f t="shared" ca="1" si="16"/>
        <v/>
      </c>
      <c r="V170" s="7"/>
      <c r="W170" s="7"/>
      <c r="X170" s="4" t="str">
        <f t="shared" ca="1" si="17"/>
        <v>Active</v>
      </c>
      <c r="Y170" s="6" t="s">
        <v>714</v>
      </c>
      <c r="Z170" s="6" t="s">
        <v>715</v>
      </c>
      <c r="AA170" s="6" t="s">
        <v>659</v>
      </c>
      <c r="AC170" s="6" t="s">
        <v>1792</v>
      </c>
      <c r="AD170" s="6" t="s">
        <v>1793</v>
      </c>
      <c r="AE170" s="6" t="s">
        <v>847</v>
      </c>
      <c r="AF170" s="6" t="s">
        <v>1794</v>
      </c>
    </row>
    <row r="171" spans="1:32" x14ac:dyDescent="0.35">
      <c r="A171" s="5">
        <f t="shared" si="12"/>
        <v>202244606</v>
      </c>
      <c r="B171" s="5" t="s">
        <v>185</v>
      </c>
      <c r="C171" s="5" t="s">
        <v>496</v>
      </c>
      <c r="D171" s="6" t="s">
        <v>1527</v>
      </c>
      <c r="E171" s="6" t="s">
        <v>648</v>
      </c>
      <c r="F171" s="6" t="s">
        <v>649</v>
      </c>
      <c r="G171" s="6" t="s">
        <v>2664</v>
      </c>
      <c r="H171" s="1" t="s">
        <v>2692</v>
      </c>
      <c r="I171" s="7">
        <v>35229</v>
      </c>
      <c r="J171" s="6">
        <f t="shared" ca="1" si="13"/>
        <v>30</v>
      </c>
      <c r="K171" s="6" t="s">
        <v>791</v>
      </c>
      <c r="L171" s="6" t="s">
        <v>666</v>
      </c>
      <c r="M171" s="6" t="s">
        <v>652</v>
      </c>
      <c r="N171" s="6" t="s">
        <v>653</v>
      </c>
      <c r="O171" s="6" t="s">
        <v>1795</v>
      </c>
      <c r="P171" s="6" t="s">
        <v>1528</v>
      </c>
      <c r="Q171" s="6" t="s">
        <v>731</v>
      </c>
      <c r="R171" s="7">
        <v>44606</v>
      </c>
      <c r="S171" s="4" t="str">
        <f t="shared" ca="1" si="14"/>
        <v>PKWT</v>
      </c>
      <c r="T171" s="10">
        <f t="shared" ca="1" si="15"/>
        <v>3</v>
      </c>
      <c r="U171" s="7">
        <f t="shared" ca="1" si="16"/>
        <v>46431</v>
      </c>
      <c r="V171" s="7"/>
      <c r="W171" s="7"/>
      <c r="X171" s="4" t="str">
        <f t="shared" ca="1" si="17"/>
        <v>Active</v>
      </c>
      <c r="Y171" s="6" t="s">
        <v>2643</v>
      </c>
      <c r="Z171" s="6" t="s">
        <v>2649</v>
      </c>
      <c r="AA171" s="6" t="s">
        <v>659</v>
      </c>
      <c r="AC171" s="6" t="s">
        <v>1797</v>
      </c>
      <c r="AD171" s="6" t="s">
        <v>1798</v>
      </c>
      <c r="AE171" s="6" t="s">
        <v>847</v>
      </c>
      <c r="AF171" s="6" t="s">
        <v>1799</v>
      </c>
    </row>
    <row r="172" spans="1:32" x14ac:dyDescent="0.35">
      <c r="A172" s="5">
        <f t="shared" si="12"/>
        <v>201943773</v>
      </c>
      <c r="B172" s="5" t="s">
        <v>186</v>
      </c>
      <c r="C172" s="5" t="s">
        <v>497</v>
      </c>
      <c r="D172" s="6" t="s">
        <v>1130</v>
      </c>
      <c r="E172" s="6" t="s">
        <v>676</v>
      </c>
      <c r="F172" s="6" t="s">
        <v>742</v>
      </c>
      <c r="G172" s="6" t="s">
        <v>2695</v>
      </c>
      <c r="H172" s="6" t="s">
        <v>2696</v>
      </c>
      <c r="I172" s="7">
        <v>30252</v>
      </c>
      <c r="J172" s="6">
        <f t="shared" ca="1" si="13"/>
        <v>43</v>
      </c>
      <c r="K172" s="6" t="s">
        <v>791</v>
      </c>
      <c r="L172" s="6" t="s">
        <v>2660</v>
      </c>
      <c r="M172" s="6" t="s">
        <v>701</v>
      </c>
      <c r="N172" s="6" t="s">
        <v>653</v>
      </c>
      <c r="O172" s="6" t="s">
        <v>1800</v>
      </c>
      <c r="P172" s="6" t="s">
        <v>1131</v>
      </c>
      <c r="Q172" s="6" t="s">
        <v>731</v>
      </c>
      <c r="R172" s="7">
        <v>43773</v>
      </c>
      <c r="S172" s="4" t="str">
        <f t="shared" ca="1" si="14"/>
        <v>PKWTT</v>
      </c>
      <c r="T172" s="10" t="str">
        <f t="shared" ca="1" si="15"/>
        <v/>
      </c>
      <c r="U172" s="7" t="str">
        <f t="shared" ca="1" si="16"/>
        <v/>
      </c>
      <c r="V172" s="7"/>
      <c r="W172" s="7"/>
      <c r="X172" s="4" t="str">
        <f t="shared" ca="1" si="17"/>
        <v>Active</v>
      </c>
      <c r="Y172" s="6" t="s">
        <v>657</v>
      </c>
      <c r="Z172" s="6" t="s">
        <v>669</v>
      </c>
      <c r="AA172" s="6" t="s">
        <v>670</v>
      </c>
      <c r="AC172" s="6" t="s">
        <v>1802</v>
      </c>
      <c r="AD172" s="6" t="s">
        <v>1803</v>
      </c>
      <c r="AE172" s="6" t="s">
        <v>847</v>
      </c>
      <c r="AF172" s="6" t="s">
        <v>1804</v>
      </c>
    </row>
    <row r="173" spans="1:32" x14ac:dyDescent="0.35">
      <c r="A173" s="5">
        <f t="shared" si="12"/>
        <v>201943701</v>
      </c>
      <c r="B173" s="5" t="s">
        <v>187</v>
      </c>
      <c r="C173" s="5" t="s">
        <v>498</v>
      </c>
      <c r="D173" s="6" t="s">
        <v>1022</v>
      </c>
      <c r="E173" s="6" t="s">
        <v>676</v>
      </c>
      <c r="F173" s="6" t="s">
        <v>664</v>
      </c>
      <c r="G173" s="6" t="s">
        <v>2695</v>
      </c>
      <c r="H173" s="6" t="s">
        <v>2696</v>
      </c>
      <c r="I173" s="7">
        <v>34538</v>
      </c>
      <c r="J173" s="6">
        <f t="shared" ca="1" si="13"/>
        <v>32</v>
      </c>
      <c r="K173" s="6" t="s">
        <v>690</v>
      </c>
      <c r="L173" s="6" t="s">
        <v>666</v>
      </c>
      <c r="M173" s="6" t="s">
        <v>652</v>
      </c>
      <c r="N173" s="6" t="s">
        <v>653</v>
      </c>
      <c r="O173" s="6" t="s">
        <v>1805</v>
      </c>
      <c r="P173" s="6" t="s">
        <v>1023</v>
      </c>
      <c r="Q173" s="6" t="s">
        <v>656</v>
      </c>
      <c r="R173" s="7">
        <v>43701</v>
      </c>
      <c r="S173" s="4" t="str">
        <f t="shared" ca="1" si="14"/>
        <v>PKWTT</v>
      </c>
      <c r="T173" s="10" t="str">
        <f t="shared" ca="1" si="15"/>
        <v/>
      </c>
      <c r="U173" s="7" t="str">
        <f t="shared" ca="1" si="16"/>
        <v/>
      </c>
      <c r="V173" s="7"/>
      <c r="W173" s="7"/>
      <c r="X173" s="4" t="str">
        <f t="shared" ca="1" si="17"/>
        <v>Active</v>
      </c>
      <c r="Y173" s="6" t="s">
        <v>657</v>
      </c>
      <c r="Z173" s="6" t="s">
        <v>669</v>
      </c>
      <c r="AA173" s="6" t="s">
        <v>670</v>
      </c>
      <c r="AC173" s="6" t="s">
        <v>1807</v>
      </c>
      <c r="AD173" s="6" t="s">
        <v>1808</v>
      </c>
      <c r="AE173" s="6" t="s">
        <v>847</v>
      </c>
      <c r="AF173" s="6" t="s">
        <v>1809</v>
      </c>
    </row>
    <row r="174" spans="1:32" x14ac:dyDescent="0.35">
      <c r="A174" s="5">
        <f t="shared" si="12"/>
        <v>201642668</v>
      </c>
      <c r="B174" s="5" t="s">
        <v>188</v>
      </c>
      <c r="C174" s="5" t="s">
        <v>499</v>
      </c>
      <c r="D174" s="6" t="s">
        <v>1093</v>
      </c>
      <c r="E174" s="6" t="s">
        <v>676</v>
      </c>
      <c r="F174" s="6" t="s">
        <v>768</v>
      </c>
      <c r="G174" s="6" t="s">
        <v>2695</v>
      </c>
      <c r="H174" s="6" t="s">
        <v>2696</v>
      </c>
      <c r="I174" s="7">
        <v>29276</v>
      </c>
      <c r="J174" s="6">
        <f t="shared" ca="1" si="13"/>
        <v>46</v>
      </c>
      <c r="K174" s="6" t="s">
        <v>791</v>
      </c>
      <c r="L174" s="6" t="s">
        <v>2660</v>
      </c>
      <c r="M174" s="6" t="s">
        <v>691</v>
      </c>
      <c r="N174" s="6" t="s">
        <v>653</v>
      </c>
      <c r="O174" s="6" t="s">
        <v>1810</v>
      </c>
      <c r="P174" s="6" t="s">
        <v>1095</v>
      </c>
      <c r="Q174" s="6" t="s">
        <v>704</v>
      </c>
      <c r="R174" s="7">
        <v>42668</v>
      </c>
      <c r="S174" s="4" t="str">
        <f t="shared" ca="1" si="14"/>
        <v>PKWTT</v>
      </c>
      <c r="T174" s="10" t="str">
        <f t="shared" ca="1" si="15"/>
        <v/>
      </c>
      <c r="U174" s="7" t="str">
        <f t="shared" ca="1" si="16"/>
        <v/>
      </c>
      <c r="V174" s="7"/>
      <c r="W174" s="7"/>
      <c r="X174" s="4" t="str">
        <f t="shared" ca="1" si="17"/>
        <v>Active</v>
      </c>
      <c r="Y174" s="6" t="s">
        <v>657</v>
      </c>
      <c r="Z174" s="6" t="s">
        <v>705</v>
      </c>
      <c r="AA174" s="6" t="s">
        <v>706</v>
      </c>
      <c r="AC174" s="6" t="s">
        <v>1812</v>
      </c>
      <c r="AD174" s="6" t="s">
        <v>1813</v>
      </c>
      <c r="AE174" s="6" t="s">
        <v>847</v>
      </c>
      <c r="AF174" s="6" t="s">
        <v>1814</v>
      </c>
    </row>
    <row r="175" spans="1:32" x14ac:dyDescent="0.35">
      <c r="A175" s="5">
        <f t="shared" si="12"/>
        <v>202244615</v>
      </c>
      <c r="B175" s="5" t="s">
        <v>189</v>
      </c>
      <c r="C175" s="5" t="s">
        <v>500</v>
      </c>
      <c r="D175" s="6" t="s">
        <v>842</v>
      </c>
      <c r="E175" s="6" t="s">
        <v>676</v>
      </c>
      <c r="F175" s="6" t="s">
        <v>768</v>
      </c>
      <c r="G175" s="6" t="s">
        <v>2695</v>
      </c>
      <c r="H175" s="6" t="s">
        <v>2696</v>
      </c>
      <c r="I175" s="7">
        <v>30524</v>
      </c>
      <c r="J175" s="6">
        <f t="shared" ca="1" si="13"/>
        <v>43</v>
      </c>
      <c r="K175" s="6" t="s">
        <v>650</v>
      </c>
      <c r="L175" s="6" t="s">
        <v>666</v>
      </c>
      <c r="M175" s="6" t="s">
        <v>691</v>
      </c>
      <c r="N175" s="6" t="s">
        <v>653</v>
      </c>
      <c r="O175" s="6" t="s">
        <v>1815</v>
      </c>
      <c r="P175" s="6" t="s">
        <v>844</v>
      </c>
      <c r="Q175" s="6" t="s">
        <v>731</v>
      </c>
      <c r="R175" s="7">
        <v>44615</v>
      </c>
      <c r="S175" s="4" t="str">
        <f t="shared" ca="1" si="14"/>
        <v>PKWT</v>
      </c>
      <c r="T175" s="10">
        <f t="shared" ca="1" si="15"/>
        <v>3</v>
      </c>
      <c r="U175" s="7">
        <f t="shared" ca="1" si="16"/>
        <v>46440</v>
      </c>
      <c r="V175" s="7"/>
      <c r="W175" s="7"/>
      <c r="X175" s="4" t="str">
        <f t="shared" ca="1" si="17"/>
        <v>Active</v>
      </c>
      <c r="Y175" s="6" t="s">
        <v>657</v>
      </c>
      <c r="Z175" s="6" t="s">
        <v>705</v>
      </c>
      <c r="AA175" s="6" t="s">
        <v>706</v>
      </c>
      <c r="AC175" s="6" t="s">
        <v>1817</v>
      </c>
      <c r="AD175" s="6" t="s">
        <v>1818</v>
      </c>
      <c r="AE175" s="6" t="s">
        <v>847</v>
      </c>
      <c r="AF175" s="6" t="s">
        <v>1819</v>
      </c>
    </row>
    <row r="176" spans="1:32" x14ac:dyDescent="0.35">
      <c r="A176" s="5">
        <f t="shared" si="12"/>
        <v>201742816</v>
      </c>
      <c r="B176" s="5" t="s">
        <v>190</v>
      </c>
      <c r="C176" s="5" t="s">
        <v>501</v>
      </c>
      <c r="D176" s="6" t="s">
        <v>1820</v>
      </c>
      <c r="E176" s="6" t="s">
        <v>648</v>
      </c>
      <c r="F176" s="6" t="s">
        <v>689</v>
      </c>
      <c r="G176" s="6" t="s">
        <v>2664</v>
      </c>
      <c r="H176" s="1" t="s">
        <v>2692</v>
      </c>
      <c r="I176" s="7">
        <v>30727</v>
      </c>
      <c r="J176" s="6">
        <f t="shared" ca="1" si="13"/>
        <v>42</v>
      </c>
      <c r="K176" s="6" t="s">
        <v>690</v>
      </c>
      <c r="L176" s="6" t="s">
        <v>666</v>
      </c>
      <c r="M176" s="6" t="s">
        <v>652</v>
      </c>
      <c r="N176" s="6" t="s">
        <v>653</v>
      </c>
      <c r="O176" s="6" t="s">
        <v>1821</v>
      </c>
      <c r="P176" s="6" t="s">
        <v>1822</v>
      </c>
      <c r="Q176" s="6" t="s">
        <v>818</v>
      </c>
      <c r="R176" s="7">
        <v>42816</v>
      </c>
      <c r="S176" s="4" t="str">
        <f t="shared" ca="1" si="14"/>
        <v>PKWTT</v>
      </c>
      <c r="T176" s="10" t="str">
        <f t="shared" ca="1" si="15"/>
        <v/>
      </c>
      <c r="U176" s="7" t="str">
        <f t="shared" ca="1" si="16"/>
        <v/>
      </c>
      <c r="V176" s="7"/>
      <c r="W176" s="7"/>
      <c r="X176" s="4" t="str">
        <f t="shared" ca="1" si="17"/>
        <v>Active</v>
      </c>
      <c r="Y176" s="6" t="s">
        <v>794</v>
      </c>
      <c r="Z176" s="6" t="s">
        <v>2632</v>
      </c>
      <c r="AA176" s="6" t="s">
        <v>659</v>
      </c>
      <c r="AC176" s="6" t="s">
        <v>1824</v>
      </c>
      <c r="AD176" s="6" t="s">
        <v>1825</v>
      </c>
      <c r="AE176" s="6" t="s">
        <v>847</v>
      </c>
      <c r="AF176" s="6" t="s">
        <v>1826</v>
      </c>
    </row>
    <row r="177" spans="1:32" x14ac:dyDescent="0.35">
      <c r="A177" s="5">
        <f t="shared" si="12"/>
        <v>201642563</v>
      </c>
      <c r="B177" s="5" t="s">
        <v>191</v>
      </c>
      <c r="C177" s="5" t="s">
        <v>502</v>
      </c>
      <c r="D177" s="6" t="s">
        <v>1827</v>
      </c>
      <c r="E177" s="6" t="s">
        <v>676</v>
      </c>
      <c r="F177" s="6" t="s">
        <v>738</v>
      </c>
      <c r="G177" s="6" t="s">
        <v>2664</v>
      </c>
      <c r="H177" s="6" t="s">
        <v>2692</v>
      </c>
      <c r="I177" s="7">
        <v>31763</v>
      </c>
      <c r="J177" s="6">
        <f t="shared" ca="1" si="13"/>
        <v>39</v>
      </c>
      <c r="K177" s="6" t="s">
        <v>690</v>
      </c>
      <c r="L177" s="6" t="s">
        <v>2660</v>
      </c>
      <c r="M177" s="6" t="s">
        <v>701</v>
      </c>
      <c r="N177" s="6" t="s">
        <v>653</v>
      </c>
      <c r="O177" s="6" t="s">
        <v>1828</v>
      </c>
      <c r="P177" s="6" t="s">
        <v>1829</v>
      </c>
      <c r="Q177" s="6" t="s">
        <v>731</v>
      </c>
      <c r="R177" s="7">
        <v>42563</v>
      </c>
      <c r="S177" s="4" t="str">
        <f t="shared" ca="1" si="14"/>
        <v>PKWTT</v>
      </c>
      <c r="T177" s="10" t="str">
        <f t="shared" ca="1" si="15"/>
        <v/>
      </c>
      <c r="U177" s="7" t="str">
        <f t="shared" ca="1" si="16"/>
        <v/>
      </c>
      <c r="V177" s="7"/>
      <c r="W177" s="7"/>
      <c r="X177" s="4" t="str">
        <f t="shared" ca="1" si="17"/>
        <v>Active</v>
      </c>
      <c r="Y177" s="6" t="s">
        <v>732</v>
      </c>
      <c r="Z177" s="6" t="s">
        <v>733</v>
      </c>
      <c r="AA177" s="6" t="s">
        <v>659</v>
      </c>
      <c r="AC177" s="6" t="s">
        <v>1831</v>
      </c>
      <c r="AD177" s="6" t="s">
        <v>1832</v>
      </c>
      <c r="AE177" s="6" t="s">
        <v>847</v>
      </c>
      <c r="AF177" s="6" t="s">
        <v>1833</v>
      </c>
    </row>
    <row r="178" spans="1:32" x14ac:dyDescent="0.35">
      <c r="A178" s="5">
        <f t="shared" si="12"/>
        <v>202345227</v>
      </c>
      <c r="B178" s="5" t="s">
        <v>192</v>
      </c>
      <c r="C178" s="5" t="s">
        <v>503</v>
      </c>
      <c r="D178" s="6" t="s">
        <v>1130</v>
      </c>
      <c r="E178" s="6" t="s">
        <v>676</v>
      </c>
      <c r="F178" s="6" t="s">
        <v>809</v>
      </c>
      <c r="G178" s="6" t="s">
        <v>2695</v>
      </c>
      <c r="H178" s="6" t="s">
        <v>2696</v>
      </c>
      <c r="I178" s="7">
        <v>34134</v>
      </c>
      <c r="J178" s="6">
        <f t="shared" ca="1" si="13"/>
        <v>33</v>
      </c>
      <c r="K178" s="6" t="s">
        <v>791</v>
      </c>
      <c r="L178" s="6" t="s">
        <v>2660</v>
      </c>
      <c r="M178" s="6" t="s">
        <v>652</v>
      </c>
      <c r="N178" s="6" t="s">
        <v>653</v>
      </c>
      <c r="O178" s="6" t="s">
        <v>1834</v>
      </c>
      <c r="P178" s="6" t="s">
        <v>1131</v>
      </c>
      <c r="Q178" s="6" t="s">
        <v>680</v>
      </c>
      <c r="R178" s="7">
        <v>45227</v>
      </c>
      <c r="S178" s="4" t="str">
        <f t="shared" ca="1" si="14"/>
        <v>PKWT</v>
      </c>
      <c r="T178" s="10">
        <f t="shared" ca="1" si="15"/>
        <v>2</v>
      </c>
      <c r="U178" s="7">
        <f t="shared" ca="1" si="16"/>
        <v>46322</v>
      </c>
      <c r="V178" s="7"/>
      <c r="W178" s="7"/>
      <c r="X178" s="4" t="str">
        <f t="shared" ca="1" si="17"/>
        <v>Active</v>
      </c>
      <c r="Y178" s="6" t="s">
        <v>657</v>
      </c>
      <c r="Z178" s="6" t="s">
        <v>658</v>
      </c>
      <c r="AA178" s="6" t="s">
        <v>659</v>
      </c>
      <c r="AC178" s="6" t="s">
        <v>1836</v>
      </c>
      <c r="AD178" s="6" t="s">
        <v>1837</v>
      </c>
      <c r="AE178" s="6" t="s">
        <v>847</v>
      </c>
      <c r="AF178" s="6" t="s">
        <v>1838</v>
      </c>
    </row>
    <row r="179" spans="1:32" x14ac:dyDescent="0.35">
      <c r="A179" s="5">
        <f t="shared" si="12"/>
        <v>202646180</v>
      </c>
      <c r="B179" s="5" t="s">
        <v>193</v>
      </c>
      <c r="C179" s="5" t="s">
        <v>504</v>
      </c>
      <c r="D179" s="6" t="s">
        <v>1469</v>
      </c>
      <c r="E179" s="6" t="s">
        <v>648</v>
      </c>
      <c r="F179" s="6" t="s">
        <v>742</v>
      </c>
      <c r="G179" s="6" t="s">
        <v>2664</v>
      </c>
      <c r="H179" s="1" t="s">
        <v>2692</v>
      </c>
      <c r="I179" s="7">
        <v>30841</v>
      </c>
      <c r="J179" s="6">
        <f t="shared" ca="1" si="13"/>
        <v>42</v>
      </c>
      <c r="K179" s="6" t="s">
        <v>791</v>
      </c>
      <c r="L179" s="6" t="s">
        <v>2660</v>
      </c>
      <c r="M179" s="6" t="s">
        <v>691</v>
      </c>
      <c r="N179" s="6" t="s">
        <v>653</v>
      </c>
      <c r="O179" s="6" t="s">
        <v>1839</v>
      </c>
      <c r="P179" s="6" t="s">
        <v>1470</v>
      </c>
      <c r="Q179" s="6" t="s">
        <v>680</v>
      </c>
      <c r="R179" s="7">
        <v>46180</v>
      </c>
      <c r="S179" s="4" t="str">
        <f t="shared" ca="1" si="14"/>
        <v>PKWT</v>
      </c>
      <c r="T179" s="10">
        <f t="shared" ca="1" si="15"/>
        <v>1</v>
      </c>
      <c r="U179" s="7">
        <f t="shared" ca="1" si="16"/>
        <v>46544</v>
      </c>
      <c r="V179" s="7"/>
      <c r="W179" s="7"/>
      <c r="X179" s="4" t="str">
        <f t="shared" ca="1" si="17"/>
        <v>Active</v>
      </c>
      <c r="Y179" s="6" t="s">
        <v>681</v>
      </c>
      <c r="Z179" s="6" t="s">
        <v>759</v>
      </c>
      <c r="AA179" s="6" t="s">
        <v>659</v>
      </c>
      <c r="AC179" s="6" t="s">
        <v>1841</v>
      </c>
      <c r="AD179" s="6" t="s">
        <v>1842</v>
      </c>
      <c r="AE179" s="6" t="s">
        <v>847</v>
      </c>
      <c r="AF179" s="6" t="s">
        <v>1843</v>
      </c>
    </row>
    <row r="180" spans="1:32" x14ac:dyDescent="0.35">
      <c r="A180" s="5">
        <f t="shared" si="12"/>
        <v>202545951</v>
      </c>
      <c r="B180" s="5" t="s">
        <v>195</v>
      </c>
      <c r="C180" s="5" t="s">
        <v>506</v>
      </c>
      <c r="D180" s="6" t="s">
        <v>1201</v>
      </c>
      <c r="E180" s="6" t="s">
        <v>676</v>
      </c>
      <c r="F180" s="6" t="s">
        <v>689</v>
      </c>
      <c r="G180" s="6" t="s">
        <v>2695</v>
      </c>
      <c r="H180" s="6" t="s">
        <v>2696</v>
      </c>
      <c r="I180" s="7">
        <v>37465</v>
      </c>
      <c r="J180" s="6">
        <f t="shared" ca="1" si="13"/>
        <v>24</v>
      </c>
      <c r="K180" s="6" t="s">
        <v>650</v>
      </c>
      <c r="L180" s="6" t="s">
        <v>666</v>
      </c>
      <c r="M180" s="6" t="s">
        <v>652</v>
      </c>
      <c r="N180" s="6" t="s">
        <v>653</v>
      </c>
      <c r="O180" s="6" t="s">
        <v>1849</v>
      </c>
      <c r="P180" s="6" t="s">
        <v>1203</v>
      </c>
      <c r="Q180" s="6" t="s">
        <v>731</v>
      </c>
      <c r="R180" s="7">
        <v>45951</v>
      </c>
      <c r="S180" s="4" t="str">
        <f t="shared" ca="1" si="14"/>
        <v>PKWT</v>
      </c>
      <c r="T180" s="10">
        <f t="shared" ca="1" si="15"/>
        <v>1</v>
      </c>
      <c r="U180" s="7">
        <f t="shared" ca="1" si="16"/>
        <v>46315</v>
      </c>
      <c r="V180" s="7"/>
      <c r="W180" s="7"/>
      <c r="X180" s="4" t="str">
        <f t="shared" ca="1" si="17"/>
        <v>Active</v>
      </c>
      <c r="Y180" s="6" t="s">
        <v>657</v>
      </c>
      <c r="Z180" s="6" t="s">
        <v>658</v>
      </c>
      <c r="AA180" s="6" t="s">
        <v>2640</v>
      </c>
      <c r="AC180" s="6" t="s">
        <v>1851</v>
      </c>
      <c r="AD180" s="6" t="s">
        <v>1852</v>
      </c>
      <c r="AE180" s="6" t="s">
        <v>847</v>
      </c>
      <c r="AF180" s="6" t="s">
        <v>1853</v>
      </c>
    </row>
    <row r="181" spans="1:32" x14ac:dyDescent="0.35">
      <c r="A181" s="5">
        <f t="shared" si="12"/>
        <v>202545846</v>
      </c>
      <c r="B181" s="5" t="s">
        <v>196</v>
      </c>
      <c r="C181" s="5" t="s">
        <v>507</v>
      </c>
      <c r="D181" s="6" t="s">
        <v>1854</v>
      </c>
      <c r="E181" s="6" t="s">
        <v>676</v>
      </c>
      <c r="F181" s="6" t="s">
        <v>809</v>
      </c>
      <c r="G181" s="6" t="s">
        <v>2664</v>
      </c>
      <c r="H181" s="1" t="s">
        <v>2692</v>
      </c>
      <c r="I181" s="7">
        <v>30940</v>
      </c>
      <c r="J181" s="6">
        <f t="shared" ca="1" si="13"/>
        <v>41</v>
      </c>
      <c r="K181" s="6" t="s">
        <v>721</v>
      </c>
      <c r="L181" s="6" t="s">
        <v>651</v>
      </c>
      <c r="M181" s="6" t="s">
        <v>652</v>
      </c>
      <c r="N181" s="6" t="s">
        <v>653</v>
      </c>
      <c r="O181" s="6" t="s">
        <v>1855</v>
      </c>
      <c r="P181" s="6" t="s">
        <v>1856</v>
      </c>
      <c r="Q181" s="6" t="s">
        <v>656</v>
      </c>
      <c r="R181" s="7">
        <v>45846</v>
      </c>
      <c r="S181" s="4" t="str">
        <f t="shared" ca="1" si="14"/>
        <v>PKWT</v>
      </c>
      <c r="T181" s="10">
        <f t="shared" ca="1" si="15"/>
        <v>2</v>
      </c>
      <c r="U181" s="7">
        <f t="shared" ca="1" si="16"/>
        <v>46941</v>
      </c>
      <c r="V181" s="7"/>
      <c r="W181" s="7"/>
      <c r="X181" s="4" t="str">
        <f t="shared" ca="1" si="17"/>
        <v>Active</v>
      </c>
      <c r="Y181" s="6" t="s">
        <v>681</v>
      </c>
      <c r="Z181" s="6" t="s">
        <v>759</v>
      </c>
      <c r="AA181" s="6" t="s">
        <v>659</v>
      </c>
      <c r="AC181" s="6" t="s">
        <v>1858</v>
      </c>
      <c r="AD181" s="6" t="s">
        <v>1859</v>
      </c>
      <c r="AE181" s="6" t="s">
        <v>847</v>
      </c>
      <c r="AF181" s="6" t="s">
        <v>1860</v>
      </c>
    </row>
    <row r="182" spans="1:32" x14ac:dyDescent="0.35">
      <c r="A182" s="5">
        <f t="shared" si="12"/>
        <v>202043908</v>
      </c>
      <c r="B182" s="5" t="s">
        <v>198</v>
      </c>
      <c r="C182" s="5" t="s">
        <v>509</v>
      </c>
      <c r="D182" s="6" t="s">
        <v>1266</v>
      </c>
      <c r="E182" s="6" t="s">
        <v>648</v>
      </c>
      <c r="F182" s="6" t="s">
        <v>768</v>
      </c>
      <c r="G182" s="6" t="s">
        <v>2695</v>
      </c>
      <c r="H182" s="6" t="s">
        <v>2691</v>
      </c>
      <c r="I182" s="7">
        <v>28376</v>
      </c>
      <c r="J182" s="6">
        <f t="shared" ca="1" si="13"/>
        <v>48</v>
      </c>
      <c r="K182" s="6" t="s">
        <v>791</v>
      </c>
      <c r="L182" s="6" t="s">
        <v>651</v>
      </c>
      <c r="M182" s="6" t="s">
        <v>677</v>
      </c>
      <c r="N182" s="6" t="s">
        <v>653</v>
      </c>
      <c r="O182" s="6" t="s">
        <v>1868</v>
      </c>
      <c r="P182" s="6" t="s">
        <v>1267</v>
      </c>
      <c r="Q182" s="6" t="s">
        <v>694</v>
      </c>
      <c r="R182" s="7">
        <v>43908</v>
      </c>
      <c r="S182" s="4" t="str">
        <f t="shared" ca="1" si="14"/>
        <v>PKWTT</v>
      </c>
      <c r="T182" s="10" t="str">
        <f t="shared" ca="1" si="15"/>
        <v/>
      </c>
      <c r="U182" s="7" t="str">
        <f t="shared" ca="1" si="16"/>
        <v/>
      </c>
      <c r="V182" s="7"/>
      <c r="W182" s="7"/>
      <c r="X182" s="4" t="str">
        <f t="shared" ca="1" si="17"/>
        <v>Active</v>
      </c>
      <c r="Y182" s="6" t="s">
        <v>657</v>
      </c>
      <c r="Z182" s="6" t="s">
        <v>705</v>
      </c>
      <c r="AA182" s="6" t="s">
        <v>706</v>
      </c>
      <c r="AC182" s="6" t="s">
        <v>1870</v>
      </c>
      <c r="AD182" s="6" t="s">
        <v>1871</v>
      </c>
      <c r="AE182" s="6" t="s">
        <v>847</v>
      </c>
      <c r="AF182" s="6" t="s">
        <v>1872</v>
      </c>
    </row>
    <row r="183" spans="1:32" x14ac:dyDescent="0.35">
      <c r="A183" s="5">
        <f t="shared" si="12"/>
        <v>201843242</v>
      </c>
      <c r="B183" s="5" t="s">
        <v>200</v>
      </c>
      <c r="C183" s="5" t="s">
        <v>511</v>
      </c>
      <c r="D183" s="6" t="s">
        <v>1878</v>
      </c>
      <c r="E183" s="6" t="s">
        <v>676</v>
      </c>
      <c r="F183" s="6" t="s">
        <v>689</v>
      </c>
      <c r="G183" s="6" t="s">
        <v>2695</v>
      </c>
      <c r="H183" s="6" t="s">
        <v>2691</v>
      </c>
      <c r="I183" s="7">
        <v>34509</v>
      </c>
      <c r="J183" s="6">
        <f t="shared" ca="1" si="13"/>
        <v>32</v>
      </c>
      <c r="K183" s="6" t="s">
        <v>650</v>
      </c>
      <c r="L183" s="6" t="s">
        <v>666</v>
      </c>
      <c r="M183" s="6" t="s">
        <v>691</v>
      </c>
      <c r="N183" s="6" t="s">
        <v>653</v>
      </c>
      <c r="O183" s="6" t="s">
        <v>1879</v>
      </c>
      <c r="P183" s="6" t="s">
        <v>1880</v>
      </c>
      <c r="Q183" s="6" t="s">
        <v>694</v>
      </c>
      <c r="R183" s="7">
        <v>43242</v>
      </c>
      <c r="S183" s="4" t="str">
        <f t="shared" ca="1" si="14"/>
        <v>PKWTT</v>
      </c>
      <c r="T183" s="10" t="str">
        <f t="shared" ca="1" si="15"/>
        <v/>
      </c>
      <c r="U183" s="7" t="str">
        <f t="shared" ca="1" si="16"/>
        <v/>
      </c>
      <c r="V183" s="7"/>
      <c r="W183" s="7"/>
      <c r="X183" s="4" t="str">
        <f t="shared" ca="1" si="17"/>
        <v>Active</v>
      </c>
      <c r="Y183" s="6" t="s">
        <v>657</v>
      </c>
      <c r="Z183" s="6" t="s">
        <v>916</v>
      </c>
      <c r="AA183" s="6" t="s">
        <v>659</v>
      </c>
      <c r="AC183" s="6" t="s">
        <v>1882</v>
      </c>
      <c r="AD183" s="6" t="s">
        <v>1883</v>
      </c>
      <c r="AE183" s="6" t="s">
        <v>847</v>
      </c>
      <c r="AF183" s="6" t="s">
        <v>1884</v>
      </c>
    </row>
    <row r="184" spans="1:32" x14ac:dyDescent="0.35">
      <c r="A184" s="5">
        <f t="shared" si="12"/>
        <v>202646162</v>
      </c>
      <c r="B184" s="5" t="s">
        <v>201</v>
      </c>
      <c r="C184" s="5" t="s">
        <v>512</v>
      </c>
      <c r="D184" s="6" t="s">
        <v>720</v>
      </c>
      <c r="E184" s="6" t="s">
        <v>648</v>
      </c>
      <c r="F184" s="6" t="s">
        <v>738</v>
      </c>
      <c r="G184" s="6" t="s">
        <v>2664</v>
      </c>
      <c r="H184" s="1" t="s">
        <v>2692</v>
      </c>
      <c r="I184" s="7">
        <v>32618</v>
      </c>
      <c r="J184" s="6">
        <f t="shared" ca="1" si="13"/>
        <v>37</v>
      </c>
      <c r="K184" s="6" t="s">
        <v>791</v>
      </c>
      <c r="L184" s="6" t="s">
        <v>651</v>
      </c>
      <c r="M184" s="6" t="s">
        <v>652</v>
      </c>
      <c r="N184" s="6" t="s">
        <v>653</v>
      </c>
      <c r="O184" s="6" t="s">
        <v>1885</v>
      </c>
      <c r="P184" s="6" t="s">
        <v>723</v>
      </c>
      <c r="Q184" s="6" t="s">
        <v>656</v>
      </c>
      <c r="R184" s="7">
        <v>46162</v>
      </c>
      <c r="S184" s="4" t="str">
        <f t="shared" ca="1" si="14"/>
        <v>PKWT</v>
      </c>
      <c r="T184" s="10">
        <f t="shared" ca="1" si="15"/>
        <v>1</v>
      </c>
      <c r="U184" s="7">
        <f t="shared" ca="1" si="16"/>
        <v>46526</v>
      </c>
      <c r="V184" s="7"/>
      <c r="W184" s="7"/>
      <c r="X184" s="4" t="str">
        <f t="shared" ca="1" si="17"/>
        <v>Active</v>
      </c>
      <c r="Y184" s="6" t="s">
        <v>681</v>
      </c>
      <c r="Z184" s="6" t="s">
        <v>759</v>
      </c>
      <c r="AA184" s="6" t="s">
        <v>659</v>
      </c>
      <c r="AC184" s="6" t="s">
        <v>1887</v>
      </c>
      <c r="AD184" s="6" t="s">
        <v>1888</v>
      </c>
      <c r="AE184" s="6" t="s">
        <v>847</v>
      </c>
      <c r="AF184" s="6" t="s">
        <v>1889</v>
      </c>
    </row>
    <row r="185" spans="1:32" x14ac:dyDescent="0.35">
      <c r="A185" s="5">
        <f t="shared" si="12"/>
        <v>202144523</v>
      </c>
      <c r="B185" s="5" t="s">
        <v>202</v>
      </c>
      <c r="C185" s="5" t="s">
        <v>513</v>
      </c>
      <c r="D185" s="6" t="s">
        <v>1201</v>
      </c>
      <c r="E185" s="6" t="s">
        <v>676</v>
      </c>
      <c r="F185" s="6" t="s">
        <v>768</v>
      </c>
      <c r="G185" s="6" t="s">
        <v>2695</v>
      </c>
      <c r="H185" s="6" t="s">
        <v>2691</v>
      </c>
      <c r="I185" s="7">
        <v>27581</v>
      </c>
      <c r="J185" s="6">
        <f t="shared" ca="1" si="13"/>
        <v>51</v>
      </c>
      <c r="K185" s="6" t="s">
        <v>650</v>
      </c>
      <c r="L185" s="6" t="s">
        <v>666</v>
      </c>
      <c r="M185" s="6" t="s">
        <v>701</v>
      </c>
      <c r="N185" s="6" t="s">
        <v>653</v>
      </c>
      <c r="O185" s="6" t="s">
        <v>1890</v>
      </c>
      <c r="P185" s="6" t="s">
        <v>1203</v>
      </c>
      <c r="Q185" s="6" t="s">
        <v>731</v>
      </c>
      <c r="R185" s="7">
        <v>44523</v>
      </c>
      <c r="S185" s="4" t="str">
        <f t="shared" ca="1" si="14"/>
        <v>PKWT</v>
      </c>
      <c r="T185" s="10">
        <f t="shared" ca="1" si="15"/>
        <v>3</v>
      </c>
      <c r="U185" s="7">
        <f t="shared" ca="1" si="16"/>
        <v>46348</v>
      </c>
      <c r="V185" s="7"/>
      <c r="W185" s="7"/>
      <c r="X185" s="4" t="str">
        <f t="shared" ca="1" si="17"/>
        <v>Active</v>
      </c>
      <c r="Y185" s="6" t="s">
        <v>657</v>
      </c>
      <c r="Z185" s="6" t="s">
        <v>705</v>
      </c>
      <c r="AA185" s="6" t="s">
        <v>706</v>
      </c>
      <c r="AC185" s="6" t="s">
        <v>1892</v>
      </c>
      <c r="AD185" s="6" t="s">
        <v>1893</v>
      </c>
      <c r="AE185" s="6" t="s">
        <v>847</v>
      </c>
      <c r="AF185" s="6" t="s">
        <v>1894</v>
      </c>
    </row>
    <row r="186" spans="1:32" x14ac:dyDescent="0.35">
      <c r="A186" s="5">
        <f t="shared" si="12"/>
        <v>201742744</v>
      </c>
      <c r="B186" s="5" t="s">
        <v>203</v>
      </c>
      <c r="C186" s="5" t="s">
        <v>514</v>
      </c>
      <c r="D186" s="6" t="s">
        <v>1895</v>
      </c>
      <c r="E186" s="6" t="s">
        <v>676</v>
      </c>
      <c r="F186" s="6" t="s">
        <v>768</v>
      </c>
      <c r="G186" s="6" t="s">
        <v>2695</v>
      </c>
      <c r="H186" s="6" t="s">
        <v>2691</v>
      </c>
      <c r="I186" s="7">
        <v>29298</v>
      </c>
      <c r="J186" s="6">
        <f t="shared" ca="1" si="13"/>
        <v>46</v>
      </c>
      <c r="K186" s="6" t="s">
        <v>791</v>
      </c>
      <c r="L186" s="6" t="s">
        <v>651</v>
      </c>
      <c r="M186" s="6" t="s">
        <v>691</v>
      </c>
      <c r="N186" s="6" t="s">
        <v>653</v>
      </c>
      <c r="O186" s="6" t="s">
        <v>1896</v>
      </c>
      <c r="P186" s="6" t="s">
        <v>1897</v>
      </c>
      <c r="Q186" s="6" t="s">
        <v>680</v>
      </c>
      <c r="R186" s="7">
        <v>42744</v>
      </c>
      <c r="S186" s="4" t="str">
        <f t="shared" ca="1" si="14"/>
        <v>PKWTT</v>
      </c>
      <c r="T186" s="10" t="str">
        <f t="shared" ca="1" si="15"/>
        <v/>
      </c>
      <c r="U186" s="7" t="str">
        <f t="shared" ca="1" si="16"/>
        <v/>
      </c>
      <c r="V186" s="7"/>
      <c r="W186" s="7"/>
      <c r="X186" s="4" t="str">
        <f t="shared" ca="1" si="17"/>
        <v>Active</v>
      </c>
      <c r="Y186" s="6" t="s">
        <v>657</v>
      </c>
      <c r="Z186" s="6" t="s">
        <v>669</v>
      </c>
      <c r="AA186" s="6" t="s">
        <v>670</v>
      </c>
      <c r="AC186" s="6" t="s">
        <v>1899</v>
      </c>
      <c r="AD186" s="6" t="s">
        <v>1900</v>
      </c>
      <c r="AE186" s="6" t="s">
        <v>847</v>
      </c>
      <c r="AF186" s="6" t="s">
        <v>1901</v>
      </c>
    </row>
    <row r="187" spans="1:32" x14ac:dyDescent="0.35">
      <c r="A187" s="5">
        <f t="shared" si="12"/>
        <v>202043945</v>
      </c>
      <c r="B187" s="5" t="s">
        <v>204</v>
      </c>
      <c r="C187" s="5" t="s">
        <v>515</v>
      </c>
      <c r="D187" s="6" t="s">
        <v>1902</v>
      </c>
      <c r="E187" s="6" t="s">
        <v>648</v>
      </c>
      <c r="F187" s="6" t="s">
        <v>664</v>
      </c>
      <c r="G187" s="6" t="s">
        <v>2664</v>
      </c>
      <c r="H187" s="1" t="s">
        <v>2692</v>
      </c>
      <c r="I187" s="7">
        <v>28467</v>
      </c>
      <c r="J187" s="6">
        <f t="shared" ca="1" si="13"/>
        <v>48</v>
      </c>
      <c r="K187" s="6" t="s">
        <v>690</v>
      </c>
      <c r="L187" s="6" t="s">
        <v>666</v>
      </c>
      <c r="M187" s="6" t="s">
        <v>691</v>
      </c>
      <c r="N187" s="6" t="s">
        <v>653</v>
      </c>
      <c r="O187" s="6" t="s">
        <v>1903</v>
      </c>
      <c r="P187" s="6" t="s">
        <v>1904</v>
      </c>
      <c r="Q187" s="6" t="s">
        <v>778</v>
      </c>
      <c r="R187" s="7">
        <v>43945</v>
      </c>
      <c r="S187" s="4" t="str">
        <f t="shared" ca="1" si="14"/>
        <v>PKWTT</v>
      </c>
      <c r="T187" s="10" t="str">
        <f t="shared" ca="1" si="15"/>
        <v/>
      </c>
      <c r="U187" s="7" t="str">
        <f t="shared" ca="1" si="16"/>
        <v/>
      </c>
      <c r="V187" s="7"/>
      <c r="W187" s="7"/>
      <c r="X187" s="4" t="str">
        <f t="shared" ca="1" si="17"/>
        <v>Active</v>
      </c>
      <c r="Y187" s="6" t="s">
        <v>794</v>
      </c>
      <c r="Z187" s="6" t="s">
        <v>2632</v>
      </c>
      <c r="AA187" s="6" t="s">
        <v>659</v>
      </c>
      <c r="AC187" s="6" t="s">
        <v>1906</v>
      </c>
      <c r="AD187" s="6" t="s">
        <v>1907</v>
      </c>
      <c r="AE187" s="6" t="s">
        <v>847</v>
      </c>
      <c r="AF187" s="6" t="s">
        <v>1908</v>
      </c>
    </row>
    <row r="188" spans="1:32" x14ac:dyDescent="0.35">
      <c r="A188" s="5">
        <f t="shared" si="12"/>
        <v>202545684</v>
      </c>
      <c r="B188" s="5" t="s">
        <v>205</v>
      </c>
      <c r="C188" s="5" t="s">
        <v>516</v>
      </c>
      <c r="D188" s="6" t="s">
        <v>1827</v>
      </c>
      <c r="E188" s="6" t="s">
        <v>676</v>
      </c>
      <c r="F188" s="6" t="s">
        <v>742</v>
      </c>
      <c r="G188" s="6" t="s">
        <v>2664</v>
      </c>
      <c r="H188" s="1" t="s">
        <v>2692</v>
      </c>
      <c r="I188" s="7">
        <v>36391</v>
      </c>
      <c r="J188" s="6">
        <f t="shared" ca="1" si="13"/>
        <v>26</v>
      </c>
      <c r="K188" s="6" t="s">
        <v>665</v>
      </c>
      <c r="L188" s="6" t="s">
        <v>666</v>
      </c>
      <c r="M188" s="6" t="s">
        <v>691</v>
      </c>
      <c r="N188" s="6" t="s">
        <v>653</v>
      </c>
      <c r="O188" s="6" t="s">
        <v>1909</v>
      </c>
      <c r="P188" s="6" t="s">
        <v>1829</v>
      </c>
      <c r="Q188" s="6" t="s">
        <v>731</v>
      </c>
      <c r="R188" s="7">
        <v>45684</v>
      </c>
      <c r="S188" s="4" t="str">
        <f t="shared" ca="1" si="14"/>
        <v>PKWT</v>
      </c>
      <c r="T188" s="10">
        <f t="shared" ca="1" si="15"/>
        <v>2</v>
      </c>
      <c r="U188" s="7">
        <f t="shared" ca="1" si="16"/>
        <v>46778</v>
      </c>
      <c r="V188" s="7"/>
      <c r="W188" s="7"/>
      <c r="X188" s="4" t="str">
        <f t="shared" ca="1" si="17"/>
        <v>Active</v>
      </c>
      <c r="Y188" s="6" t="s">
        <v>681</v>
      </c>
      <c r="Z188" s="6" t="s">
        <v>759</v>
      </c>
      <c r="AA188" s="6" t="s">
        <v>659</v>
      </c>
      <c r="AC188" s="6" t="s">
        <v>1911</v>
      </c>
      <c r="AD188" s="6" t="s">
        <v>1912</v>
      </c>
      <c r="AE188" s="6" t="s">
        <v>847</v>
      </c>
      <c r="AF188" s="6" t="s">
        <v>1913</v>
      </c>
    </row>
    <row r="189" spans="1:32" x14ac:dyDescent="0.35">
      <c r="A189" s="5">
        <f t="shared" si="12"/>
        <v>201642691</v>
      </c>
      <c r="B189" s="5" t="s">
        <v>230</v>
      </c>
      <c r="C189" s="5" t="s">
        <v>541</v>
      </c>
      <c r="D189" s="6" t="s">
        <v>2634</v>
      </c>
      <c r="E189" s="6" t="s">
        <v>648</v>
      </c>
      <c r="F189" s="6" t="s">
        <v>768</v>
      </c>
      <c r="G189" s="6" t="s">
        <v>2664</v>
      </c>
      <c r="H189" s="1" t="s">
        <v>2692</v>
      </c>
      <c r="I189" s="7">
        <v>35112</v>
      </c>
      <c r="J189" s="6">
        <f t="shared" ca="1" si="13"/>
        <v>30</v>
      </c>
      <c r="K189" s="6" t="s">
        <v>791</v>
      </c>
      <c r="L189" s="6" t="s">
        <v>666</v>
      </c>
      <c r="M189" s="6" t="s">
        <v>701</v>
      </c>
      <c r="N189" s="6" t="s">
        <v>653</v>
      </c>
      <c r="O189" s="6" t="s">
        <v>2053</v>
      </c>
      <c r="P189" s="6" t="s">
        <v>2054</v>
      </c>
      <c r="Q189" s="6" t="s">
        <v>818</v>
      </c>
      <c r="R189" s="7">
        <v>42691</v>
      </c>
      <c r="S189" s="4" t="str">
        <f t="shared" ca="1" si="14"/>
        <v>PKWTT</v>
      </c>
      <c r="T189" s="10" t="str">
        <f t="shared" ca="1" si="15"/>
        <v/>
      </c>
      <c r="U189" s="7" t="str">
        <f t="shared" ca="1" si="16"/>
        <v/>
      </c>
      <c r="V189" s="7"/>
      <c r="W189" s="7"/>
      <c r="X189" s="4" t="str">
        <f t="shared" ca="1" si="17"/>
        <v>Active</v>
      </c>
      <c r="Y189" s="6" t="s">
        <v>794</v>
      </c>
      <c r="Z189" s="6" t="s">
        <v>2631</v>
      </c>
      <c r="AA189" s="6" t="s">
        <v>659</v>
      </c>
      <c r="AC189" s="6" t="s">
        <v>2056</v>
      </c>
      <c r="AD189" s="6" t="s">
        <v>2057</v>
      </c>
      <c r="AE189" s="6" t="s">
        <v>847</v>
      </c>
      <c r="AF189" s="6" t="s">
        <v>2058</v>
      </c>
    </row>
    <row r="190" spans="1:32" x14ac:dyDescent="0.35">
      <c r="A190" s="5">
        <f t="shared" si="12"/>
        <v>202244719</v>
      </c>
      <c r="B190" s="5" t="s">
        <v>206</v>
      </c>
      <c r="C190" s="5" t="s">
        <v>517</v>
      </c>
      <c r="D190" s="6" t="s">
        <v>1914</v>
      </c>
      <c r="E190" s="6" t="s">
        <v>648</v>
      </c>
      <c r="F190" s="6" t="s">
        <v>689</v>
      </c>
      <c r="G190" s="6" t="s">
        <v>2664</v>
      </c>
      <c r="H190" s="6" t="s">
        <v>2692</v>
      </c>
      <c r="I190" s="7">
        <v>36001</v>
      </c>
      <c r="J190" s="6">
        <f t="shared" ca="1" si="13"/>
        <v>28</v>
      </c>
      <c r="K190" s="6" t="s">
        <v>721</v>
      </c>
      <c r="L190" s="6" t="s">
        <v>651</v>
      </c>
      <c r="M190" s="6" t="s">
        <v>652</v>
      </c>
      <c r="N190" s="6" t="s">
        <v>653</v>
      </c>
      <c r="O190" s="6" t="s">
        <v>1915</v>
      </c>
      <c r="P190" s="6" t="s">
        <v>1916</v>
      </c>
      <c r="Q190" s="6" t="s">
        <v>704</v>
      </c>
      <c r="R190" s="7">
        <v>44719</v>
      </c>
      <c r="S190" s="4" t="str">
        <f t="shared" ca="1" si="14"/>
        <v>PKWT</v>
      </c>
      <c r="T190" s="10">
        <f t="shared" ca="1" si="15"/>
        <v>3</v>
      </c>
      <c r="U190" s="7">
        <f t="shared" ca="1" si="16"/>
        <v>46544</v>
      </c>
      <c r="V190" s="7"/>
      <c r="W190" s="7"/>
      <c r="X190" s="4" t="str">
        <f t="shared" ca="1" si="17"/>
        <v>Active</v>
      </c>
      <c r="Y190" s="6" t="s">
        <v>1169</v>
      </c>
      <c r="Z190" s="6" t="s">
        <v>1170</v>
      </c>
      <c r="AA190" s="6" t="s">
        <v>683</v>
      </c>
      <c r="AC190" s="6" t="s">
        <v>1918</v>
      </c>
      <c r="AD190" s="6" t="s">
        <v>1919</v>
      </c>
      <c r="AE190" s="6" t="s">
        <v>847</v>
      </c>
      <c r="AF190" s="6" t="s">
        <v>1920</v>
      </c>
    </row>
    <row r="191" spans="1:32" x14ac:dyDescent="0.35">
      <c r="A191" s="5">
        <f t="shared" si="12"/>
        <v>201642693</v>
      </c>
      <c r="B191" s="5" t="s">
        <v>207</v>
      </c>
      <c r="C191" s="5" t="s">
        <v>518</v>
      </c>
      <c r="D191" s="6" t="s">
        <v>1921</v>
      </c>
      <c r="E191" s="6" t="s">
        <v>648</v>
      </c>
      <c r="F191" s="6" t="s">
        <v>689</v>
      </c>
      <c r="G191" s="6" t="s">
        <v>2664</v>
      </c>
      <c r="H191" s="1" t="s">
        <v>2692</v>
      </c>
      <c r="I191" s="7">
        <v>36354</v>
      </c>
      <c r="J191" s="6">
        <f t="shared" ca="1" si="13"/>
        <v>27</v>
      </c>
      <c r="K191" s="6" t="s">
        <v>665</v>
      </c>
      <c r="L191" s="6" t="s">
        <v>651</v>
      </c>
      <c r="M191" s="6" t="s">
        <v>701</v>
      </c>
      <c r="N191" s="6" t="s">
        <v>653</v>
      </c>
      <c r="O191" s="6" t="s">
        <v>1922</v>
      </c>
      <c r="P191" s="6" t="s">
        <v>1923</v>
      </c>
      <c r="Q191" s="6" t="s">
        <v>778</v>
      </c>
      <c r="R191" s="7">
        <v>42693</v>
      </c>
      <c r="S191" s="4" t="str">
        <f t="shared" ca="1" si="14"/>
        <v>PKWTT</v>
      </c>
      <c r="T191" s="10" t="str">
        <f t="shared" ca="1" si="15"/>
        <v/>
      </c>
      <c r="U191" s="7" t="str">
        <f t="shared" ca="1" si="16"/>
        <v/>
      </c>
      <c r="V191" s="7"/>
      <c r="W191" s="7"/>
      <c r="X191" s="4" t="str">
        <f t="shared" ca="1" si="17"/>
        <v>Active</v>
      </c>
      <c r="Y191" s="6" t="s">
        <v>794</v>
      </c>
      <c r="Z191" s="6" t="s">
        <v>2626</v>
      </c>
      <c r="AA191" s="6" t="s">
        <v>659</v>
      </c>
      <c r="AC191" s="6" t="s">
        <v>1925</v>
      </c>
      <c r="AD191" s="6" t="s">
        <v>1926</v>
      </c>
      <c r="AE191" s="6" t="s">
        <v>847</v>
      </c>
      <c r="AF191" s="6" t="s">
        <v>1927</v>
      </c>
    </row>
    <row r="192" spans="1:32" x14ac:dyDescent="0.35">
      <c r="A192" s="5">
        <f t="shared" si="12"/>
        <v>202144512</v>
      </c>
      <c r="B192" s="5" t="s">
        <v>208</v>
      </c>
      <c r="C192" s="5" t="s">
        <v>519</v>
      </c>
      <c r="D192" s="6" t="s">
        <v>904</v>
      </c>
      <c r="E192" s="6" t="s">
        <v>676</v>
      </c>
      <c r="F192" s="6" t="s">
        <v>689</v>
      </c>
      <c r="G192" s="6" t="s">
        <v>2664</v>
      </c>
      <c r="H192" s="1" t="s">
        <v>2692</v>
      </c>
      <c r="I192" s="7">
        <v>36507</v>
      </c>
      <c r="J192" s="6">
        <f t="shared" ca="1" si="13"/>
        <v>26</v>
      </c>
      <c r="K192" s="6" t="s">
        <v>791</v>
      </c>
      <c r="L192" s="6" t="s">
        <v>651</v>
      </c>
      <c r="M192" s="6" t="s">
        <v>652</v>
      </c>
      <c r="N192" s="6" t="s">
        <v>653</v>
      </c>
      <c r="O192" s="6" t="s">
        <v>1928</v>
      </c>
      <c r="P192" s="6" t="s">
        <v>905</v>
      </c>
      <c r="Q192" s="6" t="s">
        <v>680</v>
      </c>
      <c r="R192" s="7">
        <v>44512</v>
      </c>
      <c r="S192" s="4" t="str">
        <f t="shared" ca="1" si="14"/>
        <v>PKWT</v>
      </c>
      <c r="T192" s="10">
        <f t="shared" ca="1" si="15"/>
        <v>3</v>
      </c>
      <c r="U192" s="7">
        <f t="shared" ca="1" si="16"/>
        <v>46337</v>
      </c>
      <c r="V192" s="7"/>
      <c r="W192" s="7"/>
      <c r="X192" s="4" t="str">
        <f t="shared" ca="1" si="17"/>
        <v>Active</v>
      </c>
      <c r="Y192" s="6" t="s">
        <v>681</v>
      </c>
      <c r="Z192" s="6" t="s">
        <v>682</v>
      </c>
      <c r="AA192" s="6" t="s">
        <v>683</v>
      </c>
      <c r="AC192" s="6" t="s">
        <v>1930</v>
      </c>
      <c r="AD192" s="6" t="s">
        <v>1931</v>
      </c>
      <c r="AE192" s="6" t="s">
        <v>847</v>
      </c>
      <c r="AF192" s="6" t="s">
        <v>1932</v>
      </c>
    </row>
    <row r="193" spans="1:32" x14ac:dyDescent="0.35">
      <c r="A193" s="5">
        <f t="shared" si="12"/>
        <v>201943492</v>
      </c>
      <c r="B193" s="5" t="s">
        <v>209</v>
      </c>
      <c r="C193" s="5" t="s">
        <v>520</v>
      </c>
      <c r="D193" s="6" t="s">
        <v>1933</v>
      </c>
      <c r="E193" s="6" t="s">
        <v>676</v>
      </c>
      <c r="F193" s="6" t="s">
        <v>768</v>
      </c>
      <c r="G193" s="6" t="s">
        <v>2664</v>
      </c>
      <c r="H193" s="1" t="s">
        <v>2692</v>
      </c>
      <c r="I193" s="7">
        <v>28012</v>
      </c>
      <c r="J193" s="6">
        <f t="shared" ca="1" si="13"/>
        <v>49</v>
      </c>
      <c r="K193" s="6" t="s">
        <v>791</v>
      </c>
      <c r="L193" s="6" t="s">
        <v>651</v>
      </c>
      <c r="M193" s="6" t="s">
        <v>652</v>
      </c>
      <c r="N193" s="6" t="s">
        <v>653</v>
      </c>
      <c r="O193" s="6" t="s">
        <v>1934</v>
      </c>
      <c r="P193" s="6" t="s">
        <v>1935</v>
      </c>
      <c r="Q193" s="6" t="s">
        <v>778</v>
      </c>
      <c r="R193" s="7">
        <v>43492</v>
      </c>
      <c r="S193" s="4" t="str">
        <f t="shared" ca="1" si="14"/>
        <v>PKWTT</v>
      </c>
      <c r="T193" s="10" t="str">
        <f t="shared" ca="1" si="15"/>
        <v/>
      </c>
      <c r="U193" s="7" t="str">
        <f t="shared" ca="1" si="16"/>
        <v/>
      </c>
      <c r="V193" s="7"/>
      <c r="W193" s="7"/>
      <c r="X193" s="4" t="str">
        <f t="shared" ca="1" si="17"/>
        <v>Active</v>
      </c>
      <c r="Y193" s="6" t="s">
        <v>714</v>
      </c>
      <c r="Z193" s="6" t="s">
        <v>715</v>
      </c>
      <c r="AA193" s="6" t="s">
        <v>659</v>
      </c>
      <c r="AC193" s="6" t="s">
        <v>1937</v>
      </c>
      <c r="AD193" s="6" t="s">
        <v>1938</v>
      </c>
      <c r="AE193" s="6" t="s">
        <v>847</v>
      </c>
      <c r="AF193" s="6" t="s">
        <v>1939</v>
      </c>
    </row>
    <row r="194" spans="1:32" x14ac:dyDescent="0.35">
      <c r="A194" s="5">
        <f t="shared" ref="A194:A257" si="18">VALUE(YEAR(R194)&amp;TEXT(R194,"0000"))</f>
        <v>202044076</v>
      </c>
      <c r="B194" s="5" t="s">
        <v>305</v>
      </c>
      <c r="C194" s="5" t="s">
        <v>616</v>
      </c>
      <c r="D194" s="6" t="s">
        <v>2454</v>
      </c>
      <c r="E194" s="6" t="s">
        <v>676</v>
      </c>
      <c r="F194" s="6" t="s">
        <v>649</v>
      </c>
      <c r="G194" s="6" t="s">
        <v>2664</v>
      </c>
      <c r="H194" s="1" t="s">
        <v>2692</v>
      </c>
      <c r="I194" s="7">
        <v>35052</v>
      </c>
      <c r="J194" s="6">
        <f t="shared" ref="J194:J257" ca="1" si="19">IF(I194="","",DATEDIF(I194,TODAY(),"Y"))</f>
        <v>30</v>
      </c>
      <c r="K194" s="6" t="s">
        <v>791</v>
      </c>
      <c r="L194" s="6" t="s">
        <v>666</v>
      </c>
      <c r="M194" s="6" t="s">
        <v>691</v>
      </c>
      <c r="N194" s="6" t="s">
        <v>653</v>
      </c>
      <c r="O194" s="6" t="s">
        <v>2455</v>
      </c>
      <c r="P194" s="6" t="s">
        <v>2456</v>
      </c>
      <c r="Q194" s="6" t="s">
        <v>704</v>
      </c>
      <c r="R194" s="7">
        <v>44076</v>
      </c>
      <c r="S194" s="4" t="str">
        <f t="shared" ref="S194:S257" ca="1" si="20">IF(AND(T194&lt;&gt;"",U194&lt;&gt;""),"PKWT","PKWTT")</f>
        <v>PKWTT</v>
      </c>
      <c r="T194" s="10" t="str">
        <f t="shared" ref="T194:T257" ca="1" si="21">IF(R194&gt;TODAY(),"",IF(DATEDIF(R194,TODAY(),"Y")&gt;=5,"",IF(DATEDIF(R194,TODAY(),"Y")&lt;1,1,IF(DATEDIF(R194,TODAY(),"Y")&lt;3,2,3))))</f>
        <v/>
      </c>
      <c r="U194" s="7" t="str">
        <f t="shared" ref="U194:U257" ca="1" si="22">IF(T194="","",IF(T194=1,EDATE(R194,12)-1,IF(T194=2,EDATE(R194,36)-1,IF(T194=3,EDATE(R194,60)-1,""))))</f>
        <v/>
      </c>
      <c r="V194" s="7"/>
      <c r="W194" s="7"/>
      <c r="X194" s="4" t="str">
        <f t="shared" ca="1" si="17"/>
        <v>Active</v>
      </c>
      <c r="Y194" s="6" t="s">
        <v>794</v>
      </c>
      <c r="Z194" s="6" t="s">
        <v>803</v>
      </c>
      <c r="AA194" s="6" t="s">
        <v>683</v>
      </c>
      <c r="AC194" s="6" t="s">
        <v>2458</v>
      </c>
      <c r="AD194" s="6" t="s">
        <v>2459</v>
      </c>
      <c r="AE194" s="6" t="s">
        <v>847</v>
      </c>
      <c r="AF194" s="6" t="s">
        <v>2460</v>
      </c>
    </row>
    <row r="195" spans="1:32" x14ac:dyDescent="0.35">
      <c r="A195" s="5">
        <f t="shared" si="18"/>
        <v>202244604</v>
      </c>
      <c r="B195" s="5" t="s">
        <v>211</v>
      </c>
      <c r="C195" s="5" t="s">
        <v>522</v>
      </c>
      <c r="D195" s="6" t="s">
        <v>1548</v>
      </c>
      <c r="E195" s="6" t="s">
        <v>648</v>
      </c>
      <c r="F195" s="6" t="s">
        <v>649</v>
      </c>
      <c r="G195" s="6" t="s">
        <v>2695</v>
      </c>
      <c r="H195" s="6" t="s">
        <v>2691</v>
      </c>
      <c r="I195" s="7">
        <v>35592</v>
      </c>
      <c r="J195" s="6">
        <f t="shared" ca="1" si="19"/>
        <v>29</v>
      </c>
      <c r="K195" s="6" t="s">
        <v>721</v>
      </c>
      <c r="L195" s="6" t="s">
        <v>651</v>
      </c>
      <c r="M195" s="6" t="s">
        <v>652</v>
      </c>
      <c r="N195" s="6" t="s">
        <v>653</v>
      </c>
      <c r="O195" s="6" t="s">
        <v>1945</v>
      </c>
      <c r="P195" s="6" t="s">
        <v>1550</v>
      </c>
      <c r="Q195" s="6" t="s">
        <v>818</v>
      </c>
      <c r="R195" s="7">
        <v>44604</v>
      </c>
      <c r="S195" s="4" t="str">
        <f t="shared" ca="1" si="20"/>
        <v>PKWT</v>
      </c>
      <c r="T195" s="10">
        <f t="shared" ca="1" si="21"/>
        <v>3</v>
      </c>
      <c r="U195" s="7">
        <f t="shared" ca="1" si="22"/>
        <v>46429</v>
      </c>
      <c r="V195" s="7"/>
      <c r="W195" s="7"/>
      <c r="X195" s="4" t="str">
        <f t="shared" ref="X195:X258" ca="1" si="23">IF(V195&lt;&gt;"","Non-Active",IF(S195="PKWTT","Active",IF(U195&gt;=TODAY(),"Active","Non-Active")))</f>
        <v>Active</v>
      </c>
      <c r="Y195" s="6" t="s">
        <v>657</v>
      </c>
      <c r="Z195" s="6" t="s">
        <v>916</v>
      </c>
      <c r="AA195" s="6" t="s">
        <v>659</v>
      </c>
      <c r="AC195" s="6" t="s">
        <v>1947</v>
      </c>
      <c r="AD195" s="6" t="s">
        <v>1948</v>
      </c>
      <c r="AE195" s="6" t="s">
        <v>847</v>
      </c>
      <c r="AF195" s="6" t="s">
        <v>1949</v>
      </c>
    </row>
    <row r="196" spans="1:32" x14ac:dyDescent="0.35">
      <c r="A196" s="5">
        <f t="shared" si="18"/>
        <v>202044125</v>
      </c>
      <c r="B196" s="5" t="s">
        <v>212</v>
      </c>
      <c r="C196" s="5" t="s">
        <v>523</v>
      </c>
      <c r="D196" s="6" t="s">
        <v>1788</v>
      </c>
      <c r="E196" s="6" t="s">
        <v>676</v>
      </c>
      <c r="F196" s="6" t="s">
        <v>809</v>
      </c>
      <c r="G196" s="6" t="s">
        <v>2695</v>
      </c>
      <c r="H196" s="6" t="s">
        <v>2691</v>
      </c>
      <c r="I196" s="7">
        <v>31279</v>
      </c>
      <c r="J196" s="6">
        <f t="shared" ca="1" si="19"/>
        <v>40</v>
      </c>
      <c r="K196" s="6" t="s">
        <v>791</v>
      </c>
      <c r="L196" s="6" t="s">
        <v>666</v>
      </c>
      <c r="M196" s="6" t="s">
        <v>652</v>
      </c>
      <c r="N196" s="6" t="s">
        <v>653</v>
      </c>
      <c r="O196" s="6" t="s">
        <v>1950</v>
      </c>
      <c r="P196" s="6" t="s">
        <v>1790</v>
      </c>
      <c r="Q196" s="6" t="s">
        <v>656</v>
      </c>
      <c r="R196" s="7">
        <v>44125</v>
      </c>
      <c r="S196" s="4" t="str">
        <f t="shared" ca="1" si="20"/>
        <v>PKWTT</v>
      </c>
      <c r="T196" s="10" t="str">
        <f t="shared" ca="1" si="21"/>
        <v/>
      </c>
      <c r="U196" s="7" t="str">
        <f t="shared" ca="1" si="22"/>
        <v/>
      </c>
      <c r="V196" s="7"/>
      <c r="W196" s="7"/>
      <c r="X196" s="4" t="str">
        <f t="shared" ca="1" si="23"/>
        <v>Active</v>
      </c>
      <c r="Y196" s="6" t="s">
        <v>657</v>
      </c>
      <c r="Z196" s="6" t="s">
        <v>705</v>
      </c>
      <c r="AA196" s="6" t="s">
        <v>706</v>
      </c>
      <c r="AC196" s="6" t="s">
        <v>1952</v>
      </c>
      <c r="AD196" s="6" t="s">
        <v>1953</v>
      </c>
      <c r="AE196" s="6" t="s">
        <v>847</v>
      </c>
      <c r="AF196" s="6" t="s">
        <v>1954</v>
      </c>
    </row>
    <row r="197" spans="1:32" x14ac:dyDescent="0.35">
      <c r="A197" s="5">
        <f t="shared" si="18"/>
        <v>202044080</v>
      </c>
      <c r="B197" s="5" t="s">
        <v>213</v>
      </c>
      <c r="C197" s="5" t="s">
        <v>524</v>
      </c>
      <c r="D197" s="6" t="s">
        <v>967</v>
      </c>
      <c r="E197" s="6" t="s">
        <v>648</v>
      </c>
      <c r="F197" s="6" t="s">
        <v>664</v>
      </c>
      <c r="G197" s="6" t="s">
        <v>2664</v>
      </c>
      <c r="H197" s="1" t="s">
        <v>2692</v>
      </c>
      <c r="I197" s="7">
        <v>34225</v>
      </c>
      <c r="J197" s="6">
        <f t="shared" ca="1" si="19"/>
        <v>32</v>
      </c>
      <c r="K197" s="6" t="s">
        <v>690</v>
      </c>
      <c r="L197" s="6" t="s">
        <v>651</v>
      </c>
      <c r="M197" s="6" t="s">
        <v>677</v>
      </c>
      <c r="N197" s="6" t="s">
        <v>653</v>
      </c>
      <c r="O197" s="6" t="s">
        <v>1955</v>
      </c>
      <c r="P197" s="6" t="s">
        <v>969</v>
      </c>
      <c r="Q197" s="6" t="s">
        <v>778</v>
      </c>
      <c r="R197" s="7">
        <v>44080</v>
      </c>
      <c r="S197" s="4" t="str">
        <f t="shared" ca="1" si="20"/>
        <v>PKWTT</v>
      </c>
      <c r="T197" s="10" t="str">
        <f t="shared" ca="1" si="21"/>
        <v/>
      </c>
      <c r="U197" s="7" t="str">
        <f t="shared" ca="1" si="22"/>
        <v/>
      </c>
      <c r="V197" s="7"/>
      <c r="W197" s="7"/>
      <c r="X197" s="4" t="str">
        <f t="shared" ca="1" si="23"/>
        <v>Active</v>
      </c>
      <c r="Y197" s="6" t="s">
        <v>794</v>
      </c>
      <c r="Z197" s="6" t="s">
        <v>2632</v>
      </c>
      <c r="AA197" s="6" t="s">
        <v>659</v>
      </c>
      <c r="AC197" s="6" t="s">
        <v>1957</v>
      </c>
      <c r="AD197" s="6" t="s">
        <v>1958</v>
      </c>
      <c r="AE197" s="6" t="s">
        <v>847</v>
      </c>
      <c r="AF197" s="6" t="s">
        <v>1959</v>
      </c>
    </row>
    <row r="198" spans="1:32" x14ac:dyDescent="0.35">
      <c r="A198" s="5">
        <f t="shared" si="18"/>
        <v>202044048</v>
      </c>
      <c r="B198" s="5" t="s">
        <v>214</v>
      </c>
      <c r="C198" s="5" t="s">
        <v>525</v>
      </c>
      <c r="D198" s="6" t="s">
        <v>1960</v>
      </c>
      <c r="E198" s="6" t="s">
        <v>648</v>
      </c>
      <c r="F198" s="6" t="s">
        <v>809</v>
      </c>
      <c r="G198" s="6" t="s">
        <v>2664</v>
      </c>
      <c r="H198" s="6" t="s">
        <v>2692</v>
      </c>
      <c r="I198" s="7">
        <v>37632</v>
      </c>
      <c r="J198" s="6">
        <f t="shared" ca="1" si="19"/>
        <v>23</v>
      </c>
      <c r="K198" s="6" t="s">
        <v>650</v>
      </c>
      <c r="L198" s="6" t="s">
        <v>666</v>
      </c>
      <c r="M198" s="6" t="s">
        <v>691</v>
      </c>
      <c r="N198" s="6" t="s">
        <v>653</v>
      </c>
      <c r="O198" s="6" t="s">
        <v>1961</v>
      </c>
      <c r="P198" s="6" t="s">
        <v>1962</v>
      </c>
      <c r="Q198" s="6" t="s">
        <v>656</v>
      </c>
      <c r="R198" s="7">
        <v>44048</v>
      </c>
      <c r="S198" s="4" t="str">
        <f t="shared" ca="1" si="20"/>
        <v>PKWTT</v>
      </c>
      <c r="T198" s="10" t="str">
        <f t="shared" ca="1" si="21"/>
        <v/>
      </c>
      <c r="U198" s="7" t="str">
        <f t="shared" ca="1" si="22"/>
        <v/>
      </c>
      <c r="V198" s="7"/>
      <c r="W198" s="7"/>
      <c r="X198" s="4" t="str">
        <f t="shared" ca="1" si="23"/>
        <v>Active</v>
      </c>
      <c r="Y198" s="6" t="s">
        <v>732</v>
      </c>
      <c r="Z198" s="6" t="s">
        <v>733</v>
      </c>
      <c r="AA198" s="6" t="s">
        <v>659</v>
      </c>
      <c r="AC198" s="6" t="s">
        <v>1964</v>
      </c>
      <c r="AD198" s="6" t="s">
        <v>1965</v>
      </c>
      <c r="AE198" s="6" t="s">
        <v>847</v>
      </c>
      <c r="AF198" s="6" t="s">
        <v>1966</v>
      </c>
    </row>
    <row r="199" spans="1:32" x14ac:dyDescent="0.35">
      <c r="A199" s="5">
        <f t="shared" si="18"/>
        <v>201843435</v>
      </c>
      <c r="B199" s="5" t="s">
        <v>215</v>
      </c>
      <c r="C199" s="5" t="s">
        <v>526</v>
      </c>
      <c r="D199" s="6" t="s">
        <v>1967</v>
      </c>
      <c r="E199" s="6" t="s">
        <v>676</v>
      </c>
      <c r="F199" s="6" t="s">
        <v>738</v>
      </c>
      <c r="G199" s="6" t="s">
        <v>2664</v>
      </c>
      <c r="H199" s="1" t="s">
        <v>2692</v>
      </c>
      <c r="I199" s="7">
        <v>31651</v>
      </c>
      <c r="J199" s="6">
        <f t="shared" ca="1" si="19"/>
        <v>39</v>
      </c>
      <c r="K199" s="6" t="s">
        <v>665</v>
      </c>
      <c r="L199" s="6" t="s">
        <v>666</v>
      </c>
      <c r="M199" s="6" t="s">
        <v>701</v>
      </c>
      <c r="N199" s="6" t="s">
        <v>653</v>
      </c>
      <c r="O199" s="6" t="s">
        <v>1968</v>
      </c>
      <c r="P199" s="6" t="s">
        <v>1969</v>
      </c>
      <c r="Q199" s="6" t="s">
        <v>680</v>
      </c>
      <c r="R199" s="7">
        <v>43435</v>
      </c>
      <c r="S199" s="4" t="str">
        <f t="shared" ca="1" si="20"/>
        <v>PKWTT</v>
      </c>
      <c r="T199" s="10" t="str">
        <f t="shared" ca="1" si="21"/>
        <v/>
      </c>
      <c r="U199" s="7" t="str">
        <f t="shared" ca="1" si="22"/>
        <v/>
      </c>
      <c r="V199" s="7"/>
      <c r="W199" s="7"/>
      <c r="X199" s="4" t="str">
        <f t="shared" ca="1" si="23"/>
        <v>Active</v>
      </c>
      <c r="Y199" s="6" t="s">
        <v>2643</v>
      </c>
      <c r="Z199" s="6" t="s">
        <v>2650</v>
      </c>
      <c r="AA199" s="6" t="s">
        <v>2640</v>
      </c>
      <c r="AC199" s="6" t="s">
        <v>1971</v>
      </c>
      <c r="AD199" s="6" t="s">
        <v>1972</v>
      </c>
      <c r="AE199" s="6" t="s">
        <v>847</v>
      </c>
      <c r="AF199" s="6" t="s">
        <v>1973</v>
      </c>
    </row>
    <row r="200" spans="1:32" x14ac:dyDescent="0.35">
      <c r="A200" s="5">
        <f t="shared" si="18"/>
        <v>201542202</v>
      </c>
      <c r="B200" s="5" t="s">
        <v>216</v>
      </c>
      <c r="C200" s="5" t="s">
        <v>527</v>
      </c>
      <c r="D200" s="6" t="s">
        <v>1069</v>
      </c>
      <c r="E200" s="6" t="s">
        <v>676</v>
      </c>
      <c r="F200" s="6" t="s">
        <v>649</v>
      </c>
      <c r="G200" s="6" t="s">
        <v>2664</v>
      </c>
      <c r="H200" s="1" t="s">
        <v>2692</v>
      </c>
      <c r="I200" s="7">
        <v>36588</v>
      </c>
      <c r="J200" s="6">
        <f t="shared" ca="1" si="19"/>
        <v>26</v>
      </c>
      <c r="K200" s="6" t="s">
        <v>690</v>
      </c>
      <c r="L200" s="6" t="s">
        <v>666</v>
      </c>
      <c r="M200" s="6" t="s">
        <v>691</v>
      </c>
      <c r="N200" s="6" t="s">
        <v>653</v>
      </c>
      <c r="O200" s="6" t="s">
        <v>1974</v>
      </c>
      <c r="P200" s="6" t="s">
        <v>1071</v>
      </c>
      <c r="Q200" s="6" t="s">
        <v>778</v>
      </c>
      <c r="R200" s="7">
        <v>42202</v>
      </c>
      <c r="S200" s="4" t="str">
        <f t="shared" ca="1" si="20"/>
        <v>PKWTT</v>
      </c>
      <c r="T200" s="10" t="str">
        <f t="shared" ca="1" si="21"/>
        <v/>
      </c>
      <c r="U200" s="7" t="str">
        <f t="shared" ca="1" si="22"/>
        <v/>
      </c>
      <c r="V200" s="7"/>
      <c r="W200" s="7"/>
      <c r="X200" s="4" t="str">
        <f t="shared" ca="1" si="23"/>
        <v>Active</v>
      </c>
      <c r="Y200" s="6" t="s">
        <v>2643</v>
      </c>
      <c r="Z200" s="6" t="s">
        <v>2650</v>
      </c>
      <c r="AA200" s="6" t="s">
        <v>2640</v>
      </c>
      <c r="AC200" s="6" t="s">
        <v>1976</v>
      </c>
      <c r="AD200" s="6" t="s">
        <v>1977</v>
      </c>
      <c r="AE200" s="6" t="s">
        <v>847</v>
      </c>
      <c r="AF200" s="6" t="s">
        <v>1978</v>
      </c>
    </row>
    <row r="201" spans="1:32" x14ac:dyDescent="0.35">
      <c r="A201" s="5">
        <f t="shared" si="18"/>
        <v>201843391</v>
      </c>
      <c r="B201" s="5" t="s">
        <v>217</v>
      </c>
      <c r="C201" s="5" t="s">
        <v>528</v>
      </c>
      <c r="D201" s="6" t="s">
        <v>1192</v>
      </c>
      <c r="E201" s="6" t="s">
        <v>648</v>
      </c>
      <c r="F201" s="6" t="s">
        <v>689</v>
      </c>
      <c r="G201" s="6" t="s">
        <v>2698</v>
      </c>
      <c r="H201" s="1" t="s">
        <v>2691</v>
      </c>
      <c r="I201" s="7">
        <v>34139</v>
      </c>
      <c r="J201" s="6">
        <f t="shared" ca="1" si="19"/>
        <v>33</v>
      </c>
      <c r="K201" s="6" t="s">
        <v>791</v>
      </c>
      <c r="L201" s="6" t="s">
        <v>651</v>
      </c>
      <c r="M201" s="6" t="s">
        <v>652</v>
      </c>
      <c r="N201" s="6" t="s">
        <v>653</v>
      </c>
      <c r="O201" s="6" t="s">
        <v>1979</v>
      </c>
      <c r="P201" s="6" t="s">
        <v>1194</v>
      </c>
      <c r="Q201" s="6" t="s">
        <v>656</v>
      </c>
      <c r="R201" s="7">
        <v>43391</v>
      </c>
      <c r="S201" s="4" t="str">
        <f t="shared" ca="1" si="20"/>
        <v>PKWTT</v>
      </c>
      <c r="T201" s="10" t="str">
        <f t="shared" ca="1" si="21"/>
        <v/>
      </c>
      <c r="U201" s="7" t="str">
        <f t="shared" ca="1" si="22"/>
        <v/>
      </c>
      <c r="V201" s="7"/>
      <c r="W201" s="7"/>
      <c r="X201" s="4" t="str">
        <f t="shared" ca="1" si="23"/>
        <v>Active</v>
      </c>
      <c r="Y201" s="6" t="s">
        <v>714</v>
      </c>
      <c r="Z201" s="6" t="s">
        <v>715</v>
      </c>
      <c r="AA201" s="6" t="s">
        <v>659</v>
      </c>
      <c r="AC201" s="6" t="s">
        <v>1981</v>
      </c>
      <c r="AD201" s="6" t="s">
        <v>1982</v>
      </c>
      <c r="AE201" s="6" t="s">
        <v>847</v>
      </c>
      <c r="AF201" s="6" t="s">
        <v>1983</v>
      </c>
    </row>
    <row r="202" spans="1:32" x14ac:dyDescent="0.35">
      <c r="A202" s="5">
        <f t="shared" si="18"/>
        <v>201642392</v>
      </c>
      <c r="B202" s="5" t="s">
        <v>218</v>
      </c>
      <c r="C202" s="5" t="s">
        <v>529</v>
      </c>
      <c r="D202" s="6" t="s">
        <v>1656</v>
      </c>
      <c r="E202" s="6" t="s">
        <v>648</v>
      </c>
      <c r="F202" s="6" t="s">
        <v>649</v>
      </c>
      <c r="G202" s="6" t="s">
        <v>2698</v>
      </c>
      <c r="H202" s="1" t="s">
        <v>2691</v>
      </c>
      <c r="I202" s="7">
        <v>34116</v>
      </c>
      <c r="J202" s="6">
        <f t="shared" ca="1" si="19"/>
        <v>33</v>
      </c>
      <c r="K202" s="6" t="s">
        <v>690</v>
      </c>
      <c r="L202" s="6" t="s">
        <v>651</v>
      </c>
      <c r="M202" s="6" t="s">
        <v>691</v>
      </c>
      <c r="N202" s="6" t="s">
        <v>653</v>
      </c>
      <c r="O202" s="6" t="s">
        <v>1984</v>
      </c>
      <c r="P202" s="6" t="s">
        <v>1658</v>
      </c>
      <c r="Q202" s="6" t="s">
        <v>818</v>
      </c>
      <c r="R202" s="7">
        <v>42392</v>
      </c>
      <c r="S202" s="4" t="str">
        <f t="shared" ca="1" si="20"/>
        <v>PKWTT</v>
      </c>
      <c r="T202" s="10" t="str">
        <f t="shared" ca="1" si="21"/>
        <v/>
      </c>
      <c r="U202" s="7" t="str">
        <f t="shared" ca="1" si="22"/>
        <v/>
      </c>
      <c r="V202" s="7"/>
      <c r="W202" s="7"/>
      <c r="X202" s="4" t="str">
        <f t="shared" ca="1" si="23"/>
        <v>Active</v>
      </c>
      <c r="Y202" s="6" t="s">
        <v>714</v>
      </c>
      <c r="Z202" s="6" t="s">
        <v>715</v>
      </c>
      <c r="AA202" s="6" t="s">
        <v>659</v>
      </c>
      <c r="AC202" s="6" t="s">
        <v>1986</v>
      </c>
      <c r="AD202" s="6" t="s">
        <v>1987</v>
      </c>
      <c r="AE202" s="6" t="s">
        <v>847</v>
      </c>
      <c r="AF202" s="6" t="s">
        <v>1988</v>
      </c>
    </row>
    <row r="203" spans="1:32" x14ac:dyDescent="0.35">
      <c r="A203" s="5">
        <f t="shared" si="18"/>
        <v>202043929</v>
      </c>
      <c r="B203" s="5" t="s">
        <v>219</v>
      </c>
      <c r="C203" s="5" t="s">
        <v>530</v>
      </c>
      <c r="D203" s="6" t="s">
        <v>728</v>
      </c>
      <c r="E203" s="6" t="s">
        <v>676</v>
      </c>
      <c r="F203" s="6" t="s">
        <v>664</v>
      </c>
      <c r="G203" s="6" t="s">
        <v>2695</v>
      </c>
      <c r="H203" s="6" t="s">
        <v>2691</v>
      </c>
      <c r="I203" s="7">
        <v>31558</v>
      </c>
      <c r="J203" s="6">
        <f t="shared" ca="1" si="19"/>
        <v>40</v>
      </c>
      <c r="K203" s="6" t="s">
        <v>721</v>
      </c>
      <c r="L203" s="6" t="s">
        <v>651</v>
      </c>
      <c r="M203" s="6" t="s">
        <v>677</v>
      </c>
      <c r="N203" s="6" t="s">
        <v>653</v>
      </c>
      <c r="O203" s="6" t="s">
        <v>1989</v>
      </c>
      <c r="P203" s="6" t="s">
        <v>730</v>
      </c>
      <c r="Q203" s="6" t="s">
        <v>656</v>
      </c>
      <c r="R203" s="7">
        <v>43929</v>
      </c>
      <c r="S203" s="4" t="str">
        <f t="shared" ca="1" si="20"/>
        <v>PKWTT</v>
      </c>
      <c r="T203" s="10" t="str">
        <f t="shared" ca="1" si="21"/>
        <v/>
      </c>
      <c r="U203" s="7" t="str">
        <f t="shared" ca="1" si="22"/>
        <v/>
      </c>
      <c r="V203" s="7"/>
      <c r="W203" s="7"/>
      <c r="X203" s="4" t="str">
        <f t="shared" ca="1" si="23"/>
        <v>Active</v>
      </c>
      <c r="Y203" s="6" t="s">
        <v>657</v>
      </c>
      <c r="Z203" s="6" t="s">
        <v>705</v>
      </c>
      <c r="AA203" s="6" t="s">
        <v>706</v>
      </c>
      <c r="AC203" s="6" t="s">
        <v>1991</v>
      </c>
      <c r="AD203" s="6" t="s">
        <v>1992</v>
      </c>
      <c r="AE203" s="6" t="s">
        <v>847</v>
      </c>
      <c r="AF203" s="6" t="s">
        <v>1993</v>
      </c>
    </row>
    <row r="204" spans="1:32" x14ac:dyDescent="0.35">
      <c r="A204" s="5">
        <f t="shared" si="18"/>
        <v>202244911</v>
      </c>
      <c r="B204" s="5" t="s">
        <v>220</v>
      </c>
      <c r="C204" s="5" t="s">
        <v>531</v>
      </c>
      <c r="D204" s="6" t="s">
        <v>1967</v>
      </c>
      <c r="E204" s="6" t="s">
        <v>676</v>
      </c>
      <c r="F204" s="6" t="s">
        <v>649</v>
      </c>
      <c r="G204" s="6" t="s">
        <v>2664</v>
      </c>
      <c r="H204" s="1" t="s">
        <v>2692</v>
      </c>
      <c r="I204" s="7">
        <v>29039</v>
      </c>
      <c r="J204" s="6">
        <f t="shared" ca="1" si="19"/>
        <v>47</v>
      </c>
      <c r="K204" s="6" t="s">
        <v>721</v>
      </c>
      <c r="L204" s="6" t="s">
        <v>651</v>
      </c>
      <c r="M204" s="6" t="s">
        <v>691</v>
      </c>
      <c r="N204" s="6" t="s">
        <v>653</v>
      </c>
      <c r="O204" s="6" t="s">
        <v>1994</v>
      </c>
      <c r="P204" s="6" t="s">
        <v>1969</v>
      </c>
      <c r="Q204" s="6" t="s">
        <v>778</v>
      </c>
      <c r="R204" s="7">
        <v>44911</v>
      </c>
      <c r="S204" s="4" t="str">
        <f t="shared" ca="1" si="20"/>
        <v>PKWT</v>
      </c>
      <c r="T204" s="10">
        <f t="shared" ca="1" si="21"/>
        <v>3</v>
      </c>
      <c r="U204" s="7">
        <f t="shared" ca="1" si="22"/>
        <v>46736</v>
      </c>
      <c r="V204" s="7"/>
      <c r="W204" s="7"/>
      <c r="X204" s="4" t="str">
        <f t="shared" ca="1" si="23"/>
        <v>Active</v>
      </c>
      <c r="Y204" s="6" t="s">
        <v>681</v>
      </c>
      <c r="Z204" s="6" t="s">
        <v>682</v>
      </c>
      <c r="AA204" s="6" t="s">
        <v>683</v>
      </c>
      <c r="AC204" s="6" t="s">
        <v>1996</v>
      </c>
      <c r="AD204" s="6" t="s">
        <v>1997</v>
      </c>
      <c r="AE204" s="6" t="s">
        <v>847</v>
      </c>
      <c r="AF204" s="6" t="s">
        <v>1998</v>
      </c>
    </row>
    <row r="205" spans="1:32" x14ac:dyDescent="0.35">
      <c r="A205" s="5">
        <f t="shared" si="18"/>
        <v>201542261</v>
      </c>
      <c r="B205" s="5" t="s">
        <v>221</v>
      </c>
      <c r="C205" s="5" t="s">
        <v>532</v>
      </c>
      <c r="D205" s="6" t="s">
        <v>1287</v>
      </c>
      <c r="E205" s="6" t="s">
        <v>676</v>
      </c>
      <c r="F205" s="6" t="s">
        <v>689</v>
      </c>
      <c r="G205" s="6" t="s">
        <v>2698</v>
      </c>
      <c r="H205" s="6" t="s">
        <v>2679</v>
      </c>
      <c r="I205" s="7">
        <v>30927</v>
      </c>
      <c r="J205" s="6">
        <f t="shared" ca="1" si="19"/>
        <v>41</v>
      </c>
      <c r="K205" s="6" t="s">
        <v>650</v>
      </c>
      <c r="L205" s="6" t="s">
        <v>666</v>
      </c>
      <c r="M205" s="6" t="s">
        <v>677</v>
      </c>
      <c r="N205" s="6" t="s">
        <v>653</v>
      </c>
      <c r="O205" s="6" t="s">
        <v>1999</v>
      </c>
      <c r="P205" s="6" t="s">
        <v>1289</v>
      </c>
      <c r="Q205" s="6" t="s">
        <v>656</v>
      </c>
      <c r="R205" s="7">
        <v>42261</v>
      </c>
      <c r="S205" s="4" t="str">
        <f t="shared" ca="1" si="20"/>
        <v>PKWTT</v>
      </c>
      <c r="T205" s="10" t="str">
        <f t="shared" ca="1" si="21"/>
        <v/>
      </c>
      <c r="U205" s="7" t="str">
        <f t="shared" ca="1" si="22"/>
        <v/>
      </c>
      <c r="V205" s="7"/>
      <c r="W205" s="7"/>
      <c r="X205" s="4" t="str">
        <f t="shared" ca="1" si="23"/>
        <v>Active</v>
      </c>
      <c r="Y205" s="6" t="s">
        <v>2643</v>
      </c>
      <c r="Z205" s="6" t="s">
        <v>2651</v>
      </c>
      <c r="AA205" s="6" t="s">
        <v>2624</v>
      </c>
      <c r="AC205" s="6" t="s">
        <v>2001</v>
      </c>
      <c r="AD205" s="6" t="s">
        <v>2002</v>
      </c>
      <c r="AE205" s="6" t="s">
        <v>847</v>
      </c>
      <c r="AF205" s="6" t="s">
        <v>2003</v>
      </c>
    </row>
    <row r="206" spans="1:32" x14ac:dyDescent="0.35">
      <c r="A206" s="5">
        <f t="shared" si="18"/>
        <v>202044178</v>
      </c>
      <c r="B206" s="5" t="s">
        <v>222</v>
      </c>
      <c r="C206" s="5" t="s">
        <v>533</v>
      </c>
      <c r="D206" s="6" t="s">
        <v>1670</v>
      </c>
      <c r="E206" s="6" t="s">
        <v>676</v>
      </c>
      <c r="F206" s="6" t="s">
        <v>742</v>
      </c>
      <c r="G206" s="6" t="s">
        <v>2664</v>
      </c>
      <c r="H206" s="1" t="s">
        <v>2692</v>
      </c>
      <c r="I206" s="7">
        <v>28291</v>
      </c>
      <c r="J206" s="6">
        <f t="shared" ca="1" si="19"/>
        <v>49</v>
      </c>
      <c r="K206" s="6" t="s">
        <v>665</v>
      </c>
      <c r="L206" s="6" t="s">
        <v>666</v>
      </c>
      <c r="M206" s="6" t="s">
        <v>652</v>
      </c>
      <c r="N206" s="6" t="s">
        <v>653</v>
      </c>
      <c r="O206" s="6" t="s">
        <v>2004</v>
      </c>
      <c r="P206" s="6" t="s">
        <v>1671</v>
      </c>
      <c r="Q206" s="6" t="s">
        <v>778</v>
      </c>
      <c r="R206" s="7">
        <v>44178</v>
      </c>
      <c r="S206" s="4" t="str">
        <f t="shared" ca="1" si="20"/>
        <v>PKWTT</v>
      </c>
      <c r="T206" s="10" t="str">
        <f t="shared" ca="1" si="21"/>
        <v/>
      </c>
      <c r="U206" s="7" t="str">
        <f t="shared" ca="1" si="22"/>
        <v/>
      </c>
      <c r="V206" s="7"/>
      <c r="W206" s="7"/>
      <c r="X206" s="4" t="str">
        <f t="shared" ca="1" si="23"/>
        <v>Active</v>
      </c>
      <c r="Y206" s="6" t="s">
        <v>681</v>
      </c>
      <c r="Z206" s="6" t="s">
        <v>682</v>
      </c>
      <c r="AA206" s="6" t="s">
        <v>683</v>
      </c>
      <c r="AC206" s="6" t="s">
        <v>2006</v>
      </c>
      <c r="AD206" s="6" t="s">
        <v>2007</v>
      </c>
      <c r="AE206" s="6" t="s">
        <v>847</v>
      </c>
      <c r="AF206" s="6" t="s">
        <v>2008</v>
      </c>
    </row>
    <row r="207" spans="1:32" x14ac:dyDescent="0.35">
      <c r="A207" s="5">
        <f t="shared" si="18"/>
        <v>201943597</v>
      </c>
      <c r="B207" s="5" t="s">
        <v>316</v>
      </c>
      <c r="C207" s="5" t="s">
        <v>627</v>
      </c>
      <c r="D207" s="6" t="s">
        <v>2040</v>
      </c>
      <c r="E207" s="6" t="s">
        <v>648</v>
      </c>
      <c r="F207" s="6" t="s">
        <v>689</v>
      </c>
      <c r="G207" s="6" t="s">
        <v>2664</v>
      </c>
      <c r="H207" s="1" t="s">
        <v>2692</v>
      </c>
      <c r="I207" s="7">
        <v>35559</v>
      </c>
      <c r="J207" s="6">
        <f t="shared" ca="1" si="19"/>
        <v>29</v>
      </c>
      <c r="K207" s="6" t="s">
        <v>665</v>
      </c>
      <c r="L207" s="6" t="s">
        <v>651</v>
      </c>
      <c r="M207" s="6" t="s">
        <v>701</v>
      </c>
      <c r="N207" s="6" t="s">
        <v>653</v>
      </c>
      <c r="O207" s="6" t="s">
        <v>2513</v>
      </c>
      <c r="P207" s="6" t="s">
        <v>2042</v>
      </c>
      <c r="Q207" s="6" t="s">
        <v>731</v>
      </c>
      <c r="R207" s="7">
        <v>43597</v>
      </c>
      <c r="S207" s="4" t="str">
        <f t="shared" ca="1" si="20"/>
        <v>PKWTT</v>
      </c>
      <c r="T207" s="10" t="str">
        <f t="shared" ca="1" si="21"/>
        <v/>
      </c>
      <c r="U207" s="7" t="str">
        <f t="shared" ca="1" si="22"/>
        <v/>
      </c>
      <c r="V207" s="7"/>
      <c r="W207" s="7"/>
      <c r="X207" s="4" t="str">
        <f t="shared" ca="1" si="23"/>
        <v>Active</v>
      </c>
      <c r="Y207" s="6" t="s">
        <v>794</v>
      </c>
      <c r="Z207" s="6" t="s">
        <v>803</v>
      </c>
      <c r="AA207" s="6" t="s">
        <v>683</v>
      </c>
      <c r="AC207" s="6" t="s">
        <v>2515</v>
      </c>
      <c r="AD207" s="6" t="s">
        <v>2516</v>
      </c>
      <c r="AE207" s="6" t="s">
        <v>847</v>
      </c>
      <c r="AF207" s="6" t="s">
        <v>2517</v>
      </c>
    </row>
    <row r="208" spans="1:32" x14ac:dyDescent="0.35">
      <c r="A208" s="5">
        <f t="shared" si="18"/>
        <v>201742819</v>
      </c>
      <c r="B208" s="5" t="s">
        <v>224</v>
      </c>
      <c r="C208" s="5" t="s">
        <v>535</v>
      </c>
      <c r="D208" s="6" t="s">
        <v>1065</v>
      </c>
      <c r="E208" s="6" t="s">
        <v>676</v>
      </c>
      <c r="F208" s="6" t="s">
        <v>738</v>
      </c>
      <c r="G208" s="6" t="s">
        <v>2664</v>
      </c>
      <c r="H208" s="1" t="s">
        <v>2692</v>
      </c>
      <c r="I208" s="7">
        <v>34676</v>
      </c>
      <c r="J208" s="6">
        <f t="shared" ca="1" si="19"/>
        <v>31</v>
      </c>
      <c r="K208" s="6" t="s">
        <v>690</v>
      </c>
      <c r="L208" s="6" t="s">
        <v>666</v>
      </c>
      <c r="M208" s="6" t="s">
        <v>701</v>
      </c>
      <c r="N208" s="6" t="s">
        <v>653</v>
      </c>
      <c r="O208" s="6" t="s">
        <v>2016</v>
      </c>
      <c r="P208" s="6" t="s">
        <v>1066</v>
      </c>
      <c r="Q208" s="6" t="s">
        <v>694</v>
      </c>
      <c r="R208" s="7">
        <v>42819</v>
      </c>
      <c r="S208" s="4" t="str">
        <f t="shared" ca="1" si="20"/>
        <v>PKWTT</v>
      </c>
      <c r="T208" s="10" t="str">
        <f t="shared" ca="1" si="21"/>
        <v/>
      </c>
      <c r="U208" s="7" t="str">
        <f t="shared" ca="1" si="22"/>
        <v/>
      </c>
      <c r="V208" s="7"/>
      <c r="W208" s="7"/>
      <c r="X208" s="4" t="str">
        <f t="shared" ca="1" si="23"/>
        <v>Active</v>
      </c>
      <c r="Y208" s="6" t="s">
        <v>2643</v>
      </c>
      <c r="Z208" s="6" t="s">
        <v>2652</v>
      </c>
      <c r="AA208" s="6" t="s">
        <v>683</v>
      </c>
      <c r="AC208" s="6" t="s">
        <v>2018</v>
      </c>
      <c r="AD208" s="6" t="s">
        <v>2019</v>
      </c>
      <c r="AE208" s="6" t="s">
        <v>847</v>
      </c>
      <c r="AF208" s="6" t="s">
        <v>2020</v>
      </c>
    </row>
    <row r="209" spans="1:32" x14ac:dyDescent="0.35">
      <c r="A209" s="5">
        <f t="shared" si="18"/>
        <v>202044146</v>
      </c>
      <c r="B209" s="5" t="s">
        <v>226</v>
      </c>
      <c r="C209" s="5" t="s">
        <v>537</v>
      </c>
      <c r="D209" s="6" t="s">
        <v>700</v>
      </c>
      <c r="E209" s="6" t="s">
        <v>648</v>
      </c>
      <c r="F209" s="6" t="s">
        <v>689</v>
      </c>
      <c r="G209" s="6" t="s">
        <v>2698</v>
      </c>
      <c r="H209" s="1" t="s">
        <v>2691</v>
      </c>
      <c r="I209" s="7">
        <v>30025</v>
      </c>
      <c r="J209" s="6">
        <f t="shared" ca="1" si="19"/>
        <v>44</v>
      </c>
      <c r="K209" s="6" t="s">
        <v>791</v>
      </c>
      <c r="L209" s="6" t="s">
        <v>651</v>
      </c>
      <c r="M209" s="6" t="s">
        <v>701</v>
      </c>
      <c r="N209" s="6" t="s">
        <v>653</v>
      </c>
      <c r="O209" s="6" t="s">
        <v>2028</v>
      </c>
      <c r="P209" s="6" t="s">
        <v>703</v>
      </c>
      <c r="Q209" s="6" t="s">
        <v>704</v>
      </c>
      <c r="R209" s="7">
        <v>44146</v>
      </c>
      <c r="S209" s="4" t="str">
        <f t="shared" ca="1" si="20"/>
        <v>PKWTT</v>
      </c>
      <c r="T209" s="10" t="str">
        <f t="shared" ca="1" si="21"/>
        <v/>
      </c>
      <c r="U209" s="7" t="str">
        <f t="shared" ca="1" si="22"/>
        <v/>
      </c>
      <c r="V209" s="7"/>
      <c r="W209" s="7"/>
      <c r="X209" s="4" t="str">
        <f t="shared" ca="1" si="23"/>
        <v>Active</v>
      </c>
      <c r="Y209" s="6" t="s">
        <v>714</v>
      </c>
      <c r="Z209" s="6" t="s">
        <v>715</v>
      </c>
      <c r="AA209" s="6" t="s">
        <v>659</v>
      </c>
      <c r="AC209" s="6" t="s">
        <v>2030</v>
      </c>
      <c r="AD209" s="6" t="s">
        <v>2031</v>
      </c>
      <c r="AE209" s="6" t="s">
        <v>847</v>
      </c>
      <c r="AF209" s="6" t="s">
        <v>2032</v>
      </c>
    </row>
    <row r="210" spans="1:32" x14ac:dyDescent="0.35">
      <c r="A210" s="5">
        <f t="shared" si="18"/>
        <v>202144538</v>
      </c>
      <c r="B210" s="5" t="s">
        <v>228</v>
      </c>
      <c r="C210" s="5" t="s">
        <v>539</v>
      </c>
      <c r="D210" s="6" t="s">
        <v>2040</v>
      </c>
      <c r="E210" s="6" t="s">
        <v>648</v>
      </c>
      <c r="F210" s="6" t="s">
        <v>664</v>
      </c>
      <c r="G210" s="6" t="s">
        <v>2695</v>
      </c>
      <c r="H210" s="6" t="s">
        <v>2691</v>
      </c>
      <c r="I210" s="7">
        <v>33002</v>
      </c>
      <c r="J210" s="6">
        <f t="shared" ca="1" si="19"/>
        <v>36</v>
      </c>
      <c r="K210" s="6" t="s">
        <v>721</v>
      </c>
      <c r="L210" s="6" t="s">
        <v>651</v>
      </c>
      <c r="M210" s="6" t="s">
        <v>701</v>
      </c>
      <c r="N210" s="6" t="s">
        <v>653</v>
      </c>
      <c r="O210" s="6" t="s">
        <v>2041</v>
      </c>
      <c r="P210" s="6" t="s">
        <v>2042</v>
      </c>
      <c r="Q210" s="6" t="s">
        <v>778</v>
      </c>
      <c r="R210" s="7">
        <v>44538</v>
      </c>
      <c r="S210" s="4" t="str">
        <f t="shared" ca="1" si="20"/>
        <v>PKWT</v>
      </c>
      <c r="T210" s="10">
        <f t="shared" ca="1" si="21"/>
        <v>3</v>
      </c>
      <c r="U210" s="7">
        <f t="shared" ca="1" si="22"/>
        <v>46363</v>
      </c>
      <c r="V210" s="7"/>
      <c r="W210" s="7"/>
      <c r="X210" s="4" t="str">
        <f t="shared" ca="1" si="23"/>
        <v>Active</v>
      </c>
      <c r="Y210" s="6" t="s">
        <v>657</v>
      </c>
      <c r="Z210" s="6" t="s">
        <v>705</v>
      </c>
      <c r="AA210" s="6" t="s">
        <v>706</v>
      </c>
      <c r="AC210" s="6" t="s">
        <v>2044</v>
      </c>
      <c r="AD210" s="6" t="s">
        <v>2045</v>
      </c>
      <c r="AE210" s="6" t="s">
        <v>847</v>
      </c>
      <c r="AF210" s="6" t="s">
        <v>2046</v>
      </c>
    </row>
    <row r="211" spans="1:32" x14ac:dyDescent="0.35">
      <c r="A211" s="5">
        <f t="shared" si="18"/>
        <v>201843419</v>
      </c>
      <c r="B211" s="5" t="s">
        <v>229</v>
      </c>
      <c r="C211" s="5" t="s">
        <v>540</v>
      </c>
      <c r="D211" s="6" t="s">
        <v>1112</v>
      </c>
      <c r="E211" s="6" t="s">
        <v>676</v>
      </c>
      <c r="F211" s="6" t="s">
        <v>809</v>
      </c>
      <c r="G211" s="6" t="s">
        <v>2695</v>
      </c>
      <c r="H211" s="6" t="s">
        <v>2691</v>
      </c>
      <c r="I211" s="7">
        <v>36638</v>
      </c>
      <c r="J211" s="6">
        <f t="shared" ca="1" si="19"/>
        <v>26</v>
      </c>
      <c r="K211" s="6" t="s">
        <v>791</v>
      </c>
      <c r="L211" s="6" t="s">
        <v>651</v>
      </c>
      <c r="M211" s="6" t="s">
        <v>691</v>
      </c>
      <c r="N211" s="6" t="s">
        <v>653</v>
      </c>
      <c r="O211" s="6" t="s">
        <v>2047</v>
      </c>
      <c r="P211" s="6" t="s">
        <v>1114</v>
      </c>
      <c r="Q211" s="6" t="s">
        <v>694</v>
      </c>
      <c r="R211" s="7">
        <v>43419</v>
      </c>
      <c r="S211" s="4" t="str">
        <f t="shared" ca="1" si="20"/>
        <v>PKWTT</v>
      </c>
      <c r="T211" s="10" t="str">
        <f t="shared" ca="1" si="21"/>
        <v/>
      </c>
      <c r="U211" s="7" t="str">
        <f t="shared" ca="1" si="22"/>
        <v/>
      </c>
      <c r="V211" s="7"/>
      <c r="W211" s="7"/>
      <c r="X211" s="4" t="str">
        <f t="shared" ca="1" si="23"/>
        <v>Active</v>
      </c>
      <c r="Y211" s="6" t="s">
        <v>657</v>
      </c>
      <c r="Z211" s="6" t="s">
        <v>658</v>
      </c>
      <c r="AA211" s="6" t="s">
        <v>659</v>
      </c>
      <c r="AC211" s="6" t="s">
        <v>2049</v>
      </c>
      <c r="AD211" s="6" t="s">
        <v>2050</v>
      </c>
      <c r="AE211" s="6" t="s">
        <v>847</v>
      </c>
      <c r="AF211" s="6" t="s">
        <v>2051</v>
      </c>
    </row>
    <row r="212" spans="1:32" x14ac:dyDescent="0.35">
      <c r="A212" s="5">
        <f t="shared" si="18"/>
        <v>202244562</v>
      </c>
      <c r="B212" s="5" t="s">
        <v>86</v>
      </c>
      <c r="C212" s="5" t="s">
        <v>397</v>
      </c>
      <c r="D212" s="6" t="s">
        <v>1149</v>
      </c>
      <c r="E212" s="6" t="s">
        <v>676</v>
      </c>
      <c r="F212" s="6" t="s">
        <v>664</v>
      </c>
      <c r="G212" s="6" t="s">
        <v>2664</v>
      </c>
      <c r="H212" s="1" t="s">
        <v>2692</v>
      </c>
      <c r="I212" s="7">
        <v>32288</v>
      </c>
      <c r="J212" s="6">
        <f t="shared" ca="1" si="19"/>
        <v>38</v>
      </c>
      <c r="K212" s="6" t="s">
        <v>650</v>
      </c>
      <c r="L212" s="6" t="s">
        <v>651</v>
      </c>
      <c r="M212" s="6" t="s">
        <v>652</v>
      </c>
      <c r="N212" s="6" t="s">
        <v>653</v>
      </c>
      <c r="O212" s="6" t="s">
        <v>1150</v>
      </c>
      <c r="P212" s="6" t="s">
        <v>1151</v>
      </c>
      <c r="Q212" s="6" t="s">
        <v>704</v>
      </c>
      <c r="R212" s="7">
        <v>44562</v>
      </c>
      <c r="S212" s="4" t="str">
        <f t="shared" ca="1" si="20"/>
        <v>PKWT</v>
      </c>
      <c r="T212" s="10">
        <f t="shared" ca="1" si="21"/>
        <v>3</v>
      </c>
      <c r="U212" s="7">
        <f t="shared" ca="1" si="22"/>
        <v>46387</v>
      </c>
      <c r="V212" s="7"/>
      <c r="W212" s="7"/>
      <c r="X212" s="4" t="str">
        <f t="shared" ca="1" si="23"/>
        <v>Active</v>
      </c>
      <c r="Y212" s="6" t="s">
        <v>794</v>
      </c>
      <c r="Z212" s="6" t="s">
        <v>795</v>
      </c>
      <c r="AA212" s="6" t="s">
        <v>659</v>
      </c>
      <c r="AC212" s="6" t="s">
        <v>1153</v>
      </c>
      <c r="AD212" s="6" t="s">
        <v>1154</v>
      </c>
      <c r="AE212" s="6" t="s">
        <v>847</v>
      </c>
      <c r="AF212" s="6" t="s">
        <v>1155</v>
      </c>
    </row>
    <row r="213" spans="1:32" x14ac:dyDescent="0.35">
      <c r="A213" s="5">
        <f t="shared" si="18"/>
        <v>201943796</v>
      </c>
      <c r="B213" s="5" t="s">
        <v>231</v>
      </c>
      <c r="C213" s="5" t="s">
        <v>542</v>
      </c>
      <c r="D213" s="6" t="s">
        <v>741</v>
      </c>
      <c r="E213" s="6" t="s">
        <v>676</v>
      </c>
      <c r="F213" s="6" t="s">
        <v>649</v>
      </c>
      <c r="G213" s="6" t="s">
        <v>2695</v>
      </c>
      <c r="H213" s="6" t="s">
        <v>2691</v>
      </c>
      <c r="I213" s="7">
        <v>36475</v>
      </c>
      <c r="J213" s="6">
        <f t="shared" ca="1" si="19"/>
        <v>26</v>
      </c>
      <c r="K213" s="6" t="s">
        <v>665</v>
      </c>
      <c r="L213" s="6" t="s">
        <v>666</v>
      </c>
      <c r="M213" s="6" t="s">
        <v>701</v>
      </c>
      <c r="N213" s="6" t="s">
        <v>653</v>
      </c>
      <c r="O213" s="6" t="s">
        <v>2059</v>
      </c>
      <c r="P213" s="6" t="s">
        <v>744</v>
      </c>
      <c r="Q213" s="6" t="s">
        <v>656</v>
      </c>
      <c r="R213" s="7">
        <v>43796</v>
      </c>
      <c r="S213" s="4" t="str">
        <f t="shared" ca="1" si="20"/>
        <v>PKWTT</v>
      </c>
      <c r="T213" s="10" t="str">
        <f t="shared" ca="1" si="21"/>
        <v/>
      </c>
      <c r="U213" s="7" t="str">
        <f t="shared" ca="1" si="22"/>
        <v/>
      </c>
      <c r="V213" s="7"/>
      <c r="W213" s="7"/>
      <c r="X213" s="4" t="str">
        <f t="shared" ca="1" si="23"/>
        <v>Active</v>
      </c>
      <c r="Y213" s="6" t="s">
        <v>657</v>
      </c>
      <c r="Z213" s="6" t="s">
        <v>916</v>
      </c>
      <c r="AA213" s="6" t="s">
        <v>659</v>
      </c>
      <c r="AC213" s="6" t="s">
        <v>2061</v>
      </c>
      <c r="AD213" s="6" t="s">
        <v>2062</v>
      </c>
      <c r="AE213" s="6" t="s">
        <v>847</v>
      </c>
      <c r="AF213" s="6" t="s">
        <v>2063</v>
      </c>
    </row>
    <row r="214" spans="1:32" x14ac:dyDescent="0.35">
      <c r="A214" s="5">
        <f t="shared" si="18"/>
        <v>202345071</v>
      </c>
      <c r="B214" s="5" t="s">
        <v>232</v>
      </c>
      <c r="C214" s="5" t="s">
        <v>543</v>
      </c>
      <c r="D214" s="6" t="s">
        <v>1208</v>
      </c>
      <c r="E214" s="6" t="s">
        <v>648</v>
      </c>
      <c r="F214" s="6" t="s">
        <v>738</v>
      </c>
      <c r="G214" s="6" t="s">
        <v>2664</v>
      </c>
      <c r="H214" s="1" t="s">
        <v>2692</v>
      </c>
      <c r="I214" s="7">
        <v>31641</v>
      </c>
      <c r="J214" s="6">
        <f t="shared" ca="1" si="19"/>
        <v>39</v>
      </c>
      <c r="K214" s="6" t="s">
        <v>665</v>
      </c>
      <c r="L214" s="6" t="s">
        <v>666</v>
      </c>
      <c r="M214" s="6" t="s">
        <v>701</v>
      </c>
      <c r="N214" s="6" t="s">
        <v>653</v>
      </c>
      <c r="O214" s="6" t="s">
        <v>2064</v>
      </c>
      <c r="P214" s="6" t="s">
        <v>1209</v>
      </c>
      <c r="Q214" s="6" t="s">
        <v>731</v>
      </c>
      <c r="R214" s="7">
        <v>45071</v>
      </c>
      <c r="S214" s="4" t="str">
        <f t="shared" ca="1" si="20"/>
        <v>PKWT</v>
      </c>
      <c r="T214" s="10">
        <f t="shared" ca="1" si="21"/>
        <v>3</v>
      </c>
      <c r="U214" s="7">
        <f t="shared" ca="1" si="22"/>
        <v>46897</v>
      </c>
      <c r="V214" s="7"/>
      <c r="W214" s="7"/>
      <c r="X214" s="4" t="str">
        <f t="shared" ca="1" si="23"/>
        <v>Active</v>
      </c>
      <c r="Y214" s="6" t="s">
        <v>681</v>
      </c>
      <c r="Z214" s="6" t="s">
        <v>759</v>
      </c>
      <c r="AA214" s="6" t="s">
        <v>659</v>
      </c>
      <c r="AC214" s="6" t="s">
        <v>2066</v>
      </c>
      <c r="AD214" s="6" t="s">
        <v>2067</v>
      </c>
      <c r="AE214" s="6" t="s">
        <v>847</v>
      </c>
      <c r="AF214" s="6" t="s">
        <v>2068</v>
      </c>
    </row>
    <row r="215" spans="1:32" x14ac:dyDescent="0.35">
      <c r="A215" s="5">
        <f t="shared" si="18"/>
        <v>201542187</v>
      </c>
      <c r="B215" s="5" t="s">
        <v>233</v>
      </c>
      <c r="C215" s="5" t="s">
        <v>544</v>
      </c>
      <c r="D215" s="6" t="s">
        <v>1434</v>
      </c>
      <c r="E215" s="6" t="s">
        <v>648</v>
      </c>
      <c r="F215" s="6" t="s">
        <v>689</v>
      </c>
      <c r="G215" s="6" t="s">
        <v>2664</v>
      </c>
      <c r="H215" s="6" t="s">
        <v>2692</v>
      </c>
      <c r="I215" s="7">
        <v>36095</v>
      </c>
      <c r="J215" s="6">
        <f t="shared" ca="1" si="19"/>
        <v>27</v>
      </c>
      <c r="K215" s="6" t="s">
        <v>650</v>
      </c>
      <c r="L215" s="6" t="s">
        <v>651</v>
      </c>
      <c r="M215" s="6" t="s">
        <v>677</v>
      </c>
      <c r="N215" s="6" t="s">
        <v>653</v>
      </c>
      <c r="O215" s="6" t="s">
        <v>2069</v>
      </c>
      <c r="P215" s="6" t="s">
        <v>1436</v>
      </c>
      <c r="Q215" s="6" t="s">
        <v>704</v>
      </c>
      <c r="R215" s="7">
        <v>42187</v>
      </c>
      <c r="S215" s="4" t="str">
        <f t="shared" ca="1" si="20"/>
        <v>PKWTT</v>
      </c>
      <c r="T215" s="10" t="str">
        <f t="shared" ca="1" si="21"/>
        <v/>
      </c>
      <c r="U215" s="7" t="str">
        <f t="shared" ca="1" si="22"/>
        <v/>
      </c>
      <c r="V215" s="7"/>
      <c r="W215" s="7"/>
      <c r="X215" s="4" t="str">
        <f t="shared" ca="1" si="23"/>
        <v>Active</v>
      </c>
      <c r="Y215" s="6" t="s">
        <v>2643</v>
      </c>
      <c r="Z215" s="6" t="s">
        <v>2652</v>
      </c>
      <c r="AA215" s="6" t="s">
        <v>683</v>
      </c>
      <c r="AC215" s="6" t="s">
        <v>2071</v>
      </c>
      <c r="AD215" s="6" t="s">
        <v>2072</v>
      </c>
      <c r="AE215" s="6" t="s">
        <v>847</v>
      </c>
      <c r="AF215" s="6" t="s">
        <v>2073</v>
      </c>
    </row>
    <row r="216" spans="1:32" x14ac:dyDescent="0.35">
      <c r="A216" s="5">
        <f t="shared" si="18"/>
        <v>201943744</v>
      </c>
      <c r="B216" s="5" t="s">
        <v>234</v>
      </c>
      <c r="C216" s="5" t="s">
        <v>545</v>
      </c>
      <c r="D216" s="6" t="s">
        <v>647</v>
      </c>
      <c r="E216" s="6" t="s">
        <v>648</v>
      </c>
      <c r="F216" s="6" t="s">
        <v>649</v>
      </c>
      <c r="G216" s="6" t="s">
        <v>2664</v>
      </c>
      <c r="H216" s="1" t="s">
        <v>2692</v>
      </c>
      <c r="I216" s="7">
        <v>28410</v>
      </c>
      <c r="J216" s="6">
        <f t="shared" ca="1" si="19"/>
        <v>48</v>
      </c>
      <c r="K216" s="6" t="s">
        <v>690</v>
      </c>
      <c r="L216" s="6" t="s">
        <v>651</v>
      </c>
      <c r="M216" s="6" t="s">
        <v>677</v>
      </c>
      <c r="N216" s="6" t="s">
        <v>653</v>
      </c>
      <c r="O216" s="6" t="s">
        <v>2074</v>
      </c>
      <c r="P216" s="6" t="s">
        <v>655</v>
      </c>
      <c r="Q216" s="6" t="s">
        <v>694</v>
      </c>
      <c r="R216" s="7">
        <v>43744</v>
      </c>
      <c r="S216" s="4" t="str">
        <f t="shared" ca="1" si="20"/>
        <v>PKWTT</v>
      </c>
      <c r="T216" s="10" t="str">
        <f t="shared" ca="1" si="21"/>
        <v/>
      </c>
      <c r="U216" s="7" t="str">
        <f t="shared" ca="1" si="22"/>
        <v/>
      </c>
      <c r="V216" s="7"/>
      <c r="W216" s="7"/>
      <c r="X216" s="4" t="str">
        <f t="shared" ca="1" si="23"/>
        <v>Active</v>
      </c>
      <c r="Y216" s="6" t="s">
        <v>681</v>
      </c>
      <c r="Z216" s="6" t="s">
        <v>682</v>
      </c>
      <c r="AA216" s="6" t="s">
        <v>683</v>
      </c>
      <c r="AC216" s="6" t="s">
        <v>2076</v>
      </c>
      <c r="AD216" s="6" t="s">
        <v>2077</v>
      </c>
      <c r="AE216" s="6" t="s">
        <v>847</v>
      </c>
      <c r="AF216" s="6" t="s">
        <v>2078</v>
      </c>
    </row>
    <row r="217" spans="1:32" x14ac:dyDescent="0.35">
      <c r="A217" s="5">
        <f t="shared" si="18"/>
        <v>202345147</v>
      </c>
      <c r="B217" s="5" t="s">
        <v>235</v>
      </c>
      <c r="C217" s="5" t="s">
        <v>546</v>
      </c>
      <c r="D217" s="6" t="s">
        <v>1515</v>
      </c>
      <c r="E217" s="6" t="s">
        <v>648</v>
      </c>
      <c r="F217" s="6" t="s">
        <v>664</v>
      </c>
      <c r="G217" s="6" t="s">
        <v>2664</v>
      </c>
      <c r="H217" s="1" t="s">
        <v>2692</v>
      </c>
      <c r="I217" s="7">
        <v>37601</v>
      </c>
      <c r="J217" s="6">
        <f t="shared" ca="1" si="19"/>
        <v>23</v>
      </c>
      <c r="K217" s="6" t="s">
        <v>650</v>
      </c>
      <c r="L217" s="6" t="s">
        <v>666</v>
      </c>
      <c r="M217" s="6" t="s">
        <v>652</v>
      </c>
      <c r="N217" s="6" t="s">
        <v>653</v>
      </c>
      <c r="O217" s="6" t="s">
        <v>2079</v>
      </c>
      <c r="P217" s="6" t="s">
        <v>1516</v>
      </c>
      <c r="Q217" s="6" t="s">
        <v>731</v>
      </c>
      <c r="R217" s="7">
        <v>45147</v>
      </c>
      <c r="S217" s="4" t="str">
        <f t="shared" ca="1" si="20"/>
        <v>PKWT</v>
      </c>
      <c r="T217" s="10">
        <f t="shared" ca="1" si="21"/>
        <v>2</v>
      </c>
      <c r="U217" s="7">
        <f t="shared" ca="1" si="22"/>
        <v>46242</v>
      </c>
      <c r="V217" s="7">
        <v>46242</v>
      </c>
      <c r="W217" s="7" t="s">
        <v>2673</v>
      </c>
      <c r="X217" s="4" t="str">
        <f t="shared" ca="1" si="23"/>
        <v>Non-Active</v>
      </c>
      <c r="Y217" s="6" t="s">
        <v>681</v>
      </c>
      <c r="Z217" s="6" t="s">
        <v>759</v>
      </c>
      <c r="AA217" s="6" t="s">
        <v>659</v>
      </c>
      <c r="AC217" s="6" t="s">
        <v>2081</v>
      </c>
      <c r="AD217" s="6" t="s">
        <v>2082</v>
      </c>
      <c r="AE217" s="6" t="s">
        <v>847</v>
      </c>
      <c r="AF217" s="6" t="s">
        <v>2083</v>
      </c>
    </row>
    <row r="218" spans="1:32" x14ac:dyDescent="0.35">
      <c r="A218" s="5">
        <f t="shared" si="18"/>
        <v>201642621</v>
      </c>
      <c r="B218" s="5" t="s">
        <v>236</v>
      </c>
      <c r="C218" s="5" t="s">
        <v>547</v>
      </c>
      <c r="D218" s="6" t="s">
        <v>981</v>
      </c>
      <c r="E218" s="6" t="s">
        <v>676</v>
      </c>
      <c r="F218" s="6" t="s">
        <v>738</v>
      </c>
      <c r="G218" s="6" t="s">
        <v>2664</v>
      </c>
      <c r="H218" s="1" t="s">
        <v>2692</v>
      </c>
      <c r="I218" s="7">
        <v>35425</v>
      </c>
      <c r="J218" s="6">
        <f t="shared" ca="1" si="19"/>
        <v>29</v>
      </c>
      <c r="K218" s="6" t="s">
        <v>650</v>
      </c>
      <c r="L218" s="6" t="s">
        <v>651</v>
      </c>
      <c r="M218" s="6" t="s">
        <v>691</v>
      </c>
      <c r="N218" s="6" t="s">
        <v>653</v>
      </c>
      <c r="O218" s="6" t="s">
        <v>2084</v>
      </c>
      <c r="P218" s="6" t="s">
        <v>983</v>
      </c>
      <c r="Q218" s="6" t="s">
        <v>656</v>
      </c>
      <c r="R218" s="7">
        <v>42621</v>
      </c>
      <c r="S218" s="4" t="str">
        <f t="shared" ca="1" si="20"/>
        <v>PKWTT</v>
      </c>
      <c r="T218" s="10" t="str">
        <f t="shared" ca="1" si="21"/>
        <v/>
      </c>
      <c r="U218" s="7" t="str">
        <f t="shared" ca="1" si="22"/>
        <v/>
      </c>
      <c r="V218" s="7"/>
      <c r="W218" s="7"/>
      <c r="X218" s="4" t="str">
        <f t="shared" ca="1" si="23"/>
        <v>Active</v>
      </c>
      <c r="Y218" s="6" t="s">
        <v>794</v>
      </c>
      <c r="Z218" s="6" t="s">
        <v>2633</v>
      </c>
      <c r="AA218" s="6" t="s">
        <v>659</v>
      </c>
      <c r="AC218" s="6" t="s">
        <v>2086</v>
      </c>
      <c r="AD218" s="6" t="s">
        <v>2087</v>
      </c>
      <c r="AE218" s="6" t="s">
        <v>847</v>
      </c>
      <c r="AF218" s="6" t="s">
        <v>2088</v>
      </c>
    </row>
    <row r="219" spans="1:32" x14ac:dyDescent="0.35">
      <c r="A219" s="5">
        <f t="shared" si="18"/>
        <v>201642544</v>
      </c>
      <c r="B219" s="5" t="s">
        <v>115</v>
      </c>
      <c r="C219" s="5" t="s">
        <v>426</v>
      </c>
      <c r="D219" s="6" t="s">
        <v>863</v>
      </c>
      <c r="E219" s="6" t="s">
        <v>648</v>
      </c>
      <c r="F219" s="6" t="s">
        <v>664</v>
      </c>
      <c r="G219" s="6" t="s">
        <v>2664</v>
      </c>
      <c r="H219" s="1" t="s">
        <v>2692</v>
      </c>
      <c r="I219" s="7">
        <v>32979</v>
      </c>
      <c r="J219" s="6">
        <f t="shared" ca="1" si="19"/>
        <v>36</v>
      </c>
      <c r="K219" s="6" t="s">
        <v>690</v>
      </c>
      <c r="L219" s="6" t="s">
        <v>666</v>
      </c>
      <c r="M219" s="6" t="s">
        <v>652</v>
      </c>
      <c r="N219" s="6" t="s">
        <v>653</v>
      </c>
      <c r="O219" s="6" t="s">
        <v>1356</v>
      </c>
      <c r="P219" s="6" t="s">
        <v>864</v>
      </c>
      <c r="Q219" s="6" t="s">
        <v>694</v>
      </c>
      <c r="R219" s="7">
        <v>42544</v>
      </c>
      <c r="S219" s="4" t="str">
        <f t="shared" ca="1" si="20"/>
        <v>PKWTT</v>
      </c>
      <c r="T219" s="10" t="str">
        <f t="shared" ca="1" si="21"/>
        <v/>
      </c>
      <c r="U219" s="7" t="str">
        <f t="shared" ca="1" si="22"/>
        <v/>
      </c>
      <c r="V219" s="7"/>
      <c r="W219" s="7"/>
      <c r="X219" s="4" t="str">
        <f t="shared" ca="1" si="23"/>
        <v>Active</v>
      </c>
      <c r="Y219" s="6" t="s">
        <v>794</v>
      </c>
      <c r="Z219" s="6" t="s">
        <v>803</v>
      </c>
      <c r="AA219" s="6" t="s">
        <v>683</v>
      </c>
      <c r="AC219" s="6" t="s">
        <v>1358</v>
      </c>
      <c r="AD219" s="6" t="s">
        <v>1359</v>
      </c>
      <c r="AE219" s="6" t="s">
        <v>847</v>
      </c>
      <c r="AF219" s="6" t="s">
        <v>1360</v>
      </c>
    </row>
    <row r="220" spans="1:32" x14ac:dyDescent="0.35">
      <c r="A220" s="5">
        <f t="shared" si="18"/>
        <v>202345114</v>
      </c>
      <c r="B220" s="5" t="s">
        <v>237</v>
      </c>
      <c r="C220" s="5" t="s">
        <v>548</v>
      </c>
      <c r="D220" s="6" t="s">
        <v>2089</v>
      </c>
      <c r="E220" s="6" t="s">
        <v>648</v>
      </c>
      <c r="F220" s="6" t="s">
        <v>768</v>
      </c>
      <c r="G220" s="6" t="s">
        <v>2695</v>
      </c>
      <c r="H220" s="6" t="s">
        <v>2691</v>
      </c>
      <c r="I220" s="7">
        <v>31803</v>
      </c>
      <c r="J220" s="6">
        <f t="shared" ca="1" si="19"/>
        <v>39</v>
      </c>
      <c r="K220" s="6" t="s">
        <v>721</v>
      </c>
      <c r="L220" s="6" t="s">
        <v>651</v>
      </c>
      <c r="M220" s="6" t="s">
        <v>701</v>
      </c>
      <c r="N220" s="6" t="s">
        <v>653</v>
      </c>
      <c r="O220" s="6" t="s">
        <v>2091</v>
      </c>
      <c r="P220" s="6" t="s">
        <v>2090</v>
      </c>
      <c r="Q220" s="6" t="s">
        <v>694</v>
      </c>
      <c r="R220" s="7">
        <v>45114</v>
      </c>
      <c r="S220" s="4" t="str">
        <f t="shared" ca="1" si="20"/>
        <v>PKWT</v>
      </c>
      <c r="T220" s="10">
        <f t="shared" ca="1" si="21"/>
        <v>3</v>
      </c>
      <c r="U220" s="7">
        <f t="shared" ca="1" si="22"/>
        <v>46940</v>
      </c>
      <c r="V220" s="7"/>
      <c r="W220" s="7"/>
      <c r="X220" s="4" t="str">
        <f t="shared" ca="1" si="23"/>
        <v>Active</v>
      </c>
      <c r="Y220" s="6" t="s">
        <v>657</v>
      </c>
      <c r="Z220" s="6" t="s">
        <v>669</v>
      </c>
      <c r="AA220" s="6" t="s">
        <v>670</v>
      </c>
      <c r="AC220" s="6" t="s">
        <v>2093</v>
      </c>
      <c r="AD220" s="6" t="s">
        <v>2094</v>
      </c>
      <c r="AE220" s="6" t="s">
        <v>847</v>
      </c>
      <c r="AF220" s="6" t="s">
        <v>2095</v>
      </c>
    </row>
    <row r="221" spans="1:32" x14ac:dyDescent="0.35">
      <c r="A221" s="5">
        <f t="shared" si="18"/>
        <v>202545910</v>
      </c>
      <c r="B221" s="5" t="s">
        <v>238</v>
      </c>
      <c r="C221" s="5" t="s">
        <v>549</v>
      </c>
      <c r="D221" s="6" t="s">
        <v>2052</v>
      </c>
      <c r="E221" s="6" t="s">
        <v>676</v>
      </c>
      <c r="F221" s="6" t="s">
        <v>809</v>
      </c>
      <c r="G221" s="6" t="s">
        <v>2664</v>
      </c>
      <c r="H221" s="1" t="s">
        <v>2692</v>
      </c>
      <c r="I221" s="7">
        <v>34527</v>
      </c>
      <c r="J221" s="6">
        <f t="shared" ca="1" si="19"/>
        <v>32</v>
      </c>
      <c r="K221" s="6" t="s">
        <v>721</v>
      </c>
      <c r="L221" s="6" t="s">
        <v>666</v>
      </c>
      <c r="M221" s="6" t="s">
        <v>652</v>
      </c>
      <c r="N221" s="6" t="s">
        <v>653</v>
      </c>
      <c r="O221" s="6" t="s">
        <v>2096</v>
      </c>
      <c r="P221" s="6" t="s">
        <v>2054</v>
      </c>
      <c r="Q221" s="6" t="s">
        <v>704</v>
      </c>
      <c r="R221" s="7">
        <v>45910</v>
      </c>
      <c r="S221" s="4" t="str">
        <f t="shared" ca="1" si="20"/>
        <v>PKWT</v>
      </c>
      <c r="T221" s="10">
        <f t="shared" ca="1" si="21"/>
        <v>1</v>
      </c>
      <c r="U221" s="7">
        <f t="shared" ca="1" si="22"/>
        <v>46274</v>
      </c>
      <c r="V221" s="7">
        <v>46274</v>
      </c>
      <c r="W221" s="7" t="s">
        <v>2673</v>
      </c>
      <c r="X221" s="4" t="str">
        <f t="shared" ca="1" si="23"/>
        <v>Non-Active</v>
      </c>
      <c r="Y221" s="6" t="s">
        <v>681</v>
      </c>
      <c r="Z221" s="6" t="s">
        <v>759</v>
      </c>
      <c r="AA221" s="6" t="s">
        <v>659</v>
      </c>
      <c r="AC221" s="6" t="s">
        <v>2098</v>
      </c>
      <c r="AD221" s="6" t="s">
        <v>2099</v>
      </c>
      <c r="AE221" s="6" t="s">
        <v>847</v>
      </c>
      <c r="AF221" s="6" t="s">
        <v>2100</v>
      </c>
    </row>
    <row r="222" spans="1:32" x14ac:dyDescent="0.35">
      <c r="A222" s="5">
        <f t="shared" si="18"/>
        <v>202043917</v>
      </c>
      <c r="B222" s="5" t="s">
        <v>239</v>
      </c>
      <c r="C222" s="5" t="s">
        <v>550</v>
      </c>
      <c r="D222" s="6" t="s">
        <v>1513</v>
      </c>
      <c r="E222" s="6" t="s">
        <v>648</v>
      </c>
      <c r="F222" s="6" t="s">
        <v>649</v>
      </c>
      <c r="G222" s="6" t="s">
        <v>2695</v>
      </c>
      <c r="H222" s="6" t="s">
        <v>2687</v>
      </c>
      <c r="I222" s="7">
        <v>37727</v>
      </c>
      <c r="J222" s="6">
        <f t="shared" ca="1" si="19"/>
        <v>23</v>
      </c>
      <c r="K222" s="6" t="s">
        <v>690</v>
      </c>
      <c r="L222" s="6" t="s">
        <v>666</v>
      </c>
      <c r="M222" s="6" t="s">
        <v>701</v>
      </c>
      <c r="N222" s="6" t="s">
        <v>653</v>
      </c>
      <c r="O222" s="6" t="s">
        <v>2101</v>
      </c>
      <c r="P222" s="6" t="s">
        <v>1514</v>
      </c>
      <c r="Q222" s="6" t="s">
        <v>694</v>
      </c>
      <c r="R222" s="7">
        <v>43917</v>
      </c>
      <c r="S222" s="4" t="str">
        <f t="shared" ca="1" si="20"/>
        <v>PKWTT</v>
      </c>
      <c r="T222" s="10" t="str">
        <f t="shared" ca="1" si="21"/>
        <v/>
      </c>
      <c r="U222" s="7" t="str">
        <f t="shared" ca="1" si="22"/>
        <v/>
      </c>
      <c r="V222" s="7">
        <v>46271</v>
      </c>
      <c r="W222" s="7"/>
      <c r="X222" s="4" t="str">
        <f t="shared" ca="1" si="23"/>
        <v>Non-Active</v>
      </c>
      <c r="Y222" s="6" t="s">
        <v>657</v>
      </c>
      <c r="Z222" s="6" t="s">
        <v>658</v>
      </c>
      <c r="AA222" s="6" t="s">
        <v>2640</v>
      </c>
      <c r="AC222" s="6" t="s">
        <v>2103</v>
      </c>
      <c r="AD222" s="6" t="s">
        <v>2104</v>
      </c>
      <c r="AE222" s="6" t="s">
        <v>847</v>
      </c>
      <c r="AF222" s="6" t="s">
        <v>2105</v>
      </c>
    </row>
    <row r="223" spans="1:32" x14ac:dyDescent="0.35">
      <c r="A223" s="5">
        <f t="shared" si="18"/>
        <v>202144365</v>
      </c>
      <c r="B223" s="5" t="s">
        <v>241</v>
      </c>
      <c r="C223" s="5" t="s">
        <v>552</v>
      </c>
      <c r="D223" s="6" t="s">
        <v>1695</v>
      </c>
      <c r="E223" s="6" t="s">
        <v>648</v>
      </c>
      <c r="F223" s="6" t="s">
        <v>664</v>
      </c>
      <c r="G223" s="6" t="s">
        <v>2664</v>
      </c>
      <c r="H223" s="6" t="s">
        <v>2692</v>
      </c>
      <c r="I223" s="7">
        <v>34799</v>
      </c>
      <c r="J223" s="6">
        <f t="shared" ca="1" si="19"/>
        <v>31</v>
      </c>
      <c r="K223" s="6" t="s">
        <v>791</v>
      </c>
      <c r="L223" s="6" t="s">
        <v>651</v>
      </c>
      <c r="M223" s="6" t="s">
        <v>691</v>
      </c>
      <c r="N223" s="6" t="s">
        <v>653</v>
      </c>
      <c r="O223" s="6" t="s">
        <v>2111</v>
      </c>
      <c r="P223" s="6" t="s">
        <v>1697</v>
      </c>
      <c r="Q223" s="6" t="s">
        <v>656</v>
      </c>
      <c r="R223" s="7">
        <v>44365</v>
      </c>
      <c r="S223" s="4" t="str">
        <f t="shared" ca="1" si="20"/>
        <v>PKWTT</v>
      </c>
      <c r="T223" s="10" t="str">
        <f t="shared" ca="1" si="21"/>
        <v/>
      </c>
      <c r="U223" s="7" t="str">
        <f t="shared" ca="1" si="22"/>
        <v/>
      </c>
      <c r="V223" s="7"/>
      <c r="W223" s="7"/>
      <c r="X223" s="4" t="str">
        <f t="shared" ca="1" si="23"/>
        <v>Active</v>
      </c>
      <c r="Y223" s="6" t="s">
        <v>732</v>
      </c>
      <c r="Z223" s="6" t="s">
        <v>733</v>
      </c>
      <c r="AA223" s="6" t="s">
        <v>659</v>
      </c>
      <c r="AC223" s="6" t="s">
        <v>2113</v>
      </c>
      <c r="AD223" s="6" t="s">
        <v>2114</v>
      </c>
      <c r="AE223" s="6" t="s">
        <v>847</v>
      </c>
      <c r="AF223" s="6" t="s">
        <v>2115</v>
      </c>
    </row>
    <row r="224" spans="1:32" x14ac:dyDescent="0.35">
      <c r="A224" s="5">
        <f t="shared" si="18"/>
        <v>202144365</v>
      </c>
      <c r="B224" s="5" t="s">
        <v>242</v>
      </c>
      <c r="C224" s="5" t="s">
        <v>553</v>
      </c>
      <c r="D224" s="6" t="s">
        <v>675</v>
      </c>
      <c r="E224" s="6" t="s">
        <v>676</v>
      </c>
      <c r="F224" s="6" t="s">
        <v>649</v>
      </c>
      <c r="G224" s="6" t="s">
        <v>2695</v>
      </c>
      <c r="H224" s="6" t="s">
        <v>2687</v>
      </c>
      <c r="I224" s="7">
        <v>29482</v>
      </c>
      <c r="J224" s="6">
        <f t="shared" ca="1" si="19"/>
        <v>45</v>
      </c>
      <c r="K224" s="6" t="s">
        <v>650</v>
      </c>
      <c r="L224" s="6" t="s">
        <v>651</v>
      </c>
      <c r="M224" s="6" t="s">
        <v>701</v>
      </c>
      <c r="N224" s="6" t="s">
        <v>653</v>
      </c>
      <c r="O224" s="6" t="s">
        <v>2116</v>
      </c>
      <c r="P224" s="6" t="s">
        <v>679</v>
      </c>
      <c r="Q224" s="6" t="s">
        <v>656</v>
      </c>
      <c r="R224" s="7">
        <v>44365</v>
      </c>
      <c r="S224" s="4" t="str">
        <f t="shared" ca="1" si="20"/>
        <v>PKWTT</v>
      </c>
      <c r="T224" s="10" t="str">
        <f t="shared" ca="1" si="21"/>
        <v/>
      </c>
      <c r="U224" s="7" t="str">
        <f t="shared" ca="1" si="22"/>
        <v/>
      </c>
      <c r="V224" s="7"/>
      <c r="W224" s="7"/>
      <c r="X224" s="4" t="str">
        <f t="shared" ca="1" si="23"/>
        <v>Active</v>
      </c>
      <c r="Y224" s="6" t="s">
        <v>657</v>
      </c>
      <c r="Z224" s="6" t="s">
        <v>916</v>
      </c>
      <c r="AA224" s="6" t="s">
        <v>659</v>
      </c>
      <c r="AC224" s="6" t="s">
        <v>2118</v>
      </c>
      <c r="AD224" s="6" t="s">
        <v>2119</v>
      </c>
      <c r="AE224" s="6" t="s">
        <v>847</v>
      </c>
      <c r="AF224" s="6" t="s">
        <v>2120</v>
      </c>
    </row>
    <row r="225" spans="1:32" x14ac:dyDescent="0.35">
      <c r="A225" s="5">
        <f t="shared" si="18"/>
        <v>201843144</v>
      </c>
      <c r="B225" s="5" t="s">
        <v>252</v>
      </c>
      <c r="C225" s="5" t="s">
        <v>563</v>
      </c>
      <c r="D225" s="6" t="s">
        <v>2009</v>
      </c>
      <c r="E225" s="6" t="s">
        <v>676</v>
      </c>
      <c r="F225" s="6" t="s">
        <v>738</v>
      </c>
      <c r="G225" s="6" t="s">
        <v>2664</v>
      </c>
      <c r="H225" s="1" t="s">
        <v>2692</v>
      </c>
      <c r="I225" s="7">
        <v>33231</v>
      </c>
      <c r="J225" s="6">
        <f t="shared" ca="1" si="19"/>
        <v>35</v>
      </c>
      <c r="K225" s="6" t="s">
        <v>690</v>
      </c>
      <c r="L225" s="6" t="s">
        <v>651</v>
      </c>
      <c r="M225" s="6" t="s">
        <v>701</v>
      </c>
      <c r="N225" s="6" t="s">
        <v>653</v>
      </c>
      <c r="O225" s="6" t="s">
        <v>2168</v>
      </c>
      <c r="P225" s="6" t="s">
        <v>2011</v>
      </c>
      <c r="Q225" s="6" t="s">
        <v>694</v>
      </c>
      <c r="R225" s="7">
        <v>43144</v>
      </c>
      <c r="S225" s="4" t="str">
        <f t="shared" ca="1" si="20"/>
        <v>PKWTT</v>
      </c>
      <c r="T225" s="10" t="str">
        <f t="shared" ca="1" si="21"/>
        <v/>
      </c>
      <c r="U225" s="7" t="str">
        <f t="shared" ca="1" si="22"/>
        <v/>
      </c>
      <c r="V225" s="7"/>
      <c r="W225" s="7"/>
      <c r="X225" s="4" t="str">
        <f t="shared" ca="1" si="23"/>
        <v>Active</v>
      </c>
      <c r="Y225" s="6" t="s">
        <v>794</v>
      </c>
      <c r="Z225" s="6" t="s">
        <v>803</v>
      </c>
      <c r="AA225" s="6" t="s">
        <v>683</v>
      </c>
      <c r="AC225" s="6" t="s">
        <v>2170</v>
      </c>
      <c r="AD225" s="6" t="s">
        <v>2171</v>
      </c>
      <c r="AE225" s="6" t="s">
        <v>847</v>
      </c>
      <c r="AF225" s="6" t="s">
        <v>2172</v>
      </c>
    </row>
    <row r="226" spans="1:32" x14ac:dyDescent="0.35">
      <c r="A226" s="5">
        <f t="shared" si="18"/>
        <v>201642592</v>
      </c>
      <c r="B226" s="5" t="s">
        <v>245</v>
      </c>
      <c r="C226" s="5" t="s">
        <v>556</v>
      </c>
      <c r="D226" s="6" t="s">
        <v>1750</v>
      </c>
      <c r="E226" s="6" t="s">
        <v>648</v>
      </c>
      <c r="F226" s="6" t="s">
        <v>664</v>
      </c>
      <c r="G226" s="6" t="s">
        <v>2695</v>
      </c>
      <c r="H226" s="6" t="s">
        <v>2687</v>
      </c>
      <c r="I226" s="7">
        <v>33744</v>
      </c>
      <c r="J226" s="6">
        <f t="shared" ca="1" si="19"/>
        <v>34</v>
      </c>
      <c r="K226" s="6" t="s">
        <v>690</v>
      </c>
      <c r="L226" s="6" t="s">
        <v>666</v>
      </c>
      <c r="M226" s="6" t="s">
        <v>677</v>
      </c>
      <c r="N226" s="6" t="s">
        <v>653</v>
      </c>
      <c r="O226" s="6" t="s">
        <v>2131</v>
      </c>
      <c r="P226" s="6" t="s">
        <v>1751</v>
      </c>
      <c r="Q226" s="6" t="s">
        <v>704</v>
      </c>
      <c r="R226" s="7">
        <v>42592</v>
      </c>
      <c r="S226" s="4" t="str">
        <f t="shared" ca="1" si="20"/>
        <v>PKWTT</v>
      </c>
      <c r="T226" s="10" t="str">
        <f t="shared" ca="1" si="21"/>
        <v/>
      </c>
      <c r="U226" s="7" t="str">
        <f t="shared" ca="1" si="22"/>
        <v/>
      </c>
      <c r="V226" s="7"/>
      <c r="W226" s="7"/>
      <c r="X226" s="4" t="str">
        <f t="shared" ca="1" si="23"/>
        <v>Active</v>
      </c>
      <c r="Y226" s="6" t="s">
        <v>657</v>
      </c>
      <c r="Z226" s="6" t="s">
        <v>658</v>
      </c>
      <c r="AA226" s="6" t="s">
        <v>659</v>
      </c>
      <c r="AC226" s="6" t="s">
        <v>2133</v>
      </c>
      <c r="AD226" s="6" t="s">
        <v>2134</v>
      </c>
      <c r="AE226" s="6" t="s">
        <v>847</v>
      </c>
      <c r="AF226" s="6" t="s">
        <v>2135</v>
      </c>
    </row>
    <row r="227" spans="1:32" x14ac:dyDescent="0.35">
      <c r="A227" s="5">
        <f t="shared" si="18"/>
        <v>201943644</v>
      </c>
      <c r="B227" s="5" t="s">
        <v>246</v>
      </c>
      <c r="C227" s="5" t="s">
        <v>557</v>
      </c>
      <c r="D227" s="6" t="s">
        <v>997</v>
      </c>
      <c r="E227" s="6" t="s">
        <v>648</v>
      </c>
      <c r="F227" s="6" t="s">
        <v>649</v>
      </c>
      <c r="G227" s="6" t="s">
        <v>2664</v>
      </c>
      <c r="H227" s="1" t="s">
        <v>2692</v>
      </c>
      <c r="I227" s="7">
        <v>32366</v>
      </c>
      <c r="J227" s="6">
        <f t="shared" ca="1" si="19"/>
        <v>37</v>
      </c>
      <c r="K227" s="6" t="s">
        <v>650</v>
      </c>
      <c r="L227" s="6" t="s">
        <v>666</v>
      </c>
      <c r="M227" s="6" t="s">
        <v>691</v>
      </c>
      <c r="N227" s="6" t="s">
        <v>653</v>
      </c>
      <c r="O227" s="6" t="s">
        <v>2136</v>
      </c>
      <c r="P227" s="6" t="s">
        <v>998</v>
      </c>
      <c r="Q227" s="6" t="s">
        <v>656</v>
      </c>
      <c r="R227" s="7">
        <v>43644</v>
      </c>
      <c r="S227" s="4" t="str">
        <f t="shared" ca="1" si="20"/>
        <v>PKWTT</v>
      </c>
      <c r="T227" s="10" t="str">
        <f t="shared" ca="1" si="21"/>
        <v/>
      </c>
      <c r="U227" s="7" t="str">
        <f t="shared" ca="1" si="22"/>
        <v/>
      </c>
      <c r="V227" s="7"/>
      <c r="W227" s="7"/>
      <c r="X227" s="4" t="str">
        <f t="shared" ca="1" si="23"/>
        <v>Active</v>
      </c>
      <c r="Y227" s="6" t="s">
        <v>681</v>
      </c>
      <c r="Z227" s="6" t="s">
        <v>682</v>
      </c>
      <c r="AA227" s="6" t="s">
        <v>683</v>
      </c>
      <c r="AC227" s="6" t="s">
        <v>2138</v>
      </c>
      <c r="AD227" s="6" t="s">
        <v>2139</v>
      </c>
      <c r="AE227" s="6" t="s">
        <v>847</v>
      </c>
      <c r="AF227" s="6" t="s">
        <v>2140</v>
      </c>
    </row>
    <row r="228" spans="1:32" x14ac:dyDescent="0.35">
      <c r="A228" s="5">
        <f t="shared" si="18"/>
        <v>201843326</v>
      </c>
      <c r="B228" s="5" t="s">
        <v>247</v>
      </c>
      <c r="C228" s="5" t="s">
        <v>558</v>
      </c>
      <c r="D228" s="6" t="s">
        <v>2141</v>
      </c>
      <c r="E228" s="6" t="s">
        <v>676</v>
      </c>
      <c r="F228" s="6" t="s">
        <v>809</v>
      </c>
      <c r="G228" s="6" t="s">
        <v>2664</v>
      </c>
      <c r="H228" s="6" t="s">
        <v>2692</v>
      </c>
      <c r="I228" s="7">
        <v>30978</v>
      </c>
      <c r="J228" s="6">
        <f t="shared" ca="1" si="19"/>
        <v>41</v>
      </c>
      <c r="K228" s="6" t="s">
        <v>650</v>
      </c>
      <c r="L228" s="6" t="s">
        <v>666</v>
      </c>
      <c r="M228" s="6" t="s">
        <v>691</v>
      </c>
      <c r="N228" s="6" t="s">
        <v>653</v>
      </c>
      <c r="O228" s="6" t="s">
        <v>2142</v>
      </c>
      <c r="P228" s="6" t="s">
        <v>2143</v>
      </c>
      <c r="Q228" s="6" t="s">
        <v>704</v>
      </c>
      <c r="R228" s="7">
        <v>43326</v>
      </c>
      <c r="S228" s="4" t="str">
        <f t="shared" ca="1" si="20"/>
        <v>PKWTT</v>
      </c>
      <c r="T228" s="10" t="str">
        <f t="shared" ca="1" si="21"/>
        <v/>
      </c>
      <c r="U228" s="7" t="str">
        <f t="shared" ca="1" si="22"/>
        <v/>
      </c>
      <c r="V228" s="7"/>
      <c r="W228" s="7"/>
      <c r="X228" s="4" t="str">
        <f t="shared" ca="1" si="23"/>
        <v>Active</v>
      </c>
      <c r="Y228" s="6" t="s">
        <v>732</v>
      </c>
      <c r="Z228" s="6" t="s">
        <v>733</v>
      </c>
      <c r="AA228" s="6" t="s">
        <v>659</v>
      </c>
      <c r="AC228" s="6" t="s">
        <v>2145</v>
      </c>
      <c r="AD228" s="6" t="s">
        <v>2146</v>
      </c>
      <c r="AE228" s="6" t="s">
        <v>847</v>
      </c>
      <c r="AF228" s="6" t="s">
        <v>2147</v>
      </c>
    </row>
    <row r="229" spans="1:32" x14ac:dyDescent="0.35">
      <c r="A229" s="5">
        <f t="shared" si="18"/>
        <v>202043848</v>
      </c>
      <c r="B229" s="5" t="s">
        <v>248</v>
      </c>
      <c r="C229" s="5" t="s">
        <v>559</v>
      </c>
      <c r="D229" s="6" t="s">
        <v>921</v>
      </c>
      <c r="E229" s="6" t="s">
        <v>648</v>
      </c>
      <c r="F229" s="6" t="s">
        <v>649</v>
      </c>
      <c r="G229" s="6" t="s">
        <v>2664</v>
      </c>
      <c r="H229" s="1" t="s">
        <v>2692</v>
      </c>
      <c r="I229" s="7">
        <v>28565</v>
      </c>
      <c r="J229" s="6">
        <f t="shared" ca="1" si="19"/>
        <v>48</v>
      </c>
      <c r="K229" s="6" t="s">
        <v>665</v>
      </c>
      <c r="L229" s="6" t="s">
        <v>651</v>
      </c>
      <c r="M229" s="6" t="s">
        <v>677</v>
      </c>
      <c r="N229" s="6" t="s">
        <v>653</v>
      </c>
      <c r="O229" s="6" t="s">
        <v>2148</v>
      </c>
      <c r="P229" s="6" t="s">
        <v>922</v>
      </c>
      <c r="Q229" s="6" t="s">
        <v>704</v>
      </c>
      <c r="R229" s="7">
        <v>43848</v>
      </c>
      <c r="S229" s="4" t="str">
        <f t="shared" ca="1" si="20"/>
        <v>PKWTT</v>
      </c>
      <c r="T229" s="10" t="str">
        <f t="shared" ca="1" si="21"/>
        <v/>
      </c>
      <c r="U229" s="7" t="str">
        <f t="shared" ca="1" si="22"/>
        <v/>
      </c>
      <c r="V229" s="7"/>
      <c r="W229" s="7"/>
      <c r="X229" s="4" t="str">
        <f t="shared" ca="1" si="23"/>
        <v>Active</v>
      </c>
      <c r="Y229" s="6" t="s">
        <v>657</v>
      </c>
      <c r="Z229" s="6" t="s">
        <v>705</v>
      </c>
      <c r="AA229" s="6" t="s">
        <v>706</v>
      </c>
      <c r="AC229" s="6" t="s">
        <v>2150</v>
      </c>
      <c r="AD229" s="6" t="s">
        <v>2151</v>
      </c>
      <c r="AE229" s="6" t="s">
        <v>847</v>
      </c>
      <c r="AF229" s="6" t="s">
        <v>2152</v>
      </c>
    </row>
    <row r="230" spans="1:32" x14ac:dyDescent="0.35">
      <c r="A230" s="5">
        <f t="shared" si="18"/>
        <v>201642646</v>
      </c>
      <c r="B230" s="5" t="s">
        <v>249</v>
      </c>
      <c r="C230" s="5" t="s">
        <v>560</v>
      </c>
      <c r="D230" s="6" t="s">
        <v>1389</v>
      </c>
      <c r="E230" s="6" t="s">
        <v>648</v>
      </c>
      <c r="F230" s="6" t="s">
        <v>768</v>
      </c>
      <c r="G230" s="6" t="s">
        <v>2698</v>
      </c>
      <c r="H230" s="1" t="s">
        <v>2691</v>
      </c>
      <c r="I230" s="7">
        <v>32098</v>
      </c>
      <c r="J230" s="6">
        <f t="shared" ca="1" si="19"/>
        <v>38</v>
      </c>
      <c r="K230" s="6" t="s">
        <v>690</v>
      </c>
      <c r="L230" s="6" t="s">
        <v>666</v>
      </c>
      <c r="M230" s="6" t="s">
        <v>691</v>
      </c>
      <c r="N230" s="6" t="s">
        <v>653</v>
      </c>
      <c r="O230" s="6" t="s">
        <v>2153</v>
      </c>
      <c r="P230" s="6" t="s">
        <v>1390</v>
      </c>
      <c r="Q230" s="6" t="s">
        <v>656</v>
      </c>
      <c r="R230" s="7">
        <v>42646</v>
      </c>
      <c r="S230" s="4" t="str">
        <f t="shared" ca="1" si="20"/>
        <v>PKWTT</v>
      </c>
      <c r="T230" s="10" t="str">
        <f t="shared" ca="1" si="21"/>
        <v/>
      </c>
      <c r="U230" s="7" t="str">
        <f t="shared" ca="1" si="22"/>
        <v/>
      </c>
      <c r="V230" s="7"/>
      <c r="W230" s="7"/>
      <c r="X230" s="4" t="str">
        <f t="shared" ca="1" si="23"/>
        <v>Active</v>
      </c>
      <c r="Y230" s="6" t="s">
        <v>714</v>
      </c>
      <c r="Z230" s="6" t="s">
        <v>715</v>
      </c>
      <c r="AA230" s="6" t="s">
        <v>659</v>
      </c>
      <c r="AC230" s="6" t="s">
        <v>2155</v>
      </c>
      <c r="AD230" s="6" t="s">
        <v>2156</v>
      </c>
      <c r="AE230" s="6" t="s">
        <v>847</v>
      </c>
      <c r="AF230" s="6" t="s">
        <v>2157</v>
      </c>
    </row>
    <row r="231" spans="1:32" x14ac:dyDescent="0.35">
      <c r="A231" s="5">
        <f t="shared" si="18"/>
        <v>201542050</v>
      </c>
      <c r="B231" s="5" t="s">
        <v>250</v>
      </c>
      <c r="C231" s="5" t="s">
        <v>561</v>
      </c>
      <c r="D231" s="6" t="s">
        <v>921</v>
      </c>
      <c r="E231" s="6" t="s">
        <v>648</v>
      </c>
      <c r="F231" s="6" t="s">
        <v>649</v>
      </c>
      <c r="G231" s="6" t="s">
        <v>2664</v>
      </c>
      <c r="H231" s="1" t="s">
        <v>2692</v>
      </c>
      <c r="I231" s="7">
        <v>28057</v>
      </c>
      <c r="J231" s="6">
        <f t="shared" ca="1" si="19"/>
        <v>49</v>
      </c>
      <c r="K231" s="6" t="s">
        <v>721</v>
      </c>
      <c r="L231" s="6" t="s">
        <v>666</v>
      </c>
      <c r="M231" s="6" t="s">
        <v>701</v>
      </c>
      <c r="N231" s="6" t="s">
        <v>653</v>
      </c>
      <c r="O231" s="6" t="s">
        <v>2158</v>
      </c>
      <c r="P231" s="6" t="s">
        <v>922</v>
      </c>
      <c r="Q231" s="6" t="s">
        <v>694</v>
      </c>
      <c r="R231" s="7">
        <v>42050</v>
      </c>
      <c r="S231" s="4" t="str">
        <f t="shared" ca="1" si="20"/>
        <v>PKWTT</v>
      </c>
      <c r="T231" s="10" t="str">
        <f t="shared" ca="1" si="21"/>
        <v/>
      </c>
      <c r="U231" s="7" t="str">
        <f t="shared" ca="1" si="22"/>
        <v/>
      </c>
      <c r="V231" s="7"/>
      <c r="W231" s="7"/>
      <c r="X231" s="4" t="str">
        <f t="shared" ca="1" si="23"/>
        <v>Active</v>
      </c>
      <c r="Y231" s="6" t="s">
        <v>2643</v>
      </c>
      <c r="Z231" s="6" t="s">
        <v>903</v>
      </c>
      <c r="AA231" s="6" t="s">
        <v>659</v>
      </c>
      <c r="AC231" s="6" t="s">
        <v>2160</v>
      </c>
      <c r="AD231" s="6" t="s">
        <v>2161</v>
      </c>
      <c r="AE231" s="6" t="s">
        <v>847</v>
      </c>
      <c r="AF231" s="6" t="s">
        <v>2162</v>
      </c>
    </row>
    <row r="232" spans="1:32" x14ac:dyDescent="0.35">
      <c r="A232" s="5">
        <f t="shared" si="18"/>
        <v>201742781</v>
      </c>
      <c r="B232" s="5" t="s">
        <v>253</v>
      </c>
      <c r="C232" s="5" t="s">
        <v>564</v>
      </c>
      <c r="D232" s="6" t="s">
        <v>1093</v>
      </c>
      <c r="E232" s="6" t="s">
        <v>676</v>
      </c>
      <c r="F232" s="6" t="s">
        <v>768</v>
      </c>
      <c r="G232" s="6" t="s">
        <v>2664</v>
      </c>
      <c r="H232" s="1" t="s">
        <v>2692</v>
      </c>
      <c r="I232" s="7">
        <v>27531</v>
      </c>
      <c r="J232" s="6">
        <f t="shared" ca="1" si="19"/>
        <v>51</v>
      </c>
      <c r="K232" s="6" t="s">
        <v>665</v>
      </c>
      <c r="L232" s="6" t="s">
        <v>666</v>
      </c>
      <c r="M232" s="6" t="s">
        <v>701</v>
      </c>
      <c r="N232" s="6" t="s">
        <v>653</v>
      </c>
      <c r="O232" s="6" t="s">
        <v>2173</v>
      </c>
      <c r="P232" s="6" t="s">
        <v>1095</v>
      </c>
      <c r="Q232" s="6" t="s">
        <v>731</v>
      </c>
      <c r="R232" s="7">
        <v>42781</v>
      </c>
      <c r="S232" s="4" t="str">
        <f t="shared" ca="1" si="20"/>
        <v>PKWTT</v>
      </c>
      <c r="T232" s="10" t="str">
        <f t="shared" ca="1" si="21"/>
        <v/>
      </c>
      <c r="U232" s="7" t="str">
        <f t="shared" ca="1" si="22"/>
        <v/>
      </c>
      <c r="V232" s="7"/>
      <c r="W232" s="7"/>
      <c r="X232" s="4" t="str">
        <f t="shared" ca="1" si="23"/>
        <v>Active</v>
      </c>
      <c r="Y232" s="6" t="s">
        <v>2643</v>
      </c>
      <c r="Z232" s="6" t="s">
        <v>903</v>
      </c>
      <c r="AA232" s="6" t="s">
        <v>659</v>
      </c>
      <c r="AC232" s="6" t="s">
        <v>2174</v>
      </c>
      <c r="AD232" s="6" t="s">
        <v>2175</v>
      </c>
      <c r="AE232" s="6" t="s">
        <v>847</v>
      </c>
      <c r="AF232" s="6" t="s">
        <v>2176</v>
      </c>
    </row>
    <row r="233" spans="1:32" x14ac:dyDescent="0.35">
      <c r="A233" s="5">
        <f t="shared" si="18"/>
        <v>201943608</v>
      </c>
      <c r="B233" s="5" t="s">
        <v>254</v>
      </c>
      <c r="C233" s="5" t="s">
        <v>565</v>
      </c>
      <c r="D233" s="6" t="s">
        <v>1149</v>
      </c>
      <c r="E233" s="6" t="s">
        <v>676</v>
      </c>
      <c r="F233" s="6" t="s">
        <v>768</v>
      </c>
      <c r="G233" s="6" t="s">
        <v>2698</v>
      </c>
      <c r="H233" s="1" t="s">
        <v>2691</v>
      </c>
      <c r="I233" s="7">
        <v>33769</v>
      </c>
      <c r="J233" s="6">
        <f t="shared" ca="1" si="19"/>
        <v>34</v>
      </c>
      <c r="K233" s="6" t="s">
        <v>690</v>
      </c>
      <c r="L233" s="6" t="s">
        <v>651</v>
      </c>
      <c r="M233" s="6" t="s">
        <v>652</v>
      </c>
      <c r="N233" s="6" t="s">
        <v>653</v>
      </c>
      <c r="O233" s="6" t="s">
        <v>2177</v>
      </c>
      <c r="P233" s="6" t="s">
        <v>1151</v>
      </c>
      <c r="Q233" s="6" t="s">
        <v>778</v>
      </c>
      <c r="R233" s="7">
        <v>43608</v>
      </c>
      <c r="S233" s="4" t="str">
        <f t="shared" ca="1" si="20"/>
        <v>PKWTT</v>
      </c>
      <c r="T233" s="10" t="str">
        <f t="shared" ca="1" si="21"/>
        <v/>
      </c>
      <c r="U233" s="7" t="str">
        <f t="shared" ca="1" si="22"/>
        <v/>
      </c>
      <c r="V233" s="7"/>
      <c r="W233" s="7"/>
      <c r="X233" s="4" t="str">
        <f t="shared" ca="1" si="23"/>
        <v>Active</v>
      </c>
      <c r="Y233" s="6" t="s">
        <v>714</v>
      </c>
      <c r="Z233" s="6" t="s">
        <v>715</v>
      </c>
      <c r="AA233" s="6" t="s">
        <v>659</v>
      </c>
      <c r="AC233" s="6" t="s">
        <v>2179</v>
      </c>
      <c r="AD233" s="6" t="s">
        <v>2180</v>
      </c>
      <c r="AE233" s="6" t="s">
        <v>847</v>
      </c>
      <c r="AF233" s="6" t="s">
        <v>2181</v>
      </c>
    </row>
    <row r="234" spans="1:32" x14ac:dyDescent="0.35">
      <c r="A234" s="5">
        <f t="shared" si="18"/>
        <v>202545907</v>
      </c>
      <c r="B234" s="5" t="s">
        <v>255</v>
      </c>
      <c r="C234" s="5" t="s">
        <v>566</v>
      </c>
      <c r="D234" s="6" t="s">
        <v>2182</v>
      </c>
      <c r="E234" s="6" t="s">
        <v>676</v>
      </c>
      <c r="F234" s="6" t="s">
        <v>742</v>
      </c>
      <c r="G234" s="6" t="s">
        <v>2664</v>
      </c>
      <c r="H234" s="1" t="s">
        <v>2692</v>
      </c>
      <c r="I234" s="7">
        <v>33764</v>
      </c>
      <c r="J234" s="6">
        <f t="shared" ca="1" si="19"/>
        <v>34</v>
      </c>
      <c r="K234" s="6" t="s">
        <v>650</v>
      </c>
      <c r="L234" s="6" t="s">
        <v>666</v>
      </c>
      <c r="M234" s="6" t="s">
        <v>701</v>
      </c>
      <c r="N234" s="6" t="s">
        <v>653</v>
      </c>
      <c r="O234" s="6" t="s">
        <v>2183</v>
      </c>
      <c r="P234" s="6" t="s">
        <v>2184</v>
      </c>
      <c r="Q234" s="6" t="s">
        <v>680</v>
      </c>
      <c r="R234" s="7">
        <v>45907</v>
      </c>
      <c r="S234" s="4" t="str">
        <f t="shared" ca="1" si="20"/>
        <v>PKWT</v>
      </c>
      <c r="T234" s="10">
        <f t="shared" ca="1" si="21"/>
        <v>1</v>
      </c>
      <c r="U234" s="7">
        <f t="shared" ca="1" si="22"/>
        <v>46271</v>
      </c>
      <c r="V234" s="7">
        <v>46271</v>
      </c>
      <c r="W234" s="7" t="s">
        <v>2673</v>
      </c>
      <c r="X234" s="4" t="str">
        <f t="shared" ca="1" si="23"/>
        <v>Non-Active</v>
      </c>
      <c r="Y234" s="6" t="s">
        <v>681</v>
      </c>
      <c r="Z234" s="6" t="s">
        <v>759</v>
      </c>
      <c r="AA234" s="6" t="s">
        <v>659</v>
      </c>
      <c r="AC234" s="6" t="s">
        <v>2186</v>
      </c>
      <c r="AD234" s="6" t="s">
        <v>2187</v>
      </c>
      <c r="AE234" s="6" t="s">
        <v>847</v>
      </c>
      <c r="AF234" s="6" t="s">
        <v>2188</v>
      </c>
    </row>
    <row r="235" spans="1:32" x14ac:dyDescent="0.35">
      <c r="A235" s="5">
        <f t="shared" si="18"/>
        <v>201642522</v>
      </c>
      <c r="B235" s="5" t="s">
        <v>256</v>
      </c>
      <c r="C235" s="5" t="s">
        <v>567</v>
      </c>
      <c r="D235" s="6" t="s">
        <v>1012</v>
      </c>
      <c r="E235" s="6" t="s">
        <v>676</v>
      </c>
      <c r="F235" s="6" t="s">
        <v>768</v>
      </c>
      <c r="G235" s="6" t="s">
        <v>2698</v>
      </c>
      <c r="H235" s="1" t="s">
        <v>2691</v>
      </c>
      <c r="I235" s="7">
        <v>36793</v>
      </c>
      <c r="J235" s="6">
        <f t="shared" ca="1" si="19"/>
        <v>25</v>
      </c>
      <c r="K235" s="6" t="s">
        <v>665</v>
      </c>
      <c r="L235" s="6" t="s">
        <v>666</v>
      </c>
      <c r="M235" s="6" t="s">
        <v>691</v>
      </c>
      <c r="N235" s="6" t="s">
        <v>653</v>
      </c>
      <c r="O235" s="6" t="s">
        <v>2189</v>
      </c>
      <c r="P235" s="6" t="s">
        <v>1013</v>
      </c>
      <c r="Q235" s="6" t="s">
        <v>656</v>
      </c>
      <c r="R235" s="7">
        <v>42522</v>
      </c>
      <c r="S235" s="4" t="str">
        <f t="shared" ca="1" si="20"/>
        <v>PKWTT</v>
      </c>
      <c r="T235" s="10" t="str">
        <f t="shared" ca="1" si="21"/>
        <v/>
      </c>
      <c r="U235" s="7" t="str">
        <f t="shared" ca="1" si="22"/>
        <v/>
      </c>
      <c r="V235" s="7"/>
      <c r="W235" s="7"/>
      <c r="X235" s="4" t="str">
        <f t="shared" ca="1" si="23"/>
        <v>Active</v>
      </c>
      <c r="Y235" s="6" t="s">
        <v>714</v>
      </c>
      <c r="Z235" s="6" t="s">
        <v>715</v>
      </c>
      <c r="AA235" s="6" t="s">
        <v>659</v>
      </c>
      <c r="AC235" s="6" t="s">
        <v>2191</v>
      </c>
      <c r="AD235" s="6" t="s">
        <v>2192</v>
      </c>
      <c r="AE235" s="6" t="s">
        <v>847</v>
      </c>
      <c r="AF235" s="6" t="s">
        <v>2193</v>
      </c>
    </row>
    <row r="236" spans="1:32" x14ac:dyDescent="0.35">
      <c r="A236" s="5">
        <f t="shared" si="18"/>
        <v>201642513</v>
      </c>
      <c r="B236" s="5" t="s">
        <v>257</v>
      </c>
      <c r="C236" s="5" t="s">
        <v>568</v>
      </c>
      <c r="D236" s="6" t="s">
        <v>2194</v>
      </c>
      <c r="E236" s="6" t="s">
        <v>648</v>
      </c>
      <c r="F236" s="6" t="s">
        <v>768</v>
      </c>
      <c r="G236" s="6" t="s">
        <v>2698</v>
      </c>
      <c r="H236" s="1" t="s">
        <v>2691</v>
      </c>
      <c r="I236" s="7">
        <v>31102</v>
      </c>
      <c r="J236" s="6">
        <f t="shared" ca="1" si="19"/>
        <v>41</v>
      </c>
      <c r="K236" s="6" t="s">
        <v>650</v>
      </c>
      <c r="L236" s="6" t="s">
        <v>666</v>
      </c>
      <c r="M236" s="6" t="s">
        <v>677</v>
      </c>
      <c r="N236" s="6" t="s">
        <v>653</v>
      </c>
      <c r="O236" s="6" t="s">
        <v>2195</v>
      </c>
      <c r="P236" s="6" t="s">
        <v>2196</v>
      </c>
      <c r="Q236" s="6" t="s">
        <v>680</v>
      </c>
      <c r="R236" s="7">
        <v>42513</v>
      </c>
      <c r="S236" s="4" t="str">
        <f t="shared" ca="1" si="20"/>
        <v>PKWTT</v>
      </c>
      <c r="T236" s="10" t="str">
        <f t="shared" ca="1" si="21"/>
        <v/>
      </c>
      <c r="U236" s="7" t="str">
        <f t="shared" ca="1" si="22"/>
        <v/>
      </c>
      <c r="V236" s="7"/>
      <c r="W236" s="7"/>
      <c r="X236" s="4" t="str">
        <f t="shared" ca="1" si="23"/>
        <v>Active</v>
      </c>
      <c r="Y236" s="6" t="s">
        <v>714</v>
      </c>
      <c r="Z236" s="6" t="s">
        <v>715</v>
      </c>
      <c r="AA236" s="6" t="s">
        <v>659</v>
      </c>
      <c r="AC236" s="6" t="s">
        <v>2198</v>
      </c>
      <c r="AD236" s="6" t="s">
        <v>2199</v>
      </c>
      <c r="AE236" s="6" t="s">
        <v>847</v>
      </c>
      <c r="AF236" s="6" t="s">
        <v>2200</v>
      </c>
    </row>
    <row r="237" spans="1:32" x14ac:dyDescent="0.35">
      <c r="A237" s="5">
        <f t="shared" si="18"/>
        <v>201642732</v>
      </c>
      <c r="B237" s="5" t="s">
        <v>258</v>
      </c>
      <c r="C237" s="5" t="s">
        <v>569</v>
      </c>
      <c r="D237" s="6" t="s">
        <v>2201</v>
      </c>
      <c r="E237" s="6" t="s">
        <v>648</v>
      </c>
      <c r="F237" s="6" t="s">
        <v>768</v>
      </c>
      <c r="G237" s="6" t="s">
        <v>2698</v>
      </c>
      <c r="H237" s="1" t="s">
        <v>2691</v>
      </c>
      <c r="I237" s="7">
        <v>29553</v>
      </c>
      <c r="J237" s="6">
        <f t="shared" ca="1" si="19"/>
        <v>45</v>
      </c>
      <c r="K237" s="6" t="s">
        <v>791</v>
      </c>
      <c r="L237" s="6" t="s">
        <v>651</v>
      </c>
      <c r="M237" s="6" t="s">
        <v>652</v>
      </c>
      <c r="N237" s="6" t="s">
        <v>653</v>
      </c>
      <c r="O237" s="6" t="s">
        <v>2202</v>
      </c>
      <c r="P237" s="6" t="s">
        <v>2203</v>
      </c>
      <c r="Q237" s="6" t="s">
        <v>731</v>
      </c>
      <c r="R237" s="7">
        <v>42732</v>
      </c>
      <c r="S237" s="4" t="str">
        <f t="shared" ca="1" si="20"/>
        <v>PKWTT</v>
      </c>
      <c r="T237" s="10" t="str">
        <f t="shared" ca="1" si="21"/>
        <v/>
      </c>
      <c r="U237" s="7" t="str">
        <f t="shared" ca="1" si="22"/>
        <v/>
      </c>
      <c r="V237" s="7"/>
      <c r="W237" s="7"/>
      <c r="X237" s="4" t="str">
        <f t="shared" ca="1" si="23"/>
        <v>Active</v>
      </c>
      <c r="Y237" s="6" t="s">
        <v>714</v>
      </c>
      <c r="Z237" s="6" t="s">
        <v>715</v>
      </c>
      <c r="AA237" s="6" t="s">
        <v>659</v>
      </c>
      <c r="AC237" s="6" t="s">
        <v>2205</v>
      </c>
      <c r="AD237" s="6" t="s">
        <v>2206</v>
      </c>
      <c r="AE237" s="6" t="s">
        <v>847</v>
      </c>
      <c r="AF237" s="6" t="s">
        <v>2207</v>
      </c>
    </row>
    <row r="238" spans="1:32" x14ac:dyDescent="0.35">
      <c r="A238" s="5">
        <f t="shared" si="18"/>
        <v>202646042</v>
      </c>
      <c r="B238" s="5" t="s">
        <v>259</v>
      </c>
      <c r="C238" s="5" t="s">
        <v>570</v>
      </c>
      <c r="D238" s="6" t="s">
        <v>863</v>
      </c>
      <c r="E238" s="6" t="s">
        <v>648</v>
      </c>
      <c r="F238" s="6" t="s">
        <v>664</v>
      </c>
      <c r="G238" s="6" t="s">
        <v>2664</v>
      </c>
      <c r="H238" s="1" t="s">
        <v>2692</v>
      </c>
      <c r="I238" s="7">
        <v>37015</v>
      </c>
      <c r="J238" s="6">
        <f t="shared" ca="1" si="19"/>
        <v>25</v>
      </c>
      <c r="K238" s="6" t="s">
        <v>665</v>
      </c>
      <c r="L238" s="6" t="s">
        <v>651</v>
      </c>
      <c r="M238" s="6" t="s">
        <v>652</v>
      </c>
      <c r="N238" s="6" t="s">
        <v>653</v>
      </c>
      <c r="O238" s="6" t="s">
        <v>2208</v>
      </c>
      <c r="P238" s="6" t="s">
        <v>864</v>
      </c>
      <c r="Q238" s="6" t="s">
        <v>778</v>
      </c>
      <c r="R238" s="7">
        <v>46042</v>
      </c>
      <c r="S238" s="4" t="str">
        <f t="shared" ca="1" si="20"/>
        <v>PKWT</v>
      </c>
      <c r="T238" s="10">
        <f t="shared" ca="1" si="21"/>
        <v>1</v>
      </c>
      <c r="U238" s="7">
        <f t="shared" ca="1" si="22"/>
        <v>46406</v>
      </c>
      <c r="V238" s="7">
        <v>46127</v>
      </c>
      <c r="W238" s="7" t="s">
        <v>2674</v>
      </c>
      <c r="X238" s="4" t="str">
        <f t="shared" ca="1" si="23"/>
        <v>Non-Active</v>
      </c>
      <c r="Y238" s="6" t="s">
        <v>681</v>
      </c>
      <c r="Z238" s="6" t="s">
        <v>759</v>
      </c>
      <c r="AA238" s="6" t="s">
        <v>659</v>
      </c>
      <c r="AC238" s="6" t="s">
        <v>2210</v>
      </c>
      <c r="AD238" s="6" t="s">
        <v>2211</v>
      </c>
      <c r="AE238" s="6" t="s">
        <v>847</v>
      </c>
      <c r="AF238" s="6" t="s">
        <v>2212</v>
      </c>
    </row>
    <row r="239" spans="1:32" x14ac:dyDescent="0.35">
      <c r="A239" s="5">
        <f t="shared" si="18"/>
        <v>201843265</v>
      </c>
      <c r="B239" s="5" t="s">
        <v>260</v>
      </c>
      <c r="C239" s="5" t="s">
        <v>571</v>
      </c>
      <c r="D239" s="6" t="s">
        <v>2021</v>
      </c>
      <c r="E239" s="6" t="s">
        <v>648</v>
      </c>
      <c r="F239" s="6" t="s">
        <v>664</v>
      </c>
      <c r="G239" s="6" t="s">
        <v>2664</v>
      </c>
      <c r="H239" s="1" t="s">
        <v>2692</v>
      </c>
      <c r="I239" s="7">
        <v>35587</v>
      </c>
      <c r="J239" s="6">
        <f t="shared" ca="1" si="19"/>
        <v>29</v>
      </c>
      <c r="K239" s="6" t="s">
        <v>665</v>
      </c>
      <c r="L239" s="6" t="s">
        <v>666</v>
      </c>
      <c r="M239" s="6" t="s">
        <v>691</v>
      </c>
      <c r="N239" s="6" t="s">
        <v>653</v>
      </c>
      <c r="O239" s="6" t="s">
        <v>2213</v>
      </c>
      <c r="P239" s="6" t="s">
        <v>2023</v>
      </c>
      <c r="Q239" s="6" t="s">
        <v>694</v>
      </c>
      <c r="R239" s="7">
        <v>43265</v>
      </c>
      <c r="S239" s="4" t="str">
        <f t="shared" ca="1" si="20"/>
        <v>PKWTT</v>
      </c>
      <c r="T239" s="10" t="str">
        <f t="shared" ca="1" si="21"/>
        <v/>
      </c>
      <c r="U239" s="7" t="str">
        <f t="shared" ca="1" si="22"/>
        <v/>
      </c>
      <c r="V239" s="7"/>
      <c r="W239" s="7"/>
      <c r="X239" s="4" t="str">
        <f t="shared" ca="1" si="23"/>
        <v>Active</v>
      </c>
      <c r="Y239" s="6" t="s">
        <v>657</v>
      </c>
      <c r="Z239" s="6" t="s">
        <v>669</v>
      </c>
      <c r="AA239" s="6" t="s">
        <v>670</v>
      </c>
      <c r="AC239" s="6" t="s">
        <v>2215</v>
      </c>
      <c r="AD239" s="6" t="s">
        <v>2216</v>
      </c>
      <c r="AE239" s="6" t="s">
        <v>847</v>
      </c>
      <c r="AF239" s="6" t="s">
        <v>2217</v>
      </c>
    </row>
    <row r="240" spans="1:32" x14ac:dyDescent="0.35">
      <c r="A240" s="5">
        <f t="shared" si="18"/>
        <v>202344990</v>
      </c>
      <c r="B240" s="5" t="s">
        <v>261</v>
      </c>
      <c r="C240" s="5" t="s">
        <v>572</v>
      </c>
      <c r="D240" s="6" t="s">
        <v>1190</v>
      </c>
      <c r="E240" s="6" t="s">
        <v>648</v>
      </c>
      <c r="F240" s="6" t="s">
        <v>809</v>
      </c>
      <c r="G240" s="6" t="s">
        <v>2698</v>
      </c>
      <c r="H240" s="1" t="s">
        <v>2691</v>
      </c>
      <c r="I240" s="7">
        <v>35679</v>
      </c>
      <c r="J240" s="6">
        <f t="shared" ca="1" si="19"/>
        <v>28</v>
      </c>
      <c r="K240" s="6" t="s">
        <v>665</v>
      </c>
      <c r="L240" s="6" t="s">
        <v>651</v>
      </c>
      <c r="M240" s="6" t="s">
        <v>701</v>
      </c>
      <c r="N240" s="6" t="s">
        <v>653</v>
      </c>
      <c r="O240" s="6" t="s">
        <v>2218</v>
      </c>
      <c r="P240" s="6" t="s">
        <v>1191</v>
      </c>
      <c r="Q240" s="6" t="s">
        <v>704</v>
      </c>
      <c r="R240" s="7">
        <v>44990</v>
      </c>
      <c r="S240" s="4" t="str">
        <f t="shared" ca="1" si="20"/>
        <v>PKWT</v>
      </c>
      <c r="T240" s="10">
        <f t="shared" ca="1" si="21"/>
        <v>3</v>
      </c>
      <c r="U240" s="7">
        <f t="shared" ca="1" si="22"/>
        <v>46816</v>
      </c>
      <c r="V240" s="7"/>
      <c r="W240" s="7"/>
      <c r="X240" s="4" t="str">
        <f t="shared" ca="1" si="23"/>
        <v>Active</v>
      </c>
      <c r="Y240" s="6" t="s">
        <v>714</v>
      </c>
      <c r="Z240" s="6" t="s">
        <v>715</v>
      </c>
      <c r="AA240" s="6" t="s">
        <v>659</v>
      </c>
      <c r="AC240" s="6" t="s">
        <v>2220</v>
      </c>
      <c r="AD240" s="6" t="s">
        <v>2221</v>
      </c>
      <c r="AE240" s="6" t="s">
        <v>847</v>
      </c>
      <c r="AF240" s="6" t="s">
        <v>2222</v>
      </c>
    </row>
    <row r="241" spans="1:32" x14ac:dyDescent="0.35">
      <c r="A241" s="5">
        <f t="shared" si="18"/>
        <v>202144522</v>
      </c>
      <c r="B241" s="5" t="s">
        <v>262</v>
      </c>
      <c r="C241" s="5" t="s">
        <v>573</v>
      </c>
      <c r="D241" s="6" t="s">
        <v>2223</v>
      </c>
      <c r="E241" s="6" t="s">
        <v>648</v>
      </c>
      <c r="F241" s="6" t="s">
        <v>689</v>
      </c>
      <c r="G241" s="6" t="s">
        <v>2664</v>
      </c>
      <c r="H241" s="6" t="s">
        <v>2692</v>
      </c>
      <c r="I241" s="7">
        <v>36588</v>
      </c>
      <c r="J241" s="6">
        <f t="shared" ca="1" si="19"/>
        <v>26</v>
      </c>
      <c r="K241" s="6" t="s">
        <v>791</v>
      </c>
      <c r="L241" s="6" t="s">
        <v>651</v>
      </c>
      <c r="M241" s="6" t="s">
        <v>652</v>
      </c>
      <c r="N241" s="6" t="s">
        <v>653</v>
      </c>
      <c r="O241" s="6" t="s">
        <v>2224</v>
      </c>
      <c r="P241" s="6" t="s">
        <v>2225</v>
      </c>
      <c r="Q241" s="6" t="s">
        <v>778</v>
      </c>
      <c r="R241" s="7">
        <v>44522</v>
      </c>
      <c r="S241" s="4" t="str">
        <f t="shared" ca="1" si="20"/>
        <v>PKWT</v>
      </c>
      <c r="T241" s="10">
        <f t="shared" ca="1" si="21"/>
        <v>3</v>
      </c>
      <c r="U241" s="7">
        <f t="shared" ca="1" si="22"/>
        <v>46347</v>
      </c>
      <c r="V241" s="7">
        <v>46347</v>
      </c>
      <c r="W241" s="7" t="s">
        <v>2673</v>
      </c>
      <c r="X241" s="4" t="str">
        <f t="shared" ca="1" si="23"/>
        <v>Non-Active</v>
      </c>
      <c r="Y241" s="6" t="s">
        <v>2643</v>
      </c>
      <c r="Z241" s="6" t="s">
        <v>903</v>
      </c>
      <c r="AA241" s="6" t="s">
        <v>659</v>
      </c>
      <c r="AC241" s="6" t="s">
        <v>2227</v>
      </c>
      <c r="AD241" s="6" t="s">
        <v>2228</v>
      </c>
      <c r="AE241" s="6" t="s">
        <v>847</v>
      </c>
      <c r="AF241" s="6" t="s">
        <v>2229</v>
      </c>
    </row>
    <row r="242" spans="1:32" x14ac:dyDescent="0.35">
      <c r="A242" s="5">
        <f t="shared" si="18"/>
        <v>202044160</v>
      </c>
      <c r="B242" s="5" t="s">
        <v>73</v>
      </c>
      <c r="C242" s="5" t="s">
        <v>384</v>
      </c>
      <c r="D242" s="6" t="s">
        <v>1058</v>
      </c>
      <c r="E242" s="6" t="s">
        <v>676</v>
      </c>
      <c r="F242" s="6" t="s">
        <v>649</v>
      </c>
      <c r="G242" s="6" t="s">
        <v>2664</v>
      </c>
      <c r="H242" s="1" t="s">
        <v>2692</v>
      </c>
      <c r="I242" s="7">
        <v>33497</v>
      </c>
      <c r="J242" s="6">
        <f t="shared" ca="1" si="19"/>
        <v>34</v>
      </c>
      <c r="K242" s="6" t="s">
        <v>665</v>
      </c>
      <c r="L242" s="6" t="s">
        <v>651</v>
      </c>
      <c r="M242" s="6" t="s">
        <v>652</v>
      </c>
      <c r="N242" s="6" t="s">
        <v>653</v>
      </c>
      <c r="O242" s="6" t="s">
        <v>1059</v>
      </c>
      <c r="P242" s="6" t="s">
        <v>1060</v>
      </c>
      <c r="Q242" s="6" t="s">
        <v>680</v>
      </c>
      <c r="R242" s="7">
        <v>44160</v>
      </c>
      <c r="S242" s="4" t="str">
        <f t="shared" ca="1" si="20"/>
        <v>PKWTT</v>
      </c>
      <c r="T242" s="10" t="str">
        <f t="shared" ca="1" si="21"/>
        <v/>
      </c>
      <c r="U242" s="7" t="str">
        <f t="shared" ca="1" si="22"/>
        <v/>
      </c>
      <c r="V242" s="7"/>
      <c r="W242" s="7"/>
      <c r="X242" s="4" t="str">
        <f t="shared" ca="1" si="23"/>
        <v>Active</v>
      </c>
      <c r="Y242" s="6" t="s">
        <v>794</v>
      </c>
      <c r="Z242" s="6" t="s">
        <v>795</v>
      </c>
      <c r="AA242" s="6" t="s">
        <v>659</v>
      </c>
      <c r="AC242" s="6" t="s">
        <v>1062</v>
      </c>
      <c r="AD242" s="6" t="s">
        <v>1063</v>
      </c>
      <c r="AE242" s="6" t="s">
        <v>847</v>
      </c>
      <c r="AF242" s="6" t="s">
        <v>1064</v>
      </c>
    </row>
    <row r="243" spans="1:32" x14ac:dyDescent="0.35">
      <c r="A243" s="5">
        <f t="shared" si="18"/>
        <v>202646023</v>
      </c>
      <c r="B243" s="5" t="s">
        <v>263</v>
      </c>
      <c r="C243" s="5" t="s">
        <v>574</v>
      </c>
      <c r="D243" s="6" t="s">
        <v>2232</v>
      </c>
      <c r="E243" s="6" t="s">
        <v>676</v>
      </c>
      <c r="F243" s="6" t="s">
        <v>689</v>
      </c>
      <c r="G243" s="6" t="s">
        <v>2695</v>
      </c>
      <c r="H243" s="6" t="s">
        <v>2687</v>
      </c>
      <c r="I243" s="7">
        <v>37885</v>
      </c>
      <c r="J243" s="6">
        <f t="shared" ca="1" si="19"/>
        <v>22</v>
      </c>
      <c r="K243" s="6" t="s">
        <v>791</v>
      </c>
      <c r="L243" s="6" t="s">
        <v>666</v>
      </c>
      <c r="M243" s="6" t="s">
        <v>677</v>
      </c>
      <c r="N243" s="6" t="s">
        <v>653</v>
      </c>
      <c r="O243" s="6" t="s">
        <v>2233</v>
      </c>
      <c r="P243" s="6" t="s">
        <v>2234</v>
      </c>
      <c r="Q243" s="6" t="s">
        <v>778</v>
      </c>
      <c r="R243" s="7">
        <v>46023</v>
      </c>
      <c r="S243" s="4" t="str">
        <f t="shared" ca="1" si="20"/>
        <v>PKWT</v>
      </c>
      <c r="T243" s="10">
        <f t="shared" ca="1" si="21"/>
        <v>1</v>
      </c>
      <c r="U243" s="7">
        <f t="shared" ca="1" si="22"/>
        <v>46387</v>
      </c>
      <c r="V243" s="7"/>
      <c r="W243" s="7"/>
      <c r="X243" s="4" t="str">
        <f t="shared" ca="1" si="23"/>
        <v>Active</v>
      </c>
      <c r="Y243" s="6" t="s">
        <v>657</v>
      </c>
      <c r="Z243" s="6" t="s">
        <v>916</v>
      </c>
      <c r="AA243" s="6" t="s">
        <v>659</v>
      </c>
      <c r="AC243" s="6" t="s">
        <v>2236</v>
      </c>
      <c r="AD243" s="6" t="s">
        <v>2237</v>
      </c>
      <c r="AE243" s="6" t="s">
        <v>847</v>
      </c>
      <c r="AF243" s="6" t="s">
        <v>2238</v>
      </c>
    </row>
    <row r="244" spans="1:32" x14ac:dyDescent="0.35">
      <c r="A244" s="5">
        <f t="shared" si="18"/>
        <v>201943782</v>
      </c>
      <c r="B244" s="5" t="s">
        <v>264</v>
      </c>
      <c r="C244" s="5" t="s">
        <v>575</v>
      </c>
      <c r="D244" s="6" t="s">
        <v>863</v>
      </c>
      <c r="E244" s="6" t="s">
        <v>648</v>
      </c>
      <c r="F244" s="6" t="s">
        <v>649</v>
      </c>
      <c r="G244" s="6" t="s">
        <v>2695</v>
      </c>
      <c r="H244" s="6" t="s">
        <v>2687</v>
      </c>
      <c r="I244" s="7">
        <v>33636</v>
      </c>
      <c r="J244" s="6">
        <f t="shared" ca="1" si="19"/>
        <v>34</v>
      </c>
      <c r="K244" s="6" t="s">
        <v>791</v>
      </c>
      <c r="L244" s="6" t="s">
        <v>666</v>
      </c>
      <c r="M244" s="6" t="s">
        <v>677</v>
      </c>
      <c r="N244" s="6" t="s">
        <v>653</v>
      </c>
      <c r="O244" s="6" t="s">
        <v>2239</v>
      </c>
      <c r="P244" s="6" t="s">
        <v>864</v>
      </c>
      <c r="Q244" s="6" t="s">
        <v>694</v>
      </c>
      <c r="R244" s="7">
        <v>43782</v>
      </c>
      <c r="S244" s="4" t="str">
        <f t="shared" ca="1" si="20"/>
        <v>PKWTT</v>
      </c>
      <c r="T244" s="10" t="str">
        <f t="shared" ca="1" si="21"/>
        <v/>
      </c>
      <c r="U244" s="7" t="str">
        <f t="shared" ca="1" si="22"/>
        <v/>
      </c>
      <c r="V244" s="7"/>
      <c r="W244" s="7"/>
      <c r="X244" s="4" t="str">
        <f t="shared" ca="1" si="23"/>
        <v>Active</v>
      </c>
      <c r="Y244" s="6" t="s">
        <v>657</v>
      </c>
      <c r="Z244" s="6" t="s">
        <v>916</v>
      </c>
      <c r="AA244" s="6" t="s">
        <v>659</v>
      </c>
      <c r="AC244" s="6" t="s">
        <v>2241</v>
      </c>
      <c r="AD244" s="6" t="s">
        <v>2242</v>
      </c>
      <c r="AE244" s="6" t="s">
        <v>847</v>
      </c>
      <c r="AF244" s="6" t="s">
        <v>2243</v>
      </c>
    </row>
    <row r="245" spans="1:32" x14ac:dyDescent="0.35">
      <c r="A245" s="5">
        <f t="shared" si="18"/>
        <v>201743044</v>
      </c>
      <c r="B245" s="5" t="s">
        <v>265</v>
      </c>
      <c r="C245" s="5" t="s">
        <v>576</v>
      </c>
      <c r="D245" s="6" t="s">
        <v>872</v>
      </c>
      <c r="E245" s="6" t="s">
        <v>648</v>
      </c>
      <c r="F245" s="6" t="s">
        <v>738</v>
      </c>
      <c r="G245" s="6" t="s">
        <v>2698</v>
      </c>
      <c r="H245" s="1" t="s">
        <v>2691</v>
      </c>
      <c r="I245" s="7">
        <v>30948</v>
      </c>
      <c r="J245" s="6">
        <f t="shared" ca="1" si="19"/>
        <v>41</v>
      </c>
      <c r="K245" s="6" t="s">
        <v>650</v>
      </c>
      <c r="L245" s="6" t="s">
        <v>666</v>
      </c>
      <c r="M245" s="6" t="s">
        <v>691</v>
      </c>
      <c r="N245" s="6" t="s">
        <v>653</v>
      </c>
      <c r="O245" s="6" t="s">
        <v>2244</v>
      </c>
      <c r="P245" s="6" t="s">
        <v>874</v>
      </c>
      <c r="Q245" s="6" t="s">
        <v>656</v>
      </c>
      <c r="R245" s="7">
        <v>43044</v>
      </c>
      <c r="S245" s="4" t="str">
        <f t="shared" ca="1" si="20"/>
        <v>PKWTT</v>
      </c>
      <c r="T245" s="10" t="str">
        <f t="shared" ca="1" si="21"/>
        <v/>
      </c>
      <c r="U245" s="7" t="str">
        <f t="shared" ca="1" si="22"/>
        <v/>
      </c>
      <c r="V245" s="7"/>
      <c r="W245" s="7"/>
      <c r="X245" s="4" t="str">
        <f t="shared" ca="1" si="23"/>
        <v>Active</v>
      </c>
      <c r="Y245" s="6" t="s">
        <v>714</v>
      </c>
      <c r="Z245" s="6" t="s">
        <v>715</v>
      </c>
      <c r="AA245" s="6" t="s">
        <v>659</v>
      </c>
      <c r="AC245" s="6" t="s">
        <v>2246</v>
      </c>
      <c r="AD245" s="6" t="s">
        <v>2247</v>
      </c>
      <c r="AE245" s="6" t="s">
        <v>847</v>
      </c>
      <c r="AF245" s="6" t="s">
        <v>2248</v>
      </c>
    </row>
    <row r="246" spans="1:32" x14ac:dyDescent="0.35">
      <c r="A246" s="5">
        <f t="shared" si="18"/>
        <v>202043906</v>
      </c>
      <c r="B246" s="5" t="s">
        <v>266</v>
      </c>
      <c r="C246" s="5" t="s">
        <v>577</v>
      </c>
      <c r="D246" s="6" t="s">
        <v>2659</v>
      </c>
      <c r="E246" s="6" t="s">
        <v>676</v>
      </c>
      <c r="F246" s="6" t="s">
        <v>738</v>
      </c>
      <c r="G246" s="6" t="s">
        <v>2664</v>
      </c>
      <c r="H246" s="6" t="s">
        <v>2692</v>
      </c>
      <c r="I246" s="7">
        <v>32065</v>
      </c>
      <c r="J246" s="6">
        <f t="shared" ca="1" si="19"/>
        <v>38</v>
      </c>
      <c r="K246" s="6" t="s">
        <v>791</v>
      </c>
      <c r="L246" s="6" t="s">
        <v>651</v>
      </c>
      <c r="M246" s="6" t="s">
        <v>691</v>
      </c>
      <c r="N246" s="6" t="s">
        <v>653</v>
      </c>
      <c r="O246" s="6" t="s">
        <v>2249</v>
      </c>
      <c r="P246" s="6" t="s">
        <v>1191</v>
      </c>
      <c r="Q246" s="6" t="s">
        <v>731</v>
      </c>
      <c r="R246" s="7">
        <v>43906</v>
      </c>
      <c r="S246" s="4" t="str">
        <f t="shared" ca="1" si="20"/>
        <v>PKWTT</v>
      </c>
      <c r="T246" s="10" t="str">
        <f t="shared" ca="1" si="21"/>
        <v/>
      </c>
      <c r="U246" s="7" t="str">
        <f t="shared" ca="1" si="22"/>
        <v/>
      </c>
      <c r="V246" s="7"/>
      <c r="W246" s="7"/>
      <c r="X246" s="4" t="str">
        <f t="shared" ca="1" si="23"/>
        <v>Active</v>
      </c>
      <c r="Y246" s="6" t="s">
        <v>2643</v>
      </c>
      <c r="Z246" s="6" t="s">
        <v>2653</v>
      </c>
      <c r="AA246" s="6" t="s">
        <v>2640</v>
      </c>
      <c r="AC246" s="6" t="s">
        <v>2251</v>
      </c>
      <c r="AD246" s="6" t="s">
        <v>2252</v>
      </c>
      <c r="AE246" s="6" t="s">
        <v>847</v>
      </c>
      <c r="AF246" s="6" t="s">
        <v>2253</v>
      </c>
    </row>
    <row r="247" spans="1:32" x14ac:dyDescent="0.35">
      <c r="A247" s="5">
        <f t="shared" si="18"/>
        <v>202043868</v>
      </c>
      <c r="B247" s="5" t="s">
        <v>267</v>
      </c>
      <c r="C247" s="5" t="s">
        <v>578</v>
      </c>
      <c r="D247" s="6" t="s">
        <v>1332</v>
      </c>
      <c r="E247" s="6" t="s">
        <v>648</v>
      </c>
      <c r="F247" s="6" t="s">
        <v>689</v>
      </c>
      <c r="G247" s="6" t="s">
        <v>2695</v>
      </c>
      <c r="H247" s="6" t="s">
        <v>2687</v>
      </c>
      <c r="I247" s="7">
        <v>28803</v>
      </c>
      <c r="J247" s="6">
        <f t="shared" ca="1" si="19"/>
        <v>47</v>
      </c>
      <c r="K247" s="6" t="s">
        <v>650</v>
      </c>
      <c r="L247" s="6" t="s">
        <v>651</v>
      </c>
      <c r="M247" s="6" t="s">
        <v>652</v>
      </c>
      <c r="N247" s="6" t="s">
        <v>653</v>
      </c>
      <c r="O247" s="6" t="s">
        <v>2254</v>
      </c>
      <c r="P247" s="6" t="s">
        <v>1334</v>
      </c>
      <c r="Q247" s="6" t="s">
        <v>731</v>
      </c>
      <c r="R247" s="7">
        <v>43868</v>
      </c>
      <c r="S247" s="4" t="str">
        <f t="shared" ca="1" si="20"/>
        <v>PKWTT</v>
      </c>
      <c r="T247" s="10" t="str">
        <f t="shared" ca="1" si="21"/>
        <v/>
      </c>
      <c r="U247" s="7" t="str">
        <f t="shared" ca="1" si="22"/>
        <v/>
      </c>
      <c r="V247" s="7"/>
      <c r="W247" s="7"/>
      <c r="X247" s="4" t="str">
        <f t="shared" ca="1" si="23"/>
        <v>Active</v>
      </c>
      <c r="Y247" s="6" t="s">
        <v>657</v>
      </c>
      <c r="Z247" s="6" t="s">
        <v>916</v>
      </c>
      <c r="AA247" s="6" t="s">
        <v>659</v>
      </c>
      <c r="AC247" s="6" t="s">
        <v>2256</v>
      </c>
      <c r="AD247" s="6" t="s">
        <v>2257</v>
      </c>
      <c r="AE247" s="6" t="s">
        <v>847</v>
      </c>
      <c r="AF247" s="6" t="s">
        <v>2258</v>
      </c>
    </row>
    <row r="248" spans="1:32" x14ac:dyDescent="0.35">
      <c r="A248" s="5">
        <f t="shared" si="18"/>
        <v>201742985</v>
      </c>
      <c r="B248" s="5" t="s">
        <v>269</v>
      </c>
      <c r="C248" s="5" t="s">
        <v>580</v>
      </c>
      <c r="D248" s="6" t="s">
        <v>2009</v>
      </c>
      <c r="E248" s="6" t="s">
        <v>676</v>
      </c>
      <c r="F248" s="6" t="s">
        <v>742</v>
      </c>
      <c r="G248" s="6" t="s">
        <v>2695</v>
      </c>
      <c r="H248" s="6" t="s">
        <v>2687</v>
      </c>
      <c r="I248" s="7">
        <v>36088</v>
      </c>
      <c r="J248" s="6">
        <f t="shared" ca="1" si="19"/>
        <v>27</v>
      </c>
      <c r="K248" s="6" t="s">
        <v>791</v>
      </c>
      <c r="L248" s="6" t="s">
        <v>651</v>
      </c>
      <c r="M248" s="6" t="s">
        <v>691</v>
      </c>
      <c r="N248" s="6" t="s">
        <v>653</v>
      </c>
      <c r="O248" s="6" t="s">
        <v>2264</v>
      </c>
      <c r="P248" s="6" t="s">
        <v>2011</v>
      </c>
      <c r="Q248" s="6" t="s">
        <v>731</v>
      </c>
      <c r="R248" s="7">
        <v>42985</v>
      </c>
      <c r="S248" s="4" t="str">
        <f t="shared" ca="1" si="20"/>
        <v>PKWTT</v>
      </c>
      <c r="T248" s="10" t="str">
        <f t="shared" ca="1" si="21"/>
        <v/>
      </c>
      <c r="U248" s="7" t="str">
        <f t="shared" ca="1" si="22"/>
        <v/>
      </c>
      <c r="V248" s="7"/>
      <c r="W248" s="7"/>
      <c r="X248" s="4" t="str">
        <f t="shared" ca="1" si="23"/>
        <v>Active</v>
      </c>
      <c r="Y248" s="6" t="s">
        <v>657</v>
      </c>
      <c r="Z248" s="6" t="s">
        <v>916</v>
      </c>
      <c r="AA248" s="6" t="s">
        <v>659</v>
      </c>
      <c r="AC248" s="6" t="s">
        <v>2266</v>
      </c>
      <c r="AD248" s="6" t="s">
        <v>2267</v>
      </c>
      <c r="AE248" s="6" t="s">
        <v>847</v>
      </c>
      <c r="AF248" s="6" t="s">
        <v>2268</v>
      </c>
    </row>
    <row r="249" spans="1:32" x14ac:dyDescent="0.35">
      <c r="A249" s="5">
        <f t="shared" si="18"/>
        <v>201642425</v>
      </c>
      <c r="B249" s="5" t="s">
        <v>240</v>
      </c>
      <c r="C249" s="5" t="s">
        <v>551</v>
      </c>
      <c r="D249" s="6" t="s">
        <v>720</v>
      </c>
      <c r="E249" s="6" t="s">
        <v>648</v>
      </c>
      <c r="F249" s="6" t="s">
        <v>664</v>
      </c>
      <c r="G249" s="6" t="s">
        <v>2664</v>
      </c>
      <c r="H249" s="6" t="s">
        <v>2692</v>
      </c>
      <c r="I249" s="7">
        <v>33719</v>
      </c>
      <c r="J249" s="6">
        <f t="shared" ca="1" si="19"/>
        <v>34</v>
      </c>
      <c r="K249" s="6" t="s">
        <v>791</v>
      </c>
      <c r="L249" s="6" t="s">
        <v>666</v>
      </c>
      <c r="M249" s="6" t="s">
        <v>701</v>
      </c>
      <c r="N249" s="6" t="s">
        <v>653</v>
      </c>
      <c r="O249" s="6" t="s">
        <v>2106</v>
      </c>
      <c r="P249" s="6" t="s">
        <v>723</v>
      </c>
      <c r="Q249" s="6" t="s">
        <v>704</v>
      </c>
      <c r="R249" s="7">
        <v>42425</v>
      </c>
      <c r="S249" s="4" t="str">
        <f t="shared" ca="1" si="20"/>
        <v>PKWTT</v>
      </c>
      <c r="T249" s="10" t="str">
        <f t="shared" ca="1" si="21"/>
        <v/>
      </c>
      <c r="U249" s="7" t="str">
        <f t="shared" ca="1" si="22"/>
        <v/>
      </c>
      <c r="V249" s="7"/>
      <c r="W249" s="7"/>
      <c r="X249" s="4" t="str">
        <f t="shared" ca="1" si="23"/>
        <v>Active</v>
      </c>
      <c r="Y249" s="6" t="s">
        <v>794</v>
      </c>
      <c r="Z249" s="6" t="s">
        <v>2630</v>
      </c>
      <c r="AA249" s="6" t="s">
        <v>2621</v>
      </c>
      <c r="AC249" s="6" t="s">
        <v>2108</v>
      </c>
      <c r="AD249" s="6" t="s">
        <v>2109</v>
      </c>
      <c r="AE249" s="6" t="s">
        <v>847</v>
      </c>
      <c r="AF249" s="6" t="s">
        <v>2110</v>
      </c>
    </row>
    <row r="250" spans="1:32" x14ac:dyDescent="0.35">
      <c r="A250" s="5">
        <f t="shared" si="18"/>
        <v>202044094</v>
      </c>
      <c r="B250" s="5" t="s">
        <v>271</v>
      </c>
      <c r="C250" s="5" t="s">
        <v>582</v>
      </c>
      <c r="D250" s="6" t="s">
        <v>2276</v>
      </c>
      <c r="E250" s="6" t="s">
        <v>648</v>
      </c>
      <c r="F250" s="6" t="s">
        <v>768</v>
      </c>
      <c r="G250" s="6" t="s">
        <v>2664</v>
      </c>
      <c r="H250" s="6" t="s">
        <v>2692</v>
      </c>
      <c r="I250" s="7">
        <v>29353</v>
      </c>
      <c r="J250" s="6">
        <f t="shared" ca="1" si="19"/>
        <v>46</v>
      </c>
      <c r="K250" s="6" t="s">
        <v>690</v>
      </c>
      <c r="L250" s="6" t="s">
        <v>666</v>
      </c>
      <c r="M250" s="6" t="s">
        <v>701</v>
      </c>
      <c r="N250" s="6" t="s">
        <v>653</v>
      </c>
      <c r="O250" s="6" t="s">
        <v>2277</v>
      </c>
      <c r="P250" s="6" t="s">
        <v>2278</v>
      </c>
      <c r="Q250" s="6" t="s">
        <v>731</v>
      </c>
      <c r="R250" s="7">
        <v>44094</v>
      </c>
      <c r="S250" s="4" t="str">
        <f t="shared" ca="1" si="20"/>
        <v>PKWTT</v>
      </c>
      <c r="T250" s="10" t="str">
        <f t="shared" ca="1" si="21"/>
        <v/>
      </c>
      <c r="U250" s="7" t="str">
        <f t="shared" ca="1" si="22"/>
        <v/>
      </c>
      <c r="V250" s="7"/>
      <c r="W250" s="7"/>
      <c r="X250" s="4" t="str">
        <f t="shared" ca="1" si="23"/>
        <v>Active</v>
      </c>
      <c r="Y250" s="6" t="s">
        <v>681</v>
      </c>
      <c r="Z250" s="6" t="s">
        <v>682</v>
      </c>
      <c r="AA250" s="6" t="s">
        <v>683</v>
      </c>
      <c r="AC250" s="6" t="s">
        <v>2280</v>
      </c>
      <c r="AD250" s="6" t="s">
        <v>2281</v>
      </c>
      <c r="AE250" s="6" t="s">
        <v>847</v>
      </c>
      <c r="AF250" s="6" t="s">
        <v>2282</v>
      </c>
    </row>
    <row r="251" spans="1:32" x14ac:dyDescent="0.35">
      <c r="A251" s="5">
        <f t="shared" si="18"/>
        <v>201642522</v>
      </c>
      <c r="B251" s="5" t="s">
        <v>272</v>
      </c>
      <c r="C251" s="5" t="s">
        <v>583</v>
      </c>
      <c r="D251" s="6" t="s">
        <v>849</v>
      </c>
      <c r="E251" s="6" t="s">
        <v>676</v>
      </c>
      <c r="F251" s="6" t="s">
        <v>742</v>
      </c>
      <c r="G251" s="6" t="s">
        <v>2664</v>
      </c>
      <c r="H251" s="6" t="s">
        <v>2692</v>
      </c>
      <c r="I251" s="7">
        <v>35514</v>
      </c>
      <c r="J251" s="6">
        <f t="shared" ca="1" si="19"/>
        <v>29</v>
      </c>
      <c r="K251" s="6" t="s">
        <v>690</v>
      </c>
      <c r="L251" s="6" t="s">
        <v>651</v>
      </c>
      <c r="M251" s="6" t="s">
        <v>691</v>
      </c>
      <c r="N251" s="6" t="s">
        <v>653</v>
      </c>
      <c r="O251" s="6" t="s">
        <v>2283</v>
      </c>
      <c r="P251" s="6" t="s">
        <v>851</v>
      </c>
      <c r="Q251" s="6" t="s">
        <v>731</v>
      </c>
      <c r="R251" s="7">
        <v>42522</v>
      </c>
      <c r="S251" s="4" t="str">
        <f t="shared" ca="1" si="20"/>
        <v>PKWTT</v>
      </c>
      <c r="T251" s="10" t="str">
        <f t="shared" ca="1" si="21"/>
        <v/>
      </c>
      <c r="U251" s="7" t="str">
        <f t="shared" ca="1" si="22"/>
        <v/>
      </c>
      <c r="V251" s="7"/>
      <c r="W251" s="7"/>
      <c r="X251" s="4" t="str">
        <f t="shared" ca="1" si="23"/>
        <v>Active</v>
      </c>
      <c r="Y251" s="6" t="s">
        <v>732</v>
      </c>
      <c r="Z251" s="6" t="s">
        <v>733</v>
      </c>
      <c r="AA251" s="6" t="s">
        <v>659</v>
      </c>
      <c r="AC251" s="6" t="s">
        <v>2285</v>
      </c>
      <c r="AD251" s="6" t="s">
        <v>2286</v>
      </c>
      <c r="AE251" s="6" t="s">
        <v>847</v>
      </c>
      <c r="AF251" s="6" t="s">
        <v>2287</v>
      </c>
    </row>
    <row r="252" spans="1:32" x14ac:dyDescent="0.35">
      <c r="A252" s="5">
        <f t="shared" si="18"/>
        <v>202044108</v>
      </c>
      <c r="B252" s="5" t="s">
        <v>273</v>
      </c>
      <c r="C252" s="5" t="s">
        <v>584</v>
      </c>
      <c r="D252" s="6" t="s">
        <v>1471</v>
      </c>
      <c r="E252" s="6" t="s">
        <v>648</v>
      </c>
      <c r="F252" s="6" t="s">
        <v>809</v>
      </c>
      <c r="G252" s="6" t="s">
        <v>2664</v>
      </c>
      <c r="H252" s="6" t="s">
        <v>2692</v>
      </c>
      <c r="I252" s="7">
        <v>31920</v>
      </c>
      <c r="J252" s="6">
        <f t="shared" ca="1" si="19"/>
        <v>39</v>
      </c>
      <c r="K252" s="6" t="s">
        <v>690</v>
      </c>
      <c r="L252" s="6" t="s">
        <v>666</v>
      </c>
      <c r="M252" s="6" t="s">
        <v>677</v>
      </c>
      <c r="N252" s="6" t="s">
        <v>653</v>
      </c>
      <c r="O252" s="6" t="s">
        <v>2288</v>
      </c>
      <c r="P252" s="6" t="s">
        <v>1472</v>
      </c>
      <c r="Q252" s="6" t="s">
        <v>818</v>
      </c>
      <c r="R252" s="7">
        <v>44108</v>
      </c>
      <c r="S252" s="4" t="str">
        <f t="shared" ca="1" si="20"/>
        <v>PKWTT</v>
      </c>
      <c r="T252" s="10" t="str">
        <f t="shared" ca="1" si="21"/>
        <v/>
      </c>
      <c r="U252" s="7" t="str">
        <f t="shared" ca="1" si="22"/>
        <v/>
      </c>
      <c r="V252" s="7"/>
      <c r="W252" s="7"/>
      <c r="X252" s="4" t="str">
        <f t="shared" ca="1" si="23"/>
        <v>Active</v>
      </c>
      <c r="Y252" s="6" t="s">
        <v>657</v>
      </c>
      <c r="Z252" s="6" t="s">
        <v>669</v>
      </c>
      <c r="AA252" s="6" t="s">
        <v>670</v>
      </c>
      <c r="AC252" s="6" t="s">
        <v>2290</v>
      </c>
      <c r="AD252" s="6" t="s">
        <v>2291</v>
      </c>
      <c r="AE252" s="6" t="s">
        <v>847</v>
      </c>
      <c r="AF252" s="6" t="s">
        <v>2292</v>
      </c>
    </row>
    <row r="253" spans="1:32" x14ac:dyDescent="0.35">
      <c r="A253" s="5">
        <f t="shared" si="18"/>
        <v>201542229</v>
      </c>
      <c r="B253" s="5" t="s">
        <v>274</v>
      </c>
      <c r="C253" s="5" t="s">
        <v>585</v>
      </c>
      <c r="D253" s="6" t="s">
        <v>1695</v>
      </c>
      <c r="E253" s="6" t="s">
        <v>648</v>
      </c>
      <c r="F253" s="6" t="s">
        <v>664</v>
      </c>
      <c r="G253" s="6" t="s">
        <v>2664</v>
      </c>
      <c r="H253" s="6" t="s">
        <v>2692</v>
      </c>
      <c r="I253" s="7">
        <v>31871</v>
      </c>
      <c r="J253" s="6">
        <f t="shared" ca="1" si="19"/>
        <v>39</v>
      </c>
      <c r="K253" s="6" t="s">
        <v>721</v>
      </c>
      <c r="L253" s="6" t="s">
        <v>651</v>
      </c>
      <c r="M253" s="6" t="s">
        <v>677</v>
      </c>
      <c r="N253" s="6" t="s">
        <v>653</v>
      </c>
      <c r="O253" s="6" t="s">
        <v>2293</v>
      </c>
      <c r="P253" s="6" t="s">
        <v>1697</v>
      </c>
      <c r="Q253" s="6" t="s">
        <v>778</v>
      </c>
      <c r="R253" s="7">
        <v>42229</v>
      </c>
      <c r="S253" s="4" t="str">
        <f t="shared" ca="1" si="20"/>
        <v>PKWTT</v>
      </c>
      <c r="T253" s="10" t="str">
        <f t="shared" ca="1" si="21"/>
        <v/>
      </c>
      <c r="U253" s="7" t="str">
        <f t="shared" ca="1" si="22"/>
        <v/>
      </c>
      <c r="V253" s="7"/>
      <c r="W253" s="7"/>
      <c r="X253" s="4" t="str">
        <f t="shared" ca="1" si="23"/>
        <v>Active</v>
      </c>
      <c r="Y253" s="6" t="s">
        <v>2643</v>
      </c>
      <c r="Z253" s="6" t="s">
        <v>2653</v>
      </c>
      <c r="AA253" s="6" t="s">
        <v>2640</v>
      </c>
      <c r="AC253" s="6" t="s">
        <v>2295</v>
      </c>
      <c r="AD253" s="6" t="s">
        <v>2296</v>
      </c>
      <c r="AE253" s="6" t="s">
        <v>847</v>
      </c>
      <c r="AF253" s="6" t="s">
        <v>2297</v>
      </c>
    </row>
    <row r="254" spans="1:32" x14ac:dyDescent="0.35">
      <c r="A254" s="5">
        <f t="shared" si="18"/>
        <v>202244699</v>
      </c>
      <c r="B254" s="5" t="s">
        <v>275</v>
      </c>
      <c r="C254" s="5" t="s">
        <v>586</v>
      </c>
      <c r="D254" s="6" t="s">
        <v>1494</v>
      </c>
      <c r="E254" s="6" t="s">
        <v>676</v>
      </c>
      <c r="F254" s="6" t="s">
        <v>664</v>
      </c>
      <c r="G254" s="6" t="s">
        <v>2695</v>
      </c>
      <c r="H254" s="6" t="s">
        <v>2687</v>
      </c>
      <c r="I254" s="7">
        <v>37338</v>
      </c>
      <c r="J254" s="6">
        <f t="shared" ca="1" si="19"/>
        <v>24</v>
      </c>
      <c r="K254" s="6" t="s">
        <v>665</v>
      </c>
      <c r="L254" s="6" t="s">
        <v>666</v>
      </c>
      <c r="M254" s="6" t="s">
        <v>701</v>
      </c>
      <c r="N254" s="6" t="s">
        <v>653</v>
      </c>
      <c r="O254" s="6" t="s">
        <v>2298</v>
      </c>
      <c r="P254" s="6" t="s">
        <v>1496</v>
      </c>
      <c r="Q254" s="6" t="s">
        <v>704</v>
      </c>
      <c r="R254" s="7">
        <v>44699</v>
      </c>
      <c r="S254" s="4" t="str">
        <f t="shared" ca="1" si="20"/>
        <v>PKWT</v>
      </c>
      <c r="T254" s="10">
        <f t="shared" ca="1" si="21"/>
        <v>3</v>
      </c>
      <c r="U254" s="7">
        <f t="shared" ca="1" si="22"/>
        <v>46524</v>
      </c>
      <c r="V254" s="7">
        <v>46159</v>
      </c>
      <c r="W254" s="7" t="s">
        <v>2674</v>
      </c>
      <c r="X254" s="4" t="str">
        <f t="shared" ca="1" si="23"/>
        <v>Non-Active</v>
      </c>
      <c r="Y254" s="6" t="s">
        <v>657</v>
      </c>
      <c r="Z254" s="6" t="s">
        <v>916</v>
      </c>
      <c r="AA254" s="6" t="s">
        <v>659</v>
      </c>
      <c r="AC254" s="6">
        <v>20245537219</v>
      </c>
      <c r="AD254" s="6" t="s">
        <v>2299</v>
      </c>
      <c r="AE254" s="6" t="s">
        <v>847</v>
      </c>
      <c r="AF254" s="6" t="s">
        <v>2300</v>
      </c>
    </row>
    <row r="255" spans="1:32" x14ac:dyDescent="0.35">
      <c r="A255" s="5">
        <f t="shared" si="18"/>
        <v>202545998</v>
      </c>
      <c r="B255" s="5" t="s">
        <v>276</v>
      </c>
      <c r="C255" s="5" t="s">
        <v>587</v>
      </c>
      <c r="D255" s="6" t="s">
        <v>1375</v>
      </c>
      <c r="E255" s="6" t="s">
        <v>648</v>
      </c>
      <c r="F255" s="6" t="s">
        <v>742</v>
      </c>
      <c r="G255" s="6" t="s">
        <v>2695</v>
      </c>
      <c r="H255" s="6" t="s">
        <v>2687</v>
      </c>
      <c r="I255" s="7">
        <v>39788</v>
      </c>
      <c r="J255" s="6">
        <f t="shared" ca="1" si="19"/>
        <v>17</v>
      </c>
      <c r="K255" s="6" t="s">
        <v>665</v>
      </c>
      <c r="L255" s="6" t="s">
        <v>666</v>
      </c>
      <c r="M255" s="6" t="s">
        <v>677</v>
      </c>
      <c r="N255" s="6" t="s">
        <v>653</v>
      </c>
      <c r="O255" s="6" t="s">
        <v>2301</v>
      </c>
      <c r="P255" s="6" t="s">
        <v>1377</v>
      </c>
      <c r="Q255" s="6" t="s">
        <v>694</v>
      </c>
      <c r="R255" s="7">
        <v>45998</v>
      </c>
      <c r="S255" s="4" t="str">
        <f t="shared" ca="1" si="20"/>
        <v>PKWT</v>
      </c>
      <c r="T255" s="10">
        <f t="shared" ca="1" si="21"/>
        <v>1</v>
      </c>
      <c r="U255" s="7">
        <f t="shared" ca="1" si="22"/>
        <v>46362</v>
      </c>
      <c r="V255" s="7"/>
      <c r="W255" s="7"/>
      <c r="X255" s="4" t="str">
        <f t="shared" ca="1" si="23"/>
        <v>Active</v>
      </c>
      <c r="Y255" s="6" t="s">
        <v>681</v>
      </c>
      <c r="Z255" s="6" t="s">
        <v>2666</v>
      </c>
      <c r="AA255" s="6" t="s">
        <v>2640</v>
      </c>
      <c r="AC255" s="6" t="s">
        <v>2303</v>
      </c>
      <c r="AD255" s="6" t="s">
        <v>2304</v>
      </c>
      <c r="AE255" s="6" t="s">
        <v>847</v>
      </c>
      <c r="AF255" s="6" t="s">
        <v>2305</v>
      </c>
    </row>
    <row r="256" spans="1:32" x14ac:dyDescent="0.35">
      <c r="A256" s="5">
        <f t="shared" si="18"/>
        <v>201843238</v>
      </c>
      <c r="B256" s="5" t="s">
        <v>277</v>
      </c>
      <c r="C256" s="5" t="s">
        <v>588</v>
      </c>
      <c r="D256" s="6" t="s">
        <v>1527</v>
      </c>
      <c r="E256" s="6" t="s">
        <v>648</v>
      </c>
      <c r="F256" s="6" t="s">
        <v>768</v>
      </c>
      <c r="G256" s="6" t="s">
        <v>2664</v>
      </c>
      <c r="H256" s="6" t="s">
        <v>2692</v>
      </c>
      <c r="I256" s="7">
        <v>28151</v>
      </c>
      <c r="J256" s="6">
        <f t="shared" ca="1" si="19"/>
        <v>49</v>
      </c>
      <c r="K256" s="6" t="s">
        <v>665</v>
      </c>
      <c r="L256" s="6" t="s">
        <v>2660</v>
      </c>
      <c r="M256" s="6" t="s">
        <v>677</v>
      </c>
      <c r="N256" s="6" t="s">
        <v>653</v>
      </c>
      <c r="O256" s="6" t="s">
        <v>2306</v>
      </c>
      <c r="P256" s="6" t="s">
        <v>1528</v>
      </c>
      <c r="Q256" s="6" t="s">
        <v>731</v>
      </c>
      <c r="R256" s="7">
        <v>43238</v>
      </c>
      <c r="S256" s="4" t="str">
        <f t="shared" ca="1" si="20"/>
        <v>PKWTT</v>
      </c>
      <c r="T256" s="10" t="str">
        <f t="shared" ca="1" si="21"/>
        <v/>
      </c>
      <c r="U256" s="7" t="str">
        <f t="shared" ca="1" si="22"/>
        <v/>
      </c>
      <c r="V256" s="7"/>
      <c r="W256" s="7"/>
      <c r="X256" s="4" t="str">
        <f t="shared" ca="1" si="23"/>
        <v>Active</v>
      </c>
      <c r="Y256" s="6" t="s">
        <v>794</v>
      </c>
      <c r="Z256" s="6" t="s">
        <v>2632</v>
      </c>
      <c r="AA256" s="6" t="s">
        <v>659</v>
      </c>
      <c r="AC256" s="6" t="s">
        <v>2308</v>
      </c>
      <c r="AD256" s="6" t="s">
        <v>2309</v>
      </c>
      <c r="AE256" s="6" t="s">
        <v>847</v>
      </c>
      <c r="AF256" s="6" t="s">
        <v>2310</v>
      </c>
    </row>
    <row r="257" spans="1:32" x14ac:dyDescent="0.35">
      <c r="A257" s="5">
        <f t="shared" si="18"/>
        <v>202244652</v>
      </c>
      <c r="B257" s="5" t="s">
        <v>278</v>
      </c>
      <c r="C257" s="5" t="s">
        <v>589</v>
      </c>
      <c r="D257" s="6" t="s">
        <v>2194</v>
      </c>
      <c r="E257" s="6" t="s">
        <v>648</v>
      </c>
      <c r="F257" s="6" t="s">
        <v>664</v>
      </c>
      <c r="G257" s="6" t="s">
        <v>2664</v>
      </c>
      <c r="H257" s="6" t="s">
        <v>2692</v>
      </c>
      <c r="I257" s="7">
        <v>34408</v>
      </c>
      <c r="J257" s="6">
        <f t="shared" ca="1" si="19"/>
        <v>32</v>
      </c>
      <c r="K257" s="6" t="s">
        <v>721</v>
      </c>
      <c r="L257" s="6" t="s">
        <v>666</v>
      </c>
      <c r="M257" s="6" t="s">
        <v>652</v>
      </c>
      <c r="N257" s="6" t="s">
        <v>653</v>
      </c>
      <c r="O257" s="6" t="s">
        <v>2311</v>
      </c>
      <c r="P257" s="6" t="s">
        <v>2196</v>
      </c>
      <c r="Q257" s="6" t="s">
        <v>818</v>
      </c>
      <c r="R257" s="7">
        <v>44652</v>
      </c>
      <c r="S257" s="4" t="str">
        <f t="shared" ca="1" si="20"/>
        <v>PKWT</v>
      </c>
      <c r="T257" s="10">
        <f t="shared" ca="1" si="21"/>
        <v>3</v>
      </c>
      <c r="U257" s="7">
        <f t="shared" ca="1" si="22"/>
        <v>46477</v>
      </c>
      <c r="V257" s="7"/>
      <c r="W257" s="7"/>
      <c r="X257" s="4" t="str">
        <f t="shared" ca="1" si="23"/>
        <v>Active</v>
      </c>
      <c r="Y257" s="6" t="s">
        <v>1169</v>
      </c>
      <c r="Z257" s="6" t="s">
        <v>1170</v>
      </c>
      <c r="AA257" s="6" t="s">
        <v>683</v>
      </c>
      <c r="AC257" s="6" t="s">
        <v>2313</v>
      </c>
      <c r="AD257" s="6" t="s">
        <v>2314</v>
      </c>
      <c r="AE257" s="6" t="s">
        <v>847</v>
      </c>
      <c r="AF257" s="6" t="s">
        <v>2315</v>
      </c>
    </row>
    <row r="258" spans="1:32" x14ac:dyDescent="0.35">
      <c r="A258" s="5">
        <f t="shared" ref="A258:A312" si="24">VALUE(YEAR(R258)&amp;TEXT(R258,"0000"))</f>
        <v>201642683</v>
      </c>
      <c r="B258" s="5" t="s">
        <v>279</v>
      </c>
      <c r="C258" s="5" t="s">
        <v>590</v>
      </c>
      <c r="D258" s="6" t="s">
        <v>1750</v>
      </c>
      <c r="E258" s="6" t="s">
        <v>648</v>
      </c>
      <c r="F258" s="6" t="s">
        <v>768</v>
      </c>
      <c r="G258" s="6" t="s">
        <v>2664</v>
      </c>
      <c r="H258" s="6" t="s">
        <v>2692</v>
      </c>
      <c r="I258" s="7">
        <v>31182</v>
      </c>
      <c r="J258" s="6">
        <f t="shared" ref="J258:J312" ca="1" si="25">IF(I258="","",DATEDIF(I258,TODAY(),"Y"))</f>
        <v>41</v>
      </c>
      <c r="K258" s="6" t="s">
        <v>650</v>
      </c>
      <c r="L258" s="6" t="s">
        <v>666</v>
      </c>
      <c r="M258" s="6" t="s">
        <v>691</v>
      </c>
      <c r="N258" s="6" t="s">
        <v>653</v>
      </c>
      <c r="O258" s="6" t="s">
        <v>2316</v>
      </c>
      <c r="P258" s="6" t="s">
        <v>1751</v>
      </c>
      <c r="Q258" s="6" t="s">
        <v>656</v>
      </c>
      <c r="R258" s="7">
        <v>42683</v>
      </c>
      <c r="S258" s="4" t="str">
        <f t="shared" ref="S258:S312" ca="1" si="26">IF(AND(T258&lt;&gt;"",U258&lt;&gt;""),"PKWT","PKWTT")</f>
        <v>PKWTT</v>
      </c>
      <c r="T258" s="10" t="str">
        <f t="shared" ref="T258:T312" ca="1" si="27">IF(R258&gt;TODAY(),"",IF(DATEDIF(R258,TODAY(),"Y")&gt;=5,"",IF(DATEDIF(R258,TODAY(),"Y")&lt;1,1,IF(DATEDIF(R258,TODAY(),"Y")&lt;3,2,3))))</f>
        <v/>
      </c>
      <c r="U258" s="7" t="str">
        <f t="shared" ref="U258:U312" ca="1" si="28">IF(T258="","",IF(T258=1,EDATE(R258,12)-1,IF(T258=2,EDATE(R258,36)-1,IF(T258=3,EDATE(R258,60)-1,""))))</f>
        <v/>
      </c>
      <c r="V258" s="7"/>
      <c r="W258" s="7"/>
      <c r="X258" s="4" t="str">
        <f t="shared" ca="1" si="23"/>
        <v>Active</v>
      </c>
      <c r="Y258" s="6" t="s">
        <v>2643</v>
      </c>
      <c r="Z258" s="6" t="s">
        <v>2653</v>
      </c>
      <c r="AA258" s="6" t="s">
        <v>2640</v>
      </c>
      <c r="AC258" s="6" t="s">
        <v>2318</v>
      </c>
      <c r="AD258" s="6" t="s">
        <v>2319</v>
      </c>
      <c r="AE258" s="6" t="s">
        <v>847</v>
      </c>
      <c r="AF258" s="6" t="s">
        <v>2320</v>
      </c>
    </row>
    <row r="259" spans="1:32" x14ac:dyDescent="0.35">
      <c r="A259" s="5">
        <f t="shared" si="24"/>
        <v>201742834</v>
      </c>
      <c r="B259" s="5" t="s">
        <v>280</v>
      </c>
      <c r="C259" s="5" t="s">
        <v>591</v>
      </c>
      <c r="D259" s="6" t="s">
        <v>2040</v>
      </c>
      <c r="E259" s="6" t="s">
        <v>648</v>
      </c>
      <c r="F259" s="6" t="s">
        <v>689</v>
      </c>
      <c r="G259" s="6" t="s">
        <v>2664</v>
      </c>
      <c r="H259" s="6" t="s">
        <v>2692</v>
      </c>
      <c r="I259" s="7">
        <v>35228</v>
      </c>
      <c r="J259" s="6">
        <f t="shared" ca="1" si="25"/>
        <v>30</v>
      </c>
      <c r="K259" s="6" t="s">
        <v>690</v>
      </c>
      <c r="L259" s="6" t="s">
        <v>651</v>
      </c>
      <c r="M259" s="6" t="s">
        <v>701</v>
      </c>
      <c r="N259" s="6" t="s">
        <v>653</v>
      </c>
      <c r="O259" s="6" t="s">
        <v>2321</v>
      </c>
      <c r="P259" s="6" t="s">
        <v>2042</v>
      </c>
      <c r="Q259" s="6" t="s">
        <v>818</v>
      </c>
      <c r="R259" s="7">
        <v>42834</v>
      </c>
      <c r="S259" s="4" t="str">
        <f t="shared" ca="1" si="26"/>
        <v>PKWTT</v>
      </c>
      <c r="T259" s="10" t="str">
        <f t="shared" ca="1" si="27"/>
        <v/>
      </c>
      <c r="U259" s="7" t="str">
        <f t="shared" ca="1" si="28"/>
        <v/>
      </c>
      <c r="V259" s="7"/>
      <c r="W259" s="7"/>
      <c r="X259" s="4" t="str">
        <f t="shared" ref="X259:X312" ca="1" si="29">IF(V259&lt;&gt;"","Non-Active",IF(S259="PKWTT","Active",IF(U259&gt;=TODAY(),"Active","Non-Active")))</f>
        <v>Active</v>
      </c>
      <c r="Y259" s="6" t="s">
        <v>681</v>
      </c>
      <c r="Z259" s="6" t="s">
        <v>682</v>
      </c>
      <c r="AA259" s="6" t="s">
        <v>683</v>
      </c>
      <c r="AC259" s="6" t="s">
        <v>2323</v>
      </c>
      <c r="AD259" s="6" t="s">
        <v>2324</v>
      </c>
      <c r="AE259" s="6" t="s">
        <v>847</v>
      </c>
      <c r="AF259" s="6" t="s">
        <v>2325</v>
      </c>
    </row>
    <row r="260" spans="1:32" x14ac:dyDescent="0.35">
      <c r="A260" s="5">
        <f t="shared" si="24"/>
        <v>201843399</v>
      </c>
      <c r="B260" s="5" t="s">
        <v>281</v>
      </c>
      <c r="C260" s="5" t="s">
        <v>592</v>
      </c>
      <c r="D260" s="6" t="s">
        <v>2230</v>
      </c>
      <c r="E260" s="6" t="s">
        <v>648</v>
      </c>
      <c r="F260" s="6" t="s">
        <v>689</v>
      </c>
      <c r="G260" s="6" t="s">
        <v>2664</v>
      </c>
      <c r="H260" s="1" t="s">
        <v>2692</v>
      </c>
      <c r="I260" s="7">
        <v>27966</v>
      </c>
      <c r="J260" s="6">
        <f t="shared" ca="1" si="25"/>
        <v>50</v>
      </c>
      <c r="K260" s="6" t="s">
        <v>665</v>
      </c>
      <c r="L260" s="6" t="s">
        <v>666</v>
      </c>
      <c r="M260" s="6" t="s">
        <v>701</v>
      </c>
      <c r="N260" s="6" t="s">
        <v>653</v>
      </c>
      <c r="O260" s="6" t="s">
        <v>2326</v>
      </c>
      <c r="P260" s="6" t="s">
        <v>2231</v>
      </c>
      <c r="Q260" s="6" t="s">
        <v>818</v>
      </c>
      <c r="R260" s="7">
        <v>43399</v>
      </c>
      <c r="S260" s="4" t="str">
        <f t="shared" ca="1" si="26"/>
        <v>PKWTT</v>
      </c>
      <c r="T260" s="10" t="str">
        <f t="shared" ca="1" si="27"/>
        <v/>
      </c>
      <c r="U260" s="7" t="str">
        <f t="shared" ca="1" si="28"/>
        <v/>
      </c>
      <c r="V260" s="7"/>
      <c r="W260" s="7"/>
      <c r="X260" s="4" t="str">
        <f t="shared" ca="1" si="29"/>
        <v>Active</v>
      </c>
      <c r="Y260" s="6" t="s">
        <v>2643</v>
      </c>
      <c r="Z260" s="6" t="s">
        <v>2654</v>
      </c>
      <c r="AA260" s="6" t="s">
        <v>2624</v>
      </c>
      <c r="AC260" s="6" t="s">
        <v>2328</v>
      </c>
      <c r="AD260" s="6" t="s">
        <v>2329</v>
      </c>
      <c r="AE260" s="6" t="s">
        <v>847</v>
      </c>
      <c r="AF260" s="6" t="s">
        <v>2330</v>
      </c>
    </row>
    <row r="261" spans="1:32" x14ac:dyDescent="0.35">
      <c r="A261" s="5">
        <f t="shared" si="24"/>
        <v>202043978</v>
      </c>
      <c r="B261" s="5" t="s">
        <v>282</v>
      </c>
      <c r="C261" s="5" t="s">
        <v>593</v>
      </c>
      <c r="D261" s="6" t="s">
        <v>2230</v>
      </c>
      <c r="E261" s="6" t="s">
        <v>648</v>
      </c>
      <c r="F261" s="6" t="s">
        <v>649</v>
      </c>
      <c r="G261" s="6" t="s">
        <v>2664</v>
      </c>
      <c r="H261" s="1" t="s">
        <v>2692</v>
      </c>
      <c r="I261" s="7">
        <v>29552</v>
      </c>
      <c r="J261" s="6">
        <f t="shared" ca="1" si="25"/>
        <v>45</v>
      </c>
      <c r="K261" s="6" t="s">
        <v>690</v>
      </c>
      <c r="L261" s="6" t="s">
        <v>666</v>
      </c>
      <c r="M261" s="6" t="s">
        <v>691</v>
      </c>
      <c r="N261" s="6" t="s">
        <v>653</v>
      </c>
      <c r="O261" s="6" t="s">
        <v>2331</v>
      </c>
      <c r="P261" s="6" t="s">
        <v>2231</v>
      </c>
      <c r="Q261" s="6" t="s">
        <v>778</v>
      </c>
      <c r="R261" s="7">
        <v>43978</v>
      </c>
      <c r="S261" s="4" t="str">
        <f t="shared" ca="1" si="26"/>
        <v>PKWTT</v>
      </c>
      <c r="T261" s="10" t="str">
        <f t="shared" ca="1" si="27"/>
        <v/>
      </c>
      <c r="U261" s="7" t="str">
        <f t="shared" ca="1" si="28"/>
        <v/>
      </c>
      <c r="V261" s="7"/>
      <c r="W261" s="7"/>
      <c r="X261" s="4" t="str">
        <f t="shared" ca="1" si="29"/>
        <v>Active</v>
      </c>
      <c r="Y261" s="6" t="s">
        <v>657</v>
      </c>
      <c r="Z261" s="6" t="s">
        <v>669</v>
      </c>
      <c r="AA261" s="6" t="s">
        <v>670</v>
      </c>
      <c r="AC261" s="6" t="s">
        <v>2333</v>
      </c>
      <c r="AD261" s="6" t="s">
        <v>2334</v>
      </c>
      <c r="AE261" s="6" t="s">
        <v>847</v>
      </c>
      <c r="AF261" s="6" t="s">
        <v>2335</v>
      </c>
    </row>
    <row r="262" spans="1:32" x14ac:dyDescent="0.35">
      <c r="A262" s="5">
        <f t="shared" si="24"/>
        <v>202344949</v>
      </c>
      <c r="B262" s="5" t="s">
        <v>283</v>
      </c>
      <c r="C262" s="5" t="s">
        <v>594</v>
      </c>
      <c r="D262" s="6" t="s">
        <v>1158</v>
      </c>
      <c r="E262" s="6" t="s">
        <v>676</v>
      </c>
      <c r="F262" s="6" t="s">
        <v>664</v>
      </c>
      <c r="G262" s="6" t="s">
        <v>2664</v>
      </c>
      <c r="H262" s="1" t="s">
        <v>2692</v>
      </c>
      <c r="I262" s="7">
        <v>29028</v>
      </c>
      <c r="J262" s="6">
        <f t="shared" ca="1" si="25"/>
        <v>47</v>
      </c>
      <c r="K262" s="6" t="s">
        <v>665</v>
      </c>
      <c r="L262" s="6" t="s">
        <v>666</v>
      </c>
      <c r="M262" s="6" t="s">
        <v>701</v>
      </c>
      <c r="N262" s="6" t="s">
        <v>653</v>
      </c>
      <c r="O262" s="6" t="s">
        <v>2336</v>
      </c>
      <c r="P262" s="6" t="s">
        <v>1159</v>
      </c>
      <c r="Q262" s="6" t="s">
        <v>778</v>
      </c>
      <c r="R262" s="7">
        <v>44949</v>
      </c>
      <c r="S262" s="4" t="str">
        <f t="shared" ca="1" si="26"/>
        <v>PKWT</v>
      </c>
      <c r="T262" s="10">
        <f t="shared" ca="1" si="27"/>
        <v>3</v>
      </c>
      <c r="U262" s="7">
        <f t="shared" ca="1" si="28"/>
        <v>46774</v>
      </c>
      <c r="V262" s="7"/>
      <c r="W262" s="7"/>
      <c r="X262" s="4" t="str">
        <f t="shared" ca="1" si="29"/>
        <v>Active</v>
      </c>
      <c r="Y262" s="6" t="s">
        <v>657</v>
      </c>
      <c r="Z262" s="6" t="s">
        <v>916</v>
      </c>
      <c r="AA262" s="6" t="s">
        <v>659</v>
      </c>
      <c r="AC262" s="6" t="s">
        <v>2338</v>
      </c>
      <c r="AD262" s="6" t="s">
        <v>2339</v>
      </c>
      <c r="AE262" s="6" t="s">
        <v>847</v>
      </c>
      <c r="AF262" s="6" t="s">
        <v>2340</v>
      </c>
    </row>
    <row r="263" spans="1:32" x14ac:dyDescent="0.35">
      <c r="A263" s="5">
        <f t="shared" si="24"/>
        <v>202043904</v>
      </c>
      <c r="B263" s="5" t="s">
        <v>284</v>
      </c>
      <c r="C263" s="5" t="s">
        <v>595</v>
      </c>
      <c r="D263" s="6" t="s">
        <v>2274</v>
      </c>
      <c r="E263" s="6" t="s">
        <v>648</v>
      </c>
      <c r="F263" s="6" t="s">
        <v>768</v>
      </c>
      <c r="G263" s="6" t="s">
        <v>2698</v>
      </c>
      <c r="H263" s="1" t="s">
        <v>2691</v>
      </c>
      <c r="I263" s="7">
        <v>28011</v>
      </c>
      <c r="J263" s="6">
        <f t="shared" ca="1" si="25"/>
        <v>49</v>
      </c>
      <c r="K263" s="6" t="s">
        <v>665</v>
      </c>
      <c r="L263" s="6" t="s">
        <v>666</v>
      </c>
      <c r="M263" s="6" t="s">
        <v>677</v>
      </c>
      <c r="N263" s="6" t="s">
        <v>653</v>
      </c>
      <c r="O263" s="6" t="s">
        <v>2341</v>
      </c>
      <c r="P263" s="6" t="s">
        <v>2275</v>
      </c>
      <c r="Q263" s="6" t="s">
        <v>778</v>
      </c>
      <c r="R263" s="7">
        <v>43904</v>
      </c>
      <c r="S263" s="4" t="str">
        <f t="shared" ca="1" si="26"/>
        <v>PKWTT</v>
      </c>
      <c r="T263" s="10" t="str">
        <f t="shared" ca="1" si="27"/>
        <v/>
      </c>
      <c r="U263" s="7" t="str">
        <f t="shared" ca="1" si="28"/>
        <v/>
      </c>
      <c r="V263" s="7"/>
      <c r="W263" s="7"/>
      <c r="X263" s="4" t="str">
        <f t="shared" ca="1" si="29"/>
        <v>Active</v>
      </c>
      <c r="Y263" s="6" t="s">
        <v>714</v>
      </c>
      <c r="Z263" s="6" t="s">
        <v>715</v>
      </c>
      <c r="AA263" s="6" t="s">
        <v>659</v>
      </c>
      <c r="AC263" s="6" t="s">
        <v>2343</v>
      </c>
      <c r="AD263" s="6" t="s">
        <v>2344</v>
      </c>
      <c r="AE263" s="6" t="s">
        <v>847</v>
      </c>
      <c r="AF263" s="6" t="s">
        <v>2345</v>
      </c>
    </row>
    <row r="264" spans="1:32" x14ac:dyDescent="0.35">
      <c r="A264" s="5">
        <f t="shared" si="24"/>
        <v>202043964</v>
      </c>
      <c r="B264" s="5" t="s">
        <v>285</v>
      </c>
      <c r="C264" s="5" t="s">
        <v>596</v>
      </c>
      <c r="D264" s="6" t="s">
        <v>1702</v>
      </c>
      <c r="E264" s="6" t="s">
        <v>676</v>
      </c>
      <c r="F264" s="6" t="s">
        <v>742</v>
      </c>
      <c r="G264" s="6" t="s">
        <v>2664</v>
      </c>
      <c r="H264" s="1" t="s">
        <v>2692</v>
      </c>
      <c r="I264" s="7">
        <v>35282</v>
      </c>
      <c r="J264" s="6">
        <f t="shared" ca="1" si="25"/>
        <v>29</v>
      </c>
      <c r="K264" s="6" t="s">
        <v>665</v>
      </c>
      <c r="L264" s="6" t="s">
        <v>651</v>
      </c>
      <c r="M264" s="6" t="s">
        <v>652</v>
      </c>
      <c r="N264" s="6" t="s">
        <v>653</v>
      </c>
      <c r="O264" s="6" t="s">
        <v>2346</v>
      </c>
      <c r="P264" s="6" t="s">
        <v>1704</v>
      </c>
      <c r="Q264" s="6" t="s">
        <v>694</v>
      </c>
      <c r="R264" s="7">
        <v>43964</v>
      </c>
      <c r="S264" s="4" t="str">
        <f t="shared" ca="1" si="26"/>
        <v>PKWTT</v>
      </c>
      <c r="T264" s="10" t="str">
        <f t="shared" ca="1" si="27"/>
        <v/>
      </c>
      <c r="U264" s="7" t="str">
        <f t="shared" ca="1" si="28"/>
        <v/>
      </c>
      <c r="V264" s="7"/>
      <c r="W264" s="7"/>
      <c r="X264" s="4" t="str">
        <f t="shared" ca="1" si="29"/>
        <v>Active</v>
      </c>
      <c r="Y264" s="6" t="s">
        <v>681</v>
      </c>
      <c r="Z264" s="6" t="s">
        <v>682</v>
      </c>
      <c r="AA264" s="6" t="s">
        <v>683</v>
      </c>
      <c r="AC264" s="6" t="s">
        <v>2348</v>
      </c>
      <c r="AD264" s="6" t="s">
        <v>2349</v>
      </c>
      <c r="AE264" s="6" t="s">
        <v>847</v>
      </c>
      <c r="AF264" s="6" t="s">
        <v>2350</v>
      </c>
    </row>
    <row r="265" spans="1:32" x14ac:dyDescent="0.35">
      <c r="A265" s="5">
        <f t="shared" si="24"/>
        <v>201642471</v>
      </c>
      <c r="B265" s="5" t="s">
        <v>286</v>
      </c>
      <c r="C265" s="5" t="s">
        <v>597</v>
      </c>
      <c r="D265" s="6" t="s">
        <v>1656</v>
      </c>
      <c r="E265" s="6" t="s">
        <v>648</v>
      </c>
      <c r="F265" s="6" t="s">
        <v>649</v>
      </c>
      <c r="G265" s="6" t="s">
        <v>2698</v>
      </c>
      <c r="H265" s="1" t="s">
        <v>2691</v>
      </c>
      <c r="I265" s="7">
        <v>36429</v>
      </c>
      <c r="J265" s="6">
        <f t="shared" ca="1" si="25"/>
        <v>26</v>
      </c>
      <c r="K265" s="6" t="s">
        <v>665</v>
      </c>
      <c r="L265" s="6" t="s">
        <v>651</v>
      </c>
      <c r="M265" s="6" t="s">
        <v>677</v>
      </c>
      <c r="N265" s="6" t="s">
        <v>653</v>
      </c>
      <c r="O265" s="6" t="s">
        <v>2351</v>
      </c>
      <c r="P265" s="6" t="s">
        <v>1658</v>
      </c>
      <c r="Q265" s="6" t="s">
        <v>694</v>
      </c>
      <c r="R265" s="7">
        <v>42471</v>
      </c>
      <c r="S265" s="4" t="str">
        <f t="shared" ca="1" si="26"/>
        <v>PKWTT</v>
      </c>
      <c r="T265" s="10" t="str">
        <f t="shared" ca="1" si="27"/>
        <v/>
      </c>
      <c r="U265" s="7" t="str">
        <f t="shared" ca="1" si="28"/>
        <v/>
      </c>
      <c r="V265" s="7"/>
      <c r="W265" s="7"/>
      <c r="X265" s="4" t="str">
        <f t="shared" ca="1" si="29"/>
        <v>Active</v>
      </c>
      <c r="Y265" s="6" t="s">
        <v>714</v>
      </c>
      <c r="Z265" s="6" t="s">
        <v>715</v>
      </c>
      <c r="AA265" s="6" t="s">
        <v>659</v>
      </c>
      <c r="AC265" s="6" t="s">
        <v>2353</v>
      </c>
      <c r="AD265" s="6" t="s">
        <v>2354</v>
      </c>
      <c r="AE265" s="6" t="s">
        <v>847</v>
      </c>
      <c r="AF265" s="6" t="s">
        <v>2355</v>
      </c>
    </row>
    <row r="266" spans="1:32" x14ac:dyDescent="0.35">
      <c r="A266" s="5">
        <f t="shared" si="24"/>
        <v>201642559</v>
      </c>
      <c r="B266" s="5" t="s">
        <v>287</v>
      </c>
      <c r="C266" s="5" t="s">
        <v>598</v>
      </c>
      <c r="D266" s="6" t="s">
        <v>856</v>
      </c>
      <c r="E266" s="6" t="s">
        <v>676</v>
      </c>
      <c r="F266" s="6" t="s">
        <v>742</v>
      </c>
      <c r="G266" s="6" t="s">
        <v>2664</v>
      </c>
      <c r="H266" s="6" t="s">
        <v>2692</v>
      </c>
      <c r="I266" s="7">
        <v>35743</v>
      </c>
      <c r="J266" s="6">
        <f t="shared" ca="1" si="25"/>
        <v>28</v>
      </c>
      <c r="K266" s="6" t="s">
        <v>791</v>
      </c>
      <c r="L266" s="6" t="s">
        <v>666</v>
      </c>
      <c r="M266" s="6" t="s">
        <v>691</v>
      </c>
      <c r="N266" s="6" t="s">
        <v>653</v>
      </c>
      <c r="O266" s="6" t="s">
        <v>2356</v>
      </c>
      <c r="P266" s="6" t="s">
        <v>857</v>
      </c>
      <c r="Q266" s="6" t="s">
        <v>704</v>
      </c>
      <c r="R266" s="7">
        <v>42559</v>
      </c>
      <c r="S266" s="4" t="str">
        <f t="shared" ca="1" si="26"/>
        <v>PKWTT</v>
      </c>
      <c r="T266" s="10" t="str">
        <f t="shared" ca="1" si="27"/>
        <v/>
      </c>
      <c r="U266" s="7" t="str">
        <f t="shared" ca="1" si="28"/>
        <v/>
      </c>
      <c r="V266" s="7"/>
      <c r="W266" s="7"/>
      <c r="X266" s="4" t="str">
        <f t="shared" ca="1" si="29"/>
        <v>Active</v>
      </c>
      <c r="Y266" s="6" t="s">
        <v>2643</v>
      </c>
      <c r="Z266" s="6" t="s">
        <v>2641</v>
      </c>
      <c r="AA266" s="6" t="s">
        <v>683</v>
      </c>
      <c r="AC266" s="6" t="s">
        <v>2358</v>
      </c>
      <c r="AD266" s="6" t="s">
        <v>2359</v>
      </c>
      <c r="AE266" s="6" t="s">
        <v>847</v>
      </c>
      <c r="AF266" s="6" t="s">
        <v>2360</v>
      </c>
    </row>
    <row r="267" spans="1:32" x14ac:dyDescent="0.35">
      <c r="A267" s="5">
        <f t="shared" si="24"/>
        <v>202044155</v>
      </c>
      <c r="B267" s="5" t="s">
        <v>288</v>
      </c>
      <c r="C267" s="5" t="s">
        <v>599</v>
      </c>
      <c r="D267" s="6" t="s">
        <v>1132</v>
      </c>
      <c r="E267" s="6" t="s">
        <v>648</v>
      </c>
      <c r="F267" s="6" t="s">
        <v>809</v>
      </c>
      <c r="G267" s="6" t="s">
        <v>2664</v>
      </c>
      <c r="H267" s="6" t="s">
        <v>2692</v>
      </c>
      <c r="I267" s="7">
        <v>36821</v>
      </c>
      <c r="J267" s="6">
        <f t="shared" ca="1" si="25"/>
        <v>25</v>
      </c>
      <c r="K267" s="6" t="s">
        <v>665</v>
      </c>
      <c r="L267" s="6" t="s">
        <v>666</v>
      </c>
      <c r="M267" s="6" t="s">
        <v>677</v>
      </c>
      <c r="N267" s="6" t="s">
        <v>653</v>
      </c>
      <c r="O267" s="6" t="s">
        <v>2361</v>
      </c>
      <c r="P267" s="6" t="s">
        <v>1134</v>
      </c>
      <c r="Q267" s="6" t="s">
        <v>778</v>
      </c>
      <c r="R267" s="7">
        <v>44155</v>
      </c>
      <c r="S267" s="4" t="str">
        <f t="shared" ca="1" si="26"/>
        <v>PKWTT</v>
      </c>
      <c r="T267" s="10" t="str">
        <f t="shared" ca="1" si="27"/>
        <v/>
      </c>
      <c r="U267" s="7" t="str">
        <f t="shared" ca="1" si="28"/>
        <v/>
      </c>
      <c r="V267" s="7"/>
      <c r="W267" s="7"/>
      <c r="X267" s="4" t="str">
        <f t="shared" ca="1" si="29"/>
        <v>Active</v>
      </c>
      <c r="Y267" s="6" t="s">
        <v>2643</v>
      </c>
      <c r="Z267" s="6" t="s">
        <v>2641</v>
      </c>
      <c r="AA267" s="6" t="s">
        <v>683</v>
      </c>
      <c r="AC267" s="6" t="s">
        <v>2363</v>
      </c>
      <c r="AD267" s="6" t="s">
        <v>2364</v>
      </c>
      <c r="AE267" s="6" t="s">
        <v>847</v>
      </c>
      <c r="AF267" s="6" t="s">
        <v>2365</v>
      </c>
    </row>
    <row r="268" spans="1:32" x14ac:dyDescent="0.35">
      <c r="A268" s="5">
        <f t="shared" si="24"/>
        <v>202044053</v>
      </c>
      <c r="B268" s="5" t="s">
        <v>289</v>
      </c>
      <c r="C268" s="5" t="s">
        <v>600</v>
      </c>
      <c r="D268" s="6" t="s">
        <v>2366</v>
      </c>
      <c r="E268" s="6" t="s">
        <v>676</v>
      </c>
      <c r="F268" s="6" t="s">
        <v>738</v>
      </c>
      <c r="G268" s="6" t="s">
        <v>2664</v>
      </c>
      <c r="H268" s="6" t="s">
        <v>2692</v>
      </c>
      <c r="I268" s="7">
        <v>29959</v>
      </c>
      <c r="J268" s="6">
        <f t="shared" ca="1" si="25"/>
        <v>44</v>
      </c>
      <c r="K268" s="6" t="s">
        <v>690</v>
      </c>
      <c r="L268" s="6" t="s">
        <v>666</v>
      </c>
      <c r="M268" s="6" t="s">
        <v>677</v>
      </c>
      <c r="N268" s="6" t="s">
        <v>653</v>
      </c>
      <c r="O268" s="6" t="s">
        <v>2367</v>
      </c>
      <c r="P268" s="6" t="s">
        <v>2368</v>
      </c>
      <c r="Q268" s="6" t="s">
        <v>656</v>
      </c>
      <c r="R268" s="7">
        <v>44053</v>
      </c>
      <c r="S268" s="4" t="str">
        <f t="shared" ca="1" si="26"/>
        <v>PKWTT</v>
      </c>
      <c r="T268" s="10" t="str">
        <f t="shared" ca="1" si="27"/>
        <v/>
      </c>
      <c r="U268" s="7" t="str">
        <f t="shared" ca="1" si="28"/>
        <v/>
      </c>
      <c r="V268" s="7"/>
      <c r="W268" s="7"/>
      <c r="X268" s="4" t="str">
        <f t="shared" ca="1" si="29"/>
        <v>Active</v>
      </c>
      <c r="Y268" s="6" t="s">
        <v>681</v>
      </c>
      <c r="Z268" s="6" t="s">
        <v>682</v>
      </c>
      <c r="AA268" s="6" t="s">
        <v>683</v>
      </c>
      <c r="AC268" s="6" t="s">
        <v>2370</v>
      </c>
      <c r="AD268" s="6" t="s">
        <v>2371</v>
      </c>
      <c r="AE268" s="6" t="s">
        <v>847</v>
      </c>
      <c r="AF268" s="6" t="s">
        <v>2372</v>
      </c>
    </row>
    <row r="269" spans="1:32" x14ac:dyDescent="0.35">
      <c r="A269" s="5">
        <f t="shared" si="24"/>
        <v>202244877</v>
      </c>
      <c r="B269" s="5" t="s">
        <v>290</v>
      </c>
      <c r="C269" s="5" t="s">
        <v>601</v>
      </c>
      <c r="D269" s="6" t="s">
        <v>1757</v>
      </c>
      <c r="E269" s="6" t="s">
        <v>648</v>
      </c>
      <c r="F269" s="6" t="s">
        <v>664</v>
      </c>
      <c r="G269" s="6" t="s">
        <v>2664</v>
      </c>
      <c r="H269" s="6" t="s">
        <v>2692</v>
      </c>
      <c r="I269" s="7">
        <v>28587</v>
      </c>
      <c r="J269" s="6">
        <f t="shared" ca="1" si="25"/>
        <v>48</v>
      </c>
      <c r="K269" s="6" t="s">
        <v>721</v>
      </c>
      <c r="L269" s="6" t="s">
        <v>666</v>
      </c>
      <c r="M269" s="6" t="s">
        <v>701</v>
      </c>
      <c r="N269" s="6" t="s">
        <v>653</v>
      </c>
      <c r="O269" s="6" t="s">
        <v>2373</v>
      </c>
      <c r="P269" s="6" t="s">
        <v>1759</v>
      </c>
      <c r="Q269" s="6" t="s">
        <v>778</v>
      </c>
      <c r="R269" s="7">
        <v>44877</v>
      </c>
      <c r="S269" s="4" t="str">
        <f t="shared" ca="1" si="26"/>
        <v>PKWT</v>
      </c>
      <c r="T269" s="10">
        <f t="shared" ca="1" si="27"/>
        <v>3</v>
      </c>
      <c r="U269" s="7">
        <f t="shared" ca="1" si="28"/>
        <v>46702</v>
      </c>
      <c r="V269" s="7"/>
      <c r="W269" s="7"/>
      <c r="X269" s="4" t="str">
        <f t="shared" ca="1" si="29"/>
        <v>Active</v>
      </c>
      <c r="Y269" s="6" t="s">
        <v>657</v>
      </c>
      <c r="Z269" s="6" t="s">
        <v>705</v>
      </c>
      <c r="AA269" s="6" t="s">
        <v>706</v>
      </c>
      <c r="AC269" s="6" t="s">
        <v>2375</v>
      </c>
      <c r="AD269" s="6" t="s">
        <v>2376</v>
      </c>
      <c r="AE269" s="6" t="s">
        <v>847</v>
      </c>
      <c r="AF269" s="6" t="s">
        <v>2377</v>
      </c>
    </row>
    <row r="270" spans="1:32" x14ac:dyDescent="0.35">
      <c r="A270" s="5">
        <f t="shared" si="24"/>
        <v>201642722</v>
      </c>
      <c r="B270" s="5" t="s">
        <v>291</v>
      </c>
      <c r="C270" s="5" t="s">
        <v>602</v>
      </c>
      <c r="D270" s="6" t="s">
        <v>2201</v>
      </c>
      <c r="E270" s="6" t="s">
        <v>648</v>
      </c>
      <c r="F270" s="6" t="s">
        <v>649</v>
      </c>
      <c r="G270" s="6" t="s">
        <v>2664</v>
      </c>
      <c r="H270" s="6" t="s">
        <v>2692</v>
      </c>
      <c r="I270" s="7">
        <v>29821</v>
      </c>
      <c r="J270" s="6">
        <f t="shared" ca="1" si="25"/>
        <v>44</v>
      </c>
      <c r="K270" s="6" t="s">
        <v>665</v>
      </c>
      <c r="L270" s="6" t="s">
        <v>651</v>
      </c>
      <c r="M270" s="6" t="s">
        <v>652</v>
      </c>
      <c r="N270" s="6" t="s">
        <v>653</v>
      </c>
      <c r="O270" s="6" t="s">
        <v>2378</v>
      </c>
      <c r="P270" s="6" t="s">
        <v>2203</v>
      </c>
      <c r="Q270" s="6" t="s">
        <v>818</v>
      </c>
      <c r="R270" s="7">
        <v>42722</v>
      </c>
      <c r="S270" s="4" t="str">
        <f t="shared" ca="1" si="26"/>
        <v>PKWTT</v>
      </c>
      <c r="T270" s="10" t="str">
        <f t="shared" ca="1" si="27"/>
        <v/>
      </c>
      <c r="U270" s="7" t="str">
        <f t="shared" ca="1" si="28"/>
        <v/>
      </c>
      <c r="V270" s="7"/>
      <c r="W270" s="7"/>
      <c r="X270" s="4" t="str">
        <f t="shared" ca="1" si="29"/>
        <v>Active</v>
      </c>
      <c r="Y270" s="6" t="s">
        <v>681</v>
      </c>
      <c r="Z270" s="6" t="s">
        <v>682</v>
      </c>
      <c r="AA270" s="6" t="s">
        <v>683</v>
      </c>
      <c r="AC270" s="6" t="s">
        <v>2380</v>
      </c>
      <c r="AD270" s="6" t="s">
        <v>2381</v>
      </c>
      <c r="AE270" s="6" t="s">
        <v>847</v>
      </c>
      <c r="AF270" s="6" t="s">
        <v>2382</v>
      </c>
    </row>
    <row r="271" spans="1:32" x14ac:dyDescent="0.35">
      <c r="A271" s="5">
        <f t="shared" si="24"/>
        <v>201843296</v>
      </c>
      <c r="B271" s="5" t="s">
        <v>292</v>
      </c>
      <c r="C271" s="5" t="s">
        <v>603</v>
      </c>
      <c r="D271" s="6" t="s">
        <v>2387</v>
      </c>
      <c r="E271" s="6" t="s">
        <v>648</v>
      </c>
      <c r="F271" s="6" t="s">
        <v>689</v>
      </c>
      <c r="G271" s="6" t="s">
        <v>2664</v>
      </c>
      <c r="H271" s="6" t="s">
        <v>2692</v>
      </c>
      <c r="I271" s="7">
        <v>36817</v>
      </c>
      <c r="J271" s="6">
        <f t="shared" ca="1" si="25"/>
        <v>25</v>
      </c>
      <c r="K271" s="6" t="s">
        <v>791</v>
      </c>
      <c r="L271" s="6" t="s">
        <v>666</v>
      </c>
      <c r="M271" s="6" t="s">
        <v>652</v>
      </c>
      <c r="N271" s="6" t="s">
        <v>653</v>
      </c>
      <c r="O271" s="6" t="s">
        <v>2388</v>
      </c>
      <c r="P271" s="6" t="s">
        <v>2389</v>
      </c>
      <c r="Q271" s="6" t="s">
        <v>680</v>
      </c>
      <c r="R271" s="7">
        <v>43296</v>
      </c>
      <c r="S271" s="4" t="str">
        <f t="shared" ca="1" si="26"/>
        <v>PKWTT</v>
      </c>
      <c r="T271" s="10" t="str">
        <f t="shared" ca="1" si="27"/>
        <v/>
      </c>
      <c r="U271" s="7" t="str">
        <f t="shared" ca="1" si="28"/>
        <v/>
      </c>
      <c r="V271" s="7"/>
      <c r="W271" s="7"/>
      <c r="X271" s="4" t="str">
        <f t="shared" ca="1" si="29"/>
        <v>Active</v>
      </c>
      <c r="Y271" s="6" t="s">
        <v>2643</v>
      </c>
      <c r="Z271" s="6" t="s">
        <v>2655</v>
      </c>
      <c r="AA271" s="6" t="s">
        <v>659</v>
      </c>
      <c r="AC271" s="6" t="s">
        <v>2391</v>
      </c>
      <c r="AD271" s="6" t="s">
        <v>2392</v>
      </c>
      <c r="AE271" s="6" t="s">
        <v>847</v>
      </c>
      <c r="AF271" s="6" t="s">
        <v>2393</v>
      </c>
    </row>
    <row r="272" spans="1:32" x14ac:dyDescent="0.35">
      <c r="A272" s="5">
        <f t="shared" si="24"/>
        <v>202445398</v>
      </c>
      <c r="B272" s="5" t="s">
        <v>293</v>
      </c>
      <c r="C272" s="5" t="s">
        <v>604</v>
      </c>
      <c r="D272" s="6" t="s">
        <v>1266</v>
      </c>
      <c r="E272" s="6" t="s">
        <v>648</v>
      </c>
      <c r="F272" s="6" t="s">
        <v>809</v>
      </c>
      <c r="G272" s="6" t="s">
        <v>2698</v>
      </c>
      <c r="H272" s="1" t="s">
        <v>2691</v>
      </c>
      <c r="I272" s="7">
        <v>37274</v>
      </c>
      <c r="J272" s="6">
        <f t="shared" ca="1" si="25"/>
        <v>24</v>
      </c>
      <c r="K272" s="6" t="s">
        <v>791</v>
      </c>
      <c r="L272" s="6" t="s">
        <v>666</v>
      </c>
      <c r="M272" s="6" t="s">
        <v>691</v>
      </c>
      <c r="N272" s="6" t="s">
        <v>653</v>
      </c>
      <c r="O272" s="6" t="s">
        <v>2394</v>
      </c>
      <c r="P272" s="6" t="s">
        <v>1267</v>
      </c>
      <c r="Q272" s="6" t="s">
        <v>818</v>
      </c>
      <c r="R272" s="7">
        <v>45398</v>
      </c>
      <c r="S272" s="4" t="str">
        <f t="shared" ca="1" si="26"/>
        <v>PKWT</v>
      </c>
      <c r="T272" s="10">
        <f t="shared" ca="1" si="27"/>
        <v>2</v>
      </c>
      <c r="U272" s="7">
        <f t="shared" ca="1" si="28"/>
        <v>46492</v>
      </c>
      <c r="V272" s="7"/>
      <c r="W272" s="7"/>
      <c r="X272" s="4" t="str">
        <f t="shared" ca="1" si="29"/>
        <v>Active</v>
      </c>
      <c r="Y272" s="6" t="s">
        <v>714</v>
      </c>
      <c r="Z272" s="6" t="s">
        <v>715</v>
      </c>
      <c r="AA272" s="6" t="s">
        <v>659</v>
      </c>
      <c r="AC272" s="6" t="s">
        <v>2396</v>
      </c>
      <c r="AD272" s="6" t="s">
        <v>2397</v>
      </c>
      <c r="AE272" s="6" t="s">
        <v>847</v>
      </c>
      <c r="AF272" s="6" t="s">
        <v>2398</v>
      </c>
    </row>
    <row r="273" spans="1:32" x14ac:dyDescent="0.35">
      <c r="A273" s="5">
        <f t="shared" si="24"/>
        <v>201742743</v>
      </c>
      <c r="B273" s="5" t="s">
        <v>294</v>
      </c>
      <c r="C273" s="5" t="s">
        <v>605</v>
      </c>
      <c r="D273" s="6" t="s">
        <v>1280</v>
      </c>
      <c r="E273" s="6" t="s">
        <v>648</v>
      </c>
      <c r="F273" s="6" t="s">
        <v>809</v>
      </c>
      <c r="G273" s="6" t="s">
        <v>2664</v>
      </c>
      <c r="H273" s="6" t="s">
        <v>2692</v>
      </c>
      <c r="I273" s="7">
        <v>33273</v>
      </c>
      <c r="J273" s="6">
        <f t="shared" ca="1" si="25"/>
        <v>35</v>
      </c>
      <c r="K273" s="6" t="s">
        <v>690</v>
      </c>
      <c r="L273" s="6" t="s">
        <v>666</v>
      </c>
      <c r="M273" s="6" t="s">
        <v>701</v>
      </c>
      <c r="N273" s="6" t="s">
        <v>653</v>
      </c>
      <c r="O273" s="6" t="s">
        <v>2399</v>
      </c>
      <c r="P273" s="6" t="s">
        <v>1281</v>
      </c>
      <c r="Q273" s="6" t="s">
        <v>731</v>
      </c>
      <c r="R273" s="7">
        <v>42743</v>
      </c>
      <c r="S273" s="4" t="str">
        <f t="shared" ca="1" si="26"/>
        <v>PKWTT</v>
      </c>
      <c r="T273" s="10" t="str">
        <f t="shared" ca="1" si="27"/>
        <v/>
      </c>
      <c r="U273" s="7" t="str">
        <f t="shared" ca="1" si="28"/>
        <v/>
      </c>
      <c r="V273" s="7"/>
      <c r="W273" s="7"/>
      <c r="X273" s="4" t="str">
        <f t="shared" ca="1" si="29"/>
        <v>Active</v>
      </c>
      <c r="Y273" s="6" t="s">
        <v>2643</v>
      </c>
      <c r="Z273" s="6" t="s">
        <v>2655</v>
      </c>
      <c r="AA273" s="6" t="s">
        <v>659</v>
      </c>
      <c r="AC273" s="6" t="s">
        <v>2401</v>
      </c>
      <c r="AD273" s="6" t="s">
        <v>2402</v>
      </c>
      <c r="AE273" s="6" t="s">
        <v>847</v>
      </c>
      <c r="AF273" s="6" t="s">
        <v>2403</v>
      </c>
    </row>
    <row r="274" spans="1:32" x14ac:dyDescent="0.35">
      <c r="A274" s="5">
        <f t="shared" si="24"/>
        <v>202345147</v>
      </c>
      <c r="B274" s="5" t="s">
        <v>295</v>
      </c>
      <c r="C274" s="5" t="s">
        <v>606</v>
      </c>
      <c r="D274" s="6" t="s">
        <v>1268</v>
      </c>
      <c r="E274" s="6" t="s">
        <v>648</v>
      </c>
      <c r="F274" s="6" t="s">
        <v>664</v>
      </c>
      <c r="G274" s="6" t="s">
        <v>2664</v>
      </c>
      <c r="H274" s="6" t="s">
        <v>2692</v>
      </c>
      <c r="I274" s="7">
        <v>35783</v>
      </c>
      <c r="J274" s="6">
        <f t="shared" ca="1" si="25"/>
        <v>28</v>
      </c>
      <c r="K274" s="6" t="s">
        <v>721</v>
      </c>
      <c r="L274" s="6" t="s">
        <v>666</v>
      </c>
      <c r="M274" s="6" t="s">
        <v>652</v>
      </c>
      <c r="N274" s="6" t="s">
        <v>653</v>
      </c>
      <c r="O274" s="6" t="s">
        <v>2404</v>
      </c>
      <c r="P274" s="6" t="s">
        <v>1270</v>
      </c>
      <c r="Q274" s="6" t="s">
        <v>704</v>
      </c>
      <c r="R274" s="7">
        <v>45147</v>
      </c>
      <c r="S274" s="4" t="str">
        <f t="shared" ca="1" si="26"/>
        <v>PKWT</v>
      </c>
      <c r="T274" s="10">
        <f t="shared" ca="1" si="27"/>
        <v>2</v>
      </c>
      <c r="U274" s="7">
        <f t="shared" ca="1" si="28"/>
        <v>46242</v>
      </c>
      <c r="V274" s="7">
        <v>46242</v>
      </c>
      <c r="W274" s="7" t="s">
        <v>2673</v>
      </c>
      <c r="X274" s="4" t="str">
        <f t="shared" ca="1" si="29"/>
        <v>Non-Active</v>
      </c>
      <c r="Y274" s="6" t="s">
        <v>657</v>
      </c>
      <c r="Z274" s="6" t="s">
        <v>658</v>
      </c>
      <c r="AA274" s="6" t="s">
        <v>659</v>
      </c>
      <c r="AC274" s="6" t="s">
        <v>2406</v>
      </c>
      <c r="AD274" s="6" t="s">
        <v>2407</v>
      </c>
      <c r="AE274" s="6" t="s">
        <v>847</v>
      </c>
      <c r="AF274" s="6" t="s">
        <v>2408</v>
      </c>
    </row>
    <row r="275" spans="1:32" x14ac:dyDescent="0.35">
      <c r="A275" s="5">
        <f t="shared" si="24"/>
        <v>201742763</v>
      </c>
      <c r="B275" s="5" t="s">
        <v>296</v>
      </c>
      <c r="C275" s="5" t="s">
        <v>607</v>
      </c>
      <c r="D275" s="6" t="s">
        <v>1012</v>
      </c>
      <c r="E275" s="6" t="s">
        <v>676</v>
      </c>
      <c r="F275" s="6" t="s">
        <v>768</v>
      </c>
      <c r="G275" s="6" t="s">
        <v>2664</v>
      </c>
      <c r="H275" s="6" t="s">
        <v>2692</v>
      </c>
      <c r="I275" s="7">
        <v>33536</v>
      </c>
      <c r="J275" s="6">
        <f t="shared" ca="1" si="25"/>
        <v>34</v>
      </c>
      <c r="K275" s="6" t="s">
        <v>721</v>
      </c>
      <c r="L275" s="6" t="s">
        <v>666</v>
      </c>
      <c r="M275" s="6" t="s">
        <v>701</v>
      </c>
      <c r="N275" s="6" t="s">
        <v>653</v>
      </c>
      <c r="O275" s="6" t="s">
        <v>2409</v>
      </c>
      <c r="P275" s="6" t="s">
        <v>1013</v>
      </c>
      <c r="Q275" s="6" t="s">
        <v>778</v>
      </c>
      <c r="R275" s="7">
        <v>42763</v>
      </c>
      <c r="S275" s="4" t="str">
        <f t="shared" ca="1" si="26"/>
        <v>PKWTT</v>
      </c>
      <c r="T275" s="10" t="str">
        <f t="shared" ca="1" si="27"/>
        <v/>
      </c>
      <c r="U275" s="7" t="str">
        <f t="shared" ca="1" si="28"/>
        <v/>
      </c>
      <c r="V275" s="7"/>
      <c r="W275" s="7"/>
      <c r="X275" s="4" t="str">
        <f t="shared" ca="1" si="29"/>
        <v>Active</v>
      </c>
      <c r="Y275" s="6" t="s">
        <v>681</v>
      </c>
      <c r="Z275" s="6" t="s">
        <v>682</v>
      </c>
      <c r="AA275" s="6" t="s">
        <v>683</v>
      </c>
      <c r="AC275" s="6" t="s">
        <v>2411</v>
      </c>
      <c r="AD275" s="6" t="s">
        <v>2412</v>
      </c>
      <c r="AE275" s="6" t="s">
        <v>847</v>
      </c>
      <c r="AF275" s="6" t="s">
        <v>2413</v>
      </c>
    </row>
    <row r="276" spans="1:32" x14ac:dyDescent="0.35">
      <c r="A276" s="5">
        <f t="shared" si="24"/>
        <v>202244568</v>
      </c>
      <c r="B276" s="5" t="s">
        <v>297</v>
      </c>
      <c r="C276" s="5" t="s">
        <v>608</v>
      </c>
      <c r="D276" s="6" t="s">
        <v>995</v>
      </c>
      <c r="E276" s="6" t="s">
        <v>648</v>
      </c>
      <c r="F276" s="6" t="s">
        <v>742</v>
      </c>
      <c r="G276" s="6" t="s">
        <v>2695</v>
      </c>
      <c r="H276" s="6" t="s">
        <v>2687</v>
      </c>
      <c r="I276" s="7">
        <v>37456</v>
      </c>
      <c r="J276" s="6">
        <f t="shared" ca="1" si="25"/>
        <v>24</v>
      </c>
      <c r="K276" s="6" t="s">
        <v>690</v>
      </c>
      <c r="L276" s="6" t="s">
        <v>666</v>
      </c>
      <c r="M276" s="6" t="s">
        <v>677</v>
      </c>
      <c r="N276" s="6" t="s">
        <v>653</v>
      </c>
      <c r="O276" s="6" t="s">
        <v>2414</v>
      </c>
      <c r="P276" s="6" t="s">
        <v>996</v>
      </c>
      <c r="Q276" s="6" t="s">
        <v>694</v>
      </c>
      <c r="R276" s="7">
        <v>44568</v>
      </c>
      <c r="S276" s="4" t="str">
        <f t="shared" ca="1" si="26"/>
        <v>PKWT</v>
      </c>
      <c r="T276" s="10">
        <f t="shared" ca="1" si="27"/>
        <v>3</v>
      </c>
      <c r="U276" s="7">
        <f t="shared" ca="1" si="28"/>
        <v>46393</v>
      </c>
      <c r="V276" s="7"/>
      <c r="W276" s="7"/>
      <c r="X276" s="4" t="str">
        <f t="shared" ca="1" si="29"/>
        <v>Active</v>
      </c>
      <c r="Y276" s="6" t="s">
        <v>657</v>
      </c>
      <c r="Z276" s="6" t="s">
        <v>658</v>
      </c>
      <c r="AA276" s="6" t="s">
        <v>2640</v>
      </c>
      <c r="AC276" s="6" t="s">
        <v>2416</v>
      </c>
      <c r="AD276" s="6" t="s">
        <v>2417</v>
      </c>
      <c r="AE276" s="6" t="s">
        <v>847</v>
      </c>
      <c r="AF276" s="6" t="s">
        <v>2418</v>
      </c>
    </row>
    <row r="277" spans="1:32" x14ac:dyDescent="0.35">
      <c r="A277" s="5">
        <f t="shared" si="24"/>
        <v>201642715</v>
      </c>
      <c r="B277" s="5" t="s">
        <v>298</v>
      </c>
      <c r="C277" s="5" t="s">
        <v>609</v>
      </c>
      <c r="D277" s="6" t="s">
        <v>1069</v>
      </c>
      <c r="E277" s="6" t="s">
        <v>676</v>
      </c>
      <c r="F277" s="6" t="s">
        <v>689</v>
      </c>
      <c r="G277" s="6" t="s">
        <v>2695</v>
      </c>
      <c r="H277" s="6" t="s">
        <v>2687</v>
      </c>
      <c r="I277" s="7">
        <v>31220</v>
      </c>
      <c r="J277" s="6">
        <f t="shared" ca="1" si="25"/>
        <v>41</v>
      </c>
      <c r="K277" s="6" t="s">
        <v>791</v>
      </c>
      <c r="L277" s="6" t="s">
        <v>666</v>
      </c>
      <c r="M277" s="6" t="s">
        <v>691</v>
      </c>
      <c r="N277" s="6" t="s">
        <v>653</v>
      </c>
      <c r="O277" s="6" t="s">
        <v>2419</v>
      </c>
      <c r="P277" s="6" t="s">
        <v>1071</v>
      </c>
      <c r="Q277" s="6" t="s">
        <v>694</v>
      </c>
      <c r="R277" s="7">
        <v>42715</v>
      </c>
      <c r="S277" s="4" t="str">
        <f t="shared" ca="1" si="26"/>
        <v>PKWTT</v>
      </c>
      <c r="T277" s="10" t="str">
        <f t="shared" ca="1" si="27"/>
        <v/>
      </c>
      <c r="U277" s="7" t="str">
        <f t="shared" ca="1" si="28"/>
        <v/>
      </c>
      <c r="V277" s="7"/>
      <c r="W277" s="7"/>
      <c r="X277" s="4" t="str">
        <f t="shared" ca="1" si="29"/>
        <v>Active</v>
      </c>
      <c r="Y277" s="6" t="s">
        <v>657</v>
      </c>
      <c r="Z277" s="6" t="s">
        <v>705</v>
      </c>
      <c r="AA277" s="6" t="s">
        <v>706</v>
      </c>
      <c r="AC277" s="6" t="s">
        <v>2421</v>
      </c>
      <c r="AD277" s="6" t="s">
        <v>2422</v>
      </c>
      <c r="AE277" s="6" t="s">
        <v>847</v>
      </c>
      <c r="AF277" s="6" t="s">
        <v>2423</v>
      </c>
    </row>
    <row r="278" spans="1:32" x14ac:dyDescent="0.35">
      <c r="A278" s="5">
        <f t="shared" si="24"/>
        <v>202345132</v>
      </c>
      <c r="B278" s="5" t="s">
        <v>299</v>
      </c>
      <c r="C278" s="5" t="s">
        <v>610</v>
      </c>
      <c r="D278" s="6" t="s">
        <v>1382</v>
      </c>
      <c r="E278" s="6" t="s">
        <v>676</v>
      </c>
      <c r="F278" s="6" t="s">
        <v>809</v>
      </c>
      <c r="G278" s="6" t="s">
        <v>2664</v>
      </c>
      <c r="H278" s="6" t="s">
        <v>2692</v>
      </c>
      <c r="I278" s="7">
        <v>34589</v>
      </c>
      <c r="J278" s="6">
        <f t="shared" ca="1" si="25"/>
        <v>31</v>
      </c>
      <c r="K278" s="6" t="s">
        <v>791</v>
      </c>
      <c r="L278" s="6" t="s">
        <v>666</v>
      </c>
      <c r="M278" s="6" t="s">
        <v>652</v>
      </c>
      <c r="N278" s="6" t="s">
        <v>653</v>
      </c>
      <c r="O278" s="6" t="s">
        <v>2424</v>
      </c>
      <c r="P278" s="6" t="s">
        <v>1384</v>
      </c>
      <c r="Q278" s="6" t="s">
        <v>656</v>
      </c>
      <c r="R278" s="7">
        <v>45132</v>
      </c>
      <c r="S278" s="4" t="str">
        <f t="shared" ca="1" si="26"/>
        <v>PKWT</v>
      </c>
      <c r="T278" s="10">
        <f t="shared" ca="1" si="27"/>
        <v>3</v>
      </c>
      <c r="U278" s="7">
        <f t="shared" ca="1" si="28"/>
        <v>46958</v>
      </c>
      <c r="V278" s="7">
        <v>46228</v>
      </c>
      <c r="W278" s="7" t="s">
        <v>2673</v>
      </c>
      <c r="X278" s="4" t="str">
        <f t="shared" ca="1" si="29"/>
        <v>Non-Active</v>
      </c>
      <c r="Y278" s="6" t="s">
        <v>681</v>
      </c>
      <c r="Z278" s="6" t="s">
        <v>759</v>
      </c>
      <c r="AA278" s="6" t="s">
        <v>659</v>
      </c>
      <c r="AC278" s="6" t="s">
        <v>2426</v>
      </c>
      <c r="AD278" s="6" t="s">
        <v>2427</v>
      </c>
      <c r="AE278" s="6" t="s">
        <v>847</v>
      </c>
      <c r="AF278" s="6" t="s">
        <v>2428</v>
      </c>
    </row>
    <row r="279" spans="1:32" x14ac:dyDescent="0.35">
      <c r="A279" s="5">
        <f t="shared" si="24"/>
        <v>202144520</v>
      </c>
      <c r="B279" s="5" t="s">
        <v>300</v>
      </c>
      <c r="C279" s="5" t="s">
        <v>611</v>
      </c>
      <c r="D279" s="6" t="s">
        <v>892</v>
      </c>
      <c r="E279" s="6" t="s">
        <v>648</v>
      </c>
      <c r="F279" s="6" t="s">
        <v>738</v>
      </c>
      <c r="G279" s="6" t="s">
        <v>2664</v>
      </c>
      <c r="H279" s="6" t="s">
        <v>2692</v>
      </c>
      <c r="I279" s="7">
        <v>27827</v>
      </c>
      <c r="J279" s="6">
        <f t="shared" ca="1" si="25"/>
        <v>50</v>
      </c>
      <c r="K279" s="6" t="s">
        <v>650</v>
      </c>
      <c r="L279" s="6" t="s">
        <v>666</v>
      </c>
      <c r="M279" s="6" t="s">
        <v>677</v>
      </c>
      <c r="N279" s="6" t="s">
        <v>653</v>
      </c>
      <c r="O279" s="6" t="s">
        <v>2429</v>
      </c>
      <c r="P279" s="6" t="s">
        <v>893</v>
      </c>
      <c r="Q279" s="6" t="s">
        <v>704</v>
      </c>
      <c r="R279" s="7">
        <v>44520</v>
      </c>
      <c r="S279" s="4" t="str">
        <f t="shared" ca="1" si="26"/>
        <v>PKWT</v>
      </c>
      <c r="T279" s="10">
        <f t="shared" ca="1" si="27"/>
        <v>3</v>
      </c>
      <c r="U279" s="7">
        <f t="shared" ca="1" si="28"/>
        <v>46345</v>
      </c>
      <c r="V279" s="7"/>
      <c r="W279" s="7"/>
      <c r="X279" s="4" t="str">
        <f t="shared" ca="1" si="29"/>
        <v>Active</v>
      </c>
      <c r="Y279" s="6" t="s">
        <v>732</v>
      </c>
      <c r="Z279" s="6" t="s">
        <v>733</v>
      </c>
      <c r="AA279" s="6" t="s">
        <v>659</v>
      </c>
      <c r="AC279" s="6" t="s">
        <v>2431</v>
      </c>
      <c r="AD279" s="6" t="s">
        <v>2432</v>
      </c>
      <c r="AE279" s="6" t="s">
        <v>847</v>
      </c>
      <c r="AF279" s="6" t="s">
        <v>2433</v>
      </c>
    </row>
    <row r="280" spans="1:32" x14ac:dyDescent="0.35">
      <c r="A280" s="5">
        <f t="shared" si="24"/>
        <v>201943535</v>
      </c>
      <c r="B280" s="5" t="s">
        <v>301</v>
      </c>
      <c r="C280" s="5" t="s">
        <v>612</v>
      </c>
      <c r="D280" s="6" t="s">
        <v>816</v>
      </c>
      <c r="E280" s="6" t="s">
        <v>648</v>
      </c>
      <c r="F280" s="6" t="s">
        <v>689</v>
      </c>
      <c r="G280" s="6" t="s">
        <v>2664</v>
      </c>
      <c r="H280" s="6" t="s">
        <v>2692</v>
      </c>
      <c r="I280" s="7">
        <v>36273</v>
      </c>
      <c r="J280" s="6">
        <f t="shared" ca="1" si="25"/>
        <v>27</v>
      </c>
      <c r="K280" s="6" t="s">
        <v>721</v>
      </c>
      <c r="L280" s="6" t="s">
        <v>666</v>
      </c>
      <c r="M280" s="6" t="s">
        <v>677</v>
      </c>
      <c r="N280" s="6" t="s">
        <v>653</v>
      </c>
      <c r="O280" s="6" t="s">
        <v>2434</v>
      </c>
      <c r="P280" s="6" t="s">
        <v>817</v>
      </c>
      <c r="Q280" s="6" t="s">
        <v>818</v>
      </c>
      <c r="R280" s="7">
        <v>43535</v>
      </c>
      <c r="S280" s="4" t="str">
        <f t="shared" ca="1" si="26"/>
        <v>PKWTT</v>
      </c>
      <c r="T280" s="10" t="str">
        <f t="shared" ca="1" si="27"/>
        <v/>
      </c>
      <c r="U280" s="7" t="str">
        <f t="shared" ca="1" si="28"/>
        <v/>
      </c>
      <c r="V280" s="7"/>
      <c r="W280" s="7"/>
      <c r="X280" s="4" t="str">
        <f t="shared" ca="1" si="29"/>
        <v>Active</v>
      </c>
      <c r="Y280" s="6" t="s">
        <v>2643</v>
      </c>
      <c r="Z280" s="6" t="s">
        <v>2655</v>
      </c>
      <c r="AA280" s="6" t="s">
        <v>659</v>
      </c>
      <c r="AC280" s="6" t="s">
        <v>2436</v>
      </c>
      <c r="AD280" s="6" t="s">
        <v>2437</v>
      </c>
      <c r="AE280" s="6" t="s">
        <v>847</v>
      </c>
      <c r="AF280" s="6" t="s">
        <v>2438</v>
      </c>
    </row>
    <row r="281" spans="1:32" x14ac:dyDescent="0.35">
      <c r="A281" s="5">
        <f t="shared" si="24"/>
        <v>201742836</v>
      </c>
      <c r="B281" s="5" t="s">
        <v>302</v>
      </c>
      <c r="C281" s="5" t="s">
        <v>613</v>
      </c>
      <c r="D281" s="6" t="s">
        <v>993</v>
      </c>
      <c r="E281" s="6" t="s">
        <v>676</v>
      </c>
      <c r="F281" s="6" t="s">
        <v>768</v>
      </c>
      <c r="G281" s="6" t="s">
        <v>2695</v>
      </c>
      <c r="H281" s="6" t="s">
        <v>2696</v>
      </c>
      <c r="I281" s="7">
        <v>36771</v>
      </c>
      <c r="J281" s="6">
        <f t="shared" ca="1" si="25"/>
        <v>25</v>
      </c>
      <c r="K281" s="6" t="s">
        <v>665</v>
      </c>
      <c r="L281" s="6" t="s">
        <v>651</v>
      </c>
      <c r="M281" s="6" t="s">
        <v>691</v>
      </c>
      <c r="N281" s="6" t="s">
        <v>653</v>
      </c>
      <c r="O281" s="6" t="s">
        <v>2439</v>
      </c>
      <c r="P281" s="6" t="s">
        <v>994</v>
      </c>
      <c r="Q281" s="6" t="s">
        <v>731</v>
      </c>
      <c r="R281" s="7">
        <v>42836</v>
      </c>
      <c r="S281" s="4" t="str">
        <f t="shared" ca="1" si="26"/>
        <v>PKWTT</v>
      </c>
      <c r="T281" s="10" t="str">
        <f t="shared" ca="1" si="27"/>
        <v/>
      </c>
      <c r="U281" s="7" t="str">
        <f t="shared" ca="1" si="28"/>
        <v/>
      </c>
      <c r="V281" s="7"/>
      <c r="W281" s="7"/>
      <c r="X281" s="4" t="str">
        <f t="shared" ca="1" si="29"/>
        <v>Active</v>
      </c>
      <c r="Y281" s="6" t="s">
        <v>657</v>
      </c>
      <c r="Z281" s="6" t="s">
        <v>669</v>
      </c>
      <c r="AA281" s="6" t="s">
        <v>670</v>
      </c>
      <c r="AC281" s="6" t="s">
        <v>2441</v>
      </c>
      <c r="AD281" s="6" t="s">
        <v>2442</v>
      </c>
      <c r="AE281" s="6" t="s">
        <v>847</v>
      </c>
      <c r="AF281" s="6" t="s">
        <v>2443</v>
      </c>
    </row>
    <row r="282" spans="1:32" x14ac:dyDescent="0.35">
      <c r="A282" s="5">
        <f t="shared" si="24"/>
        <v>202144367</v>
      </c>
      <c r="B282" s="5" t="s">
        <v>303</v>
      </c>
      <c r="C282" s="5" t="s">
        <v>614</v>
      </c>
      <c r="D282" s="6" t="s">
        <v>2383</v>
      </c>
      <c r="E282" s="6" t="s">
        <v>676</v>
      </c>
      <c r="F282" s="6" t="s">
        <v>742</v>
      </c>
      <c r="G282" s="6" t="s">
        <v>2664</v>
      </c>
      <c r="H282" s="6" t="s">
        <v>2692</v>
      </c>
      <c r="I282" s="7">
        <v>34378</v>
      </c>
      <c r="J282" s="6">
        <f t="shared" ca="1" si="25"/>
        <v>32</v>
      </c>
      <c r="K282" s="6" t="s">
        <v>665</v>
      </c>
      <c r="L282" s="6" t="s">
        <v>666</v>
      </c>
      <c r="M282" s="6" t="s">
        <v>652</v>
      </c>
      <c r="N282" s="6" t="s">
        <v>653</v>
      </c>
      <c r="O282" s="6" t="s">
        <v>2444</v>
      </c>
      <c r="P282" s="6" t="s">
        <v>2384</v>
      </c>
      <c r="Q282" s="6" t="s">
        <v>694</v>
      </c>
      <c r="R282" s="7">
        <v>44367</v>
      </c>
      <c r="S282" s="4" t="str">
        <f t="shared" ca="1" si="26"/>
        <v>PKWTT</v>
      </c>
      <c r="T282" s="10" t="str">
        <f t="shared" ca="1" si="27"/>
        <v/>
      </c>
      <c r="U282" s="7" t="str">
        <f t="shared" ca="1" si="28"/>
        <v/>
      </c>
      <c r="V282" s="7"/>
      <c r="W282" s="7"/>
      <c r="X282" s="4" t="str">
        <f t="shared" ca="1" si="29"/>
        <v>Active</v>
      </c>
      <c r="Y282" s="6" t="s">
        <v>2643</v>
      </c>
      <c r="Z282" s="6" t="s">
        <v>2656</v>
      </c>
      <c r="AA282" s="6" t="s">
        <v>2640</v>
      </c>
      <c r="AC282" s="6" t="s">
        <v>2446</v>
      </c>
      <c r="AD282" s="6" t="s">
        <v>2447</v>
      </c>
      <c r="AE282" s="6" t="s">
        <v>847</v>
      </c>
      <c r="AF282" s="6" t="s">
        <v>2448</v>
      </c>
    </row>
    <row r="283" spans="1:32" x14ac:dyDescent="0.35">
      <c r="A283" s="5">
        <f t="shared" si="24"/>
        <v>202244574</v>
      </c>
      <c r="B283" s="5" t="s">
        <v>304</v>
      </c>
      <c r="C283" s="5" t="s">
        <v>615</v>
      </c>
      <c r="D283" s="6" t="s">
        <v>1776</v>
      </c>
      <c r="E283" s="6" t="s">
        <v>648</v>
      </c>
      <c r="F283" s="6" t="s">
        <v>664</v>
      </c>
      <c r="G283" s="6" t="s">
        <v>2664</v>
      </c>
      <c r="H283" s="6" t="s">
        <v>2692</v>
      </c>
      <c r="I283" s="7">
        <v>35775</v>
      </c>
      <c r="J283" s="6">
        <f t="shared" ca="1" si="25"/>
        <v>28</v>
      </c>
      <c r="K283" s="6" t="s">
        <v>665</v>
      </c>
      <c r="L283" s="6" t="s">
        <v>666</v>
      </c>
      <c r="M283" s="6" t="s">
        <v>677</v>
      </c>
      <c r="N283" s="6" t="s">
        <v>653</v>
      </c>
      <c r="O283" s="6" t="s">
        <v>2449</v>
      </c>
      <c r="P283" s="6" t="s">
        <v>1778</v>
      </c>
      <c r="Q283" s="6" t="s">
        <v>680</v>
      </c>
      <c r="R283" s="7">
        <v>44574</v>
      </c>
      <c r="S283" s="4" t="str">
        <f t="shared" ca="1" si="26"/>
        <v>PKWT</v>
      </c>
      <c r="T283" s="10">
        <f t="shared" ca="1" si="27"/>
        <v>3</v>
      </c>
      <c r="U283" s="7">
        <f t="shared" ca="1" si="28"/>
        <v>46399</v>
      </c>
      <c r="V283" s="7" t="str">
        <f ca="1">IF(U283="","",IF(U283=1,EDATE(S283,12)-1,IF(U283=2,EDATE(S283,36)-1,IF(U283=3,EDATE(S283,60)-1,""))))</f>
        <v/>
      </c>
      <c r="W283" s="7"/>
      <c r="X283" s="4" t="str">
        <f t="shared" ca="1" si="29"/>
        <v>Active</v>
      </c>
      <c r="Y283" s="6" t="s">
        <v>681</v>
      </c>
      <c r="Z283" s="6" t="s">
        <v>759</v>
      </c>
      <c r="AA283" s="6" t="s">
        <v>659</v>
      </c>
      <c r="AC283" s="6" t="s">
        <v>2451</v>
      </c>
      <c r="AD283" s="6" t="s">
        <v>2452</v>
      </c>
      <c r="AE283" s="6" t="s">
        <v>847</v>
      </c>
      <c r="AF283" s="6" t="s">
        <v>2453</v>
      </c>
    </row>
    <row r="284" spans="1:32" x14ac:dyDescent="0.35">
      <c r="A284" s="5">
        <f t="shared" si="24"/>
        <v>202244764</v>
      </c>
      <c r="B284" s="5" t="s">
        <v>40</v>
      </c>
      <c r="C284" s="5" t="s">
        <v>351</v>
      </c>
      <c r="D284" s="6" t="s">
        <v>800</v>
      </c>
      <c r="E284" s="6" t="s">
        <v>648</v>
      </c>
      <c r="F284" s="6" t="s">
        <v>664</v>
      </c>
      <c r="G284" s="6" t="s">
        <v>2664</v>
      </c>
      <c r="H284" s="6" t="s">
        <v>2692</v>
      </c>
      <c r="I284" s="7">
        <v>34248</v>
      </c>
      <c r="J284" s="6">
        <f t="shared" ca="1" si="25"/>
        <v>32</v>
      </c>
      <c r="K284" s="6" t="s">
        <v>665</v>
      </c>
      <c r="L284" s="6" t="s">
        <v>651</v>
      </c>
      <c r="M284" s="6" t="s">
        <v>652</v>
      </c>
      <c r="N284" s="6" t="s">
        <v>653</v>
      </c>
      <c r="O284" s="6" t="s">
        <v>801</v>
      </c>
      <c r="P284" s="6" t="s">
        <v>802</v>
      </c>
      <c r="Q284" s="6" t="s">
        <v>704</v>
      </c>
      <c r="R284" s="7">
        <v>44764</v>
      </c>
      <c r="S284" s="4" t="str">
        <f t="shared" ca="1" si="26"/>
        <v>PKWT</v>
      </c>
      <c r="T284" s="10">
        <f t="shared" ca="1" si="27"/>
        <v>3</v>
      </c>
      <c r="U284" s="7">
        <f t="shared" ca="1" si="28"/>
        <v>46589</v>
      </c>
      <c r="V284" s="7" t="str">
        <f ca="1">IF(U284="","",IF(U284=1,EDATE(S284,12)-1,IF(U284=2,EDATE(S284,36)-1,IF(U284=3,EDATE(S284,60)-1,""))))</f>
        <v/>
      </c>
      <c r="W284" s="7"/>
      <c r="X284" s="4" t="str">
        <f t="shared" ca="1" si="29"/>
        <v>Active</v>
      </c>
      <c r="Y284" s="6" t="s">
        <v>794</v>
      </c>
      <c r="Z284" s="6" t="s">
        <v>2630</v>
      </c>
      <c r="AA284" s="6" t="s">
        <v>2621</v>
      </c>
      <c r="AC284" s="6" t="s">
        <v>805</v>
      </c>
      <c r="AD284" s="6" t="s">
        <v>806</v>
      </c>
      <c r="AE284" s="6" t="s">
        <v>847</v>
      </c>
      <c r="AF284" s="6" t="s">
        <v>807</v>
      </c>
    </row>
    <row r="285" spans="1:32" x14ac:dyDescent="0.35">
      <c r="A285" s="5">
        <f t="shared" si="24"/>
        <v>201943483</v>
      </c>
      <c r="B285" s="5" t="s">
        <v>306</v>
      </c>
      <c r="C285" s="5" t="s">
        <v>617</v>
      </c>
      <c r="D285" s="6" t="s">
        <v>863</v>
      </c>
      <c r="E285" s="6" t="s">
        <v>648</v>
      </c>
      <c r="F285" s="6" t="s">
        <v>738</v>
      </c>
      <c r="G285" s="6" t="s">
        <v>2695</v>
      </c>
      <c r="H285" s="6" t="s">
        <v>2696</v>
      </c>
      <c r="I285" s="7">
        <v>33049</v>
      </c>
      <c r="J285" s="6">
        <f t="shared" ca="1" si="25"/>
        <v>36</v>
      </c>
      <c r="K285" s="6" t="s">
        <v>721</v>
      </c>
      <c r="L285" s="6" t="s">
        <v>666</v>
      </c>
      <c r="M285" s="6" t="s">
        <v>691</v>
      </c>
      <c r="N285" s="6" t="s">
        <v>653</v>
      </c>
      <c r="O285" s="6" t="s">
        <v>2461</v>
      </c>
      <c r="P285" s="6" t="s">
        <v>864</v>
      </c>
      <c r="Q285" s="6" t="s">
        <v>680</v>
      </c>
      <c r="R285" s="7">
        <v>43483</v>
      </c>
      <c r="S285" s="4" t="str">
        <f t="shared" ca="1" si="26"/>
        <v>PKWTT</v>
      </c>
      <c r="T285" s="10" t="str">
        <f t="shared" ca="1" si="27"/>
        <v/>
      </c>
      <c r="U285" s="7" t="str">
        <f t="shared" ca="1" si="28"/>
        <v/>
      </c>
      <c r="V285" s="7" t="str">
        <f ca="1">IF(U285="","",IF(U285=1,EDATE(S285,12)-1,IF(U285=2,EDATE(S285,36)-1,IF(U285=3,EDATE(S285,60)-1,""))))</f>
        <v/>
      </c>
      <c r="W285" s="7"/>
      <c r="X285" s="4" t="str">
        <f t="shared" ca="1" si="29"/>
        <v>Active</v>
      </c>
      <c r="Y285" s="6" t="s">
        <v>657</v>
      </c>
      <c r="Z285" s="6" t="s">
        <v>705</v>
      </c>
      <c r="AA285" s="6" t="s">
        <v>706</v>
      </c>
      <c r="AC285" s="6" t="s">
        <v>2463</v>
      </c>
      <c r="AD285" s="6" t="s">
        <v>2464</v>
      </c>
      <c r="AE285" s="6" t="s">
        <v>847</v>
      </c>
      <c r="AF285" s="6" t="s">
        <v>2465</v>
      </c>
    </row>
    <row r="286" spans="1:32" x14ac:dyDescent="0.35">
      <c r="A286" s="5">
        <f t="shared" si="24"/>
        <v>202144394</v>
      </c>
      <c r="B286" s="5" t="s">
        <v>308</v>
      </c>
      <c r="C286" s="5" t="s">
        <v>619</v>
      </c>
      <c r="D286" s="6" t="s">
        <v>872</v>
      </c>
      <c r="E286" s="6" t="s">
        <v>648</v>
      </c>
      <c r="F286" s="6" t="s">
        <v>649</v>
      </c>
      <c r="G286" s="6" t="s">
        <v>2695</v>
      </c>
      <c r="H286" s="6" t="s">
        <v>2696</v>
      </c>
      <c r="I286" s="7">
        <v>32741</v>
      </c>
      <c r="J286" s="6">
        <f t="shared" ca="1" si="25"/>
        <v>36</v>
      </c>
      <c r="K286" s="6" t="s">
        <v>690</v>
      </c>
      <c r="L286" s="6" t="s">
        <v>651</v>
      </c>
      <c r="M286" s="6" t="s">
        <v>691</v>
      </c>
      <c r="N286" s="6" t="s">
        <v>653</v>
      </c>
      <c r="O286" s="6" t="s">
        <v>2473</v>
      </c>
      <c r="P286" s="6" t="s">
        <v>874</v>
      </c>
      <c r="Q286" s="6" t="s">
        <v>818</v>
      </c>
      <c r="R286" s="7">
        <v>44394</v>
      </c>
      <c r="S286" s="4" t="str">
        <f t="shared" ca="1" si="26"/>
        <v>PKWTT</v>
      </c>
      <c r="T286" s="10" t="str">
        <f t="shared" ca="1" si="27"/>
        <v/>
      </c>
      <c r="U286" s="7" t="str">
        <f t="shared" ca="1" si="28"/>
        <v/>
      </c>
      <c r="V286" s="7">
        <v>46219</v>
      </c>
      <c r="W286" s="7" t="s">
        <v>2673</v>
      </c>
      <c r="X286" s="4" t="str">
        <f t="shared" ca="1" si="29"/>
        <v>Non-Active</v>
      </c>
      <c r="Y286" s="6" t="s">
        <v>657</v>
      </c>
      <c r="Z286" s="6" t="s">
        <v>658</v>
      </c>
      <c r="AA286" s="6" t="s">
        <v>659</v>
      </c>
      <c r="AC286" s="6" t="s">
        <v>2475</v>
      </c>
      <c r="AD286" s="6" t="s">
        <v>2476</v>
      </c>
      <c r="AE286" s="6" t="s">
        <v>847</v>
      </c>
      <c r="AF286" s="6" t="s">
        <v>2477</v>
      </c>
    </row>
    <row r="287" spans="1:32" x14ac:dyDescent="0.35">
      <c r="A287" s="5">
        <f t="shared" si="24"/>
        <v>201943818</v>
      </c>
      <c r="B287" s="5" t="s">
        <v>309</v>
      </c>
      <c r="C287" s="5" t="s">
        <v>620</v>
      </c>
      <c r="D287" s="6" t="s">
        <v>935</v>
      </c>
      <c r="E287" s="6" t="s">
        <v>648</v>
      </c>
      <c r="F287" s="6" t="s">
        <v>649</v>
      </c>
      <c r="G287" s="6" t="s">
        <v>2698</v>
      </c>
      <c r="H287" s="1" t="s">
        <v>2691</v>
      </c>
      <c r="I287" s="7">
        <v>36961</v>
      </c>
      <c r="J287" s="6">
        <f t="shared" ca="1" si="25"/>
        <v>25</v>
      </c>
      <c r="K287" s="6" t="s">
        <v>650</v>
      </c>
      <c r="L287" s="6" t="s">
        <v>651</v>
      </c>
      <c r="M287" s="6" t="s">
        <v>652</v>
      </c>
      <c r="N287" s="6" t="s">
        <v>653</v>
      </c>
      <c r="O287" s="6" t="s">
        <v>2478</v>
      </c>
      <c r="P287" s="6" t="s">
        <v>936</v>
      </c>
      <c r="Q287" s="6" t="s">
        <v>680</v>
      </c>
      <c r="R287" s="7">
        <v>43818</v>
      </c>
      <c r="S287" s="4" t="str">
        <f t="shared" ca="1" si="26"/>
        <v>PKWTT</v>
      </c>
      <c r="T287" s="10" t="str">
        <f t="shared" ca="1" si="27"/>
        <v/>
      </c>
      <c r="U287" s="7" t="str">
        <f t="shared" ca="1" si="28"/>
        <v/>
      </c>
      <c r="V287" s="7" t="str">
        <f t="shared" ref="V287:V292" ca="1" si="30">IF(U287="","",IF(U287=1,EDATE(S287,12)-1,IF(U287=2,EDATE(S287,36)-1,IF(U287=3,EDATE(S287,60)-1,""))))</f>
        <v/>
      </c>
      <c r="W287" s="7"/>
      <c r="X287" s="4" t="str">
        <f t="shared" ca="1" si="29"/>
        <v>Active</v>
      </c>
      <c r="Y287" s="6" t="s">
        <v>714</v>
      </c>
      <c r="Z287" s="6" t="s">
        <v>715</v>
      </c>
      <c r="AA287" s="6" t="s">
        <v>659</v>
      </c>
      <c r="AC287" s="6" t="s">
        <v>2480</v>
      </c>
      <c r="AD287" s="6" t="s">
        <v>2481</v>
      </c>
      <c r="AE287" s="6" t="s">
        <v>847</v>
      </c>
      <c r="AF287" s="6" t="s">
        <v>2482</v>
      </c>
    </row>
    <row r="288" spans="1:32" x14ac:dyDescent="0.35">
      <c r="A288" s="5">
        <f t="shared" si="24"/>
        <v>201943641</v>
      </c>
      <c r="B288" s="5" t="s">
        <v>311</v>
      </c>
      <c r="C288" s="5" t="s">
        <v>622</v>
      </c>
      <c r="D288" s="6" t="s">
        <v>1368</v>
      </c>
      <c r="E288" s="6" t="s">
        <v>676</v>
      </c>
      <c r="F288" s="6" t="s">
        <v>742</v>
      </c>
      <c r="G288" s="6" t="s">
        <v>2695</v>
      </c>
      <c r="H288" s="6" t="s">
        <v>2696</v>
      </c>
      <c r="I288" s="7">
        <v>34152</v>
      </c>
      <c r="J288" s="6">
        <f t="shared" ca="1" si="25"/>
        <v>33</v>
      </c>
      <c r="K288" s="6" t="s">
        <v>791</v>
      </c>
      <c r="L288" s="6" t="s">
        <v>651</v>
      </c>
      <c r="M288" s="6" t="s">
        <v>677</v>
      </c>
      <c r="N288" s="6" t="s">
        <v>653</v>
      </c>
      <c r="O288" s="6" t="s">
        <v>2488</v>
      </c>
      <c r="P288" s="6" t="s">
        <v>1369</v>
      </c>
      <c r="Q288" s="6" t="s">
        <v>731</v>
      </c>
      <c r="R288" s="7">
        <v>43641</v>
      </c>
      <c r="S288" s="4" t="str">
        <f t="shared" ca="1" si="26"/>
        <v>PKWTT</v>
      </c>
      <c r="T288" s="10" t="str">
        <f t="shared" ca="1" si="27"/>
        <v/>
      </c>
      <c r="U288" s="7" t="str">
        <f t="shared" ca="1" si="28"/>
        <v/>
      </c>
      <c r="V288" s="7" t="str">
        <f t="shared" ca="1" si="30"/>
        <v/>
      </c>
      <c r="W288" s="7"/>
      <c r="X288" s="4" t="str">
        <f t="shared" ca="1" si="29"/>
        <v>Active</v>
      </c>
      <c r="Y288" s="6" t="s">
        <v>657</v>
      </c>
      <c r="Z288" s="6" t="s">
        <v>916</v>
      </c>
      <c r="AA288" s="6" t="s">
        <v>659</v>
      </c>
      <c r="AC288" s="6" t="s">
        <v>2490</v>
      </c>
      <c r="AD288" s="6" t="s">
        <v>2491</v>
      </c>
      <c r="AE288" s="6" t="s">
        <v>847</v>
      </c>
      <c r="AF288" s="6" t="s">
        <v>2492</v>
      </c>
    </row>
    <row r="289" spans="1:32" x14ac:dyDescent="0.35">
      <c r="A289" s="5">
        <f t="shared" si="24"/>
        <v>202144405</v>
      </c>
      <c r="B289" s="5" t="s">
        <v>313</v>
      </c>
      <c r="C289" s="5" t="s">
        <v>624</v>
      </c>
      <c r="D289" s="6" t="s">
        <v>2276</v>
      </c>
      <c r="E289" s="6" t="s">
        <v>648</v>
      </c>
      <c r="F289" s="6" t="s">
        <v>768</v>
      </c>
      <c r="G289" s="6" t="s">
        <v>2664</v>
      </c>
      <c r="H289" s="6" t="s">
        <v>2692</v>
      </c>
      <c r="I289" s="7">
        <v>33869</v>
      </c>
      <c r="J289" s="6">
        <f t="shared" ca="1" si="25"/>
        <v>33</v>
      </c>
      <c r="K289" s="6" t="s">
        <v>650</v>
      </c>
      <c r="L289" s="6" t="s">
        <v>666</v>
      </c>
      <c r="M289" s="6" t="s">
        <v>691</v>
      </c>
      <c r="N289" s="6" t="s">
        <v>653</v>
      </c>
      <c r="O289" s="6" t="s">
        <v>2498</v>
      </c>
      <c r="P289" s="6" t="s">
        <v>2278</v>
      </c>
      <c r="Q289" s="6" t="s">
        <v>656</v>
      </c>
      <c r="R289" s="7">
        <v>44405</v>
      </c>
      <c r="S289" s="4" t="str">
        <f t="shared" ca="1" si="26"/>
        <v>PKWTT</v>
      </c>
      <c r="T289" s="10" t="str">
        <f t="shared" ca="1" si="27"/>
        <v/>
      </c>
      <c r="U289" s="7" t="str">
        <f t="shared" ca="1" si="28"/>
        <v/>
      </c>
      <c r="V289" s="7" t="str">
        <f t="shared" ca="1" si="30"/>
        <v/>
      </c>
      <c r="W289" s="7"/>
      <c r="X289" s="4" t="str">
        <f t="shared" ca="1" si="29"/>
        <v>Active</v>
      </c>
      <c r="Y289" s="6" t="s">
        <v>2643</v>
      </c>
      <c r="Z289" s="6" t="s">
        <v>2656</v>
      </c>
      <c r="AA289" s="6" t="s">
        <v>2640</v>
      </c>
      <c r="AC289" s="6" t="s">
        <v>2500</v>
      </c>
      <c r="AD289" s="6" t="s">
        <v>2501</v>
      </c>
      <c r="AE289" s="6" t="s">
        <v>847</v>
      </c>
      <c r="AF289" s="6" t="s">
        <v>2502</v>
      </c>
    </row>
    <row r="290" spans="1:32" x14ac:dyDescent="0.35">
      <c r="A290" s="5">
        <f t="shared" si="24"/>
        <v>202144298</v>
      </c>
      <c r="B290" s="5" t="s">
        <v>323</v>
      </c>
      <c r="C290" s="5" t="s">
        <v>634</v>
      </c>
      <c r="D290" s="6" t="s">
        <v>1670</v>
      </c>
      <c r="E290" s="6" t="s">
        <v>676</v>
      </c>
      <c r="F290" s="6" t="s">
        <v>768</v>
      </c>
      <c r="G290" s="6" t="s">
        <v>2698</v>
      </c>
      <c r="H290" s="1" t="s">
        <v>2691</v>
      </c>
      <c r="I290" s="7">
        <v>35233</v>
      </c>
      <c r="J290" s="6">
        <f t="shared" ca="1" si="25"/>
        <v>30</v>
      </c>
      <c r="K290" s="6" t="s">
        <v>665</v>
      </c>
      <c r="L290" s="6" t="s">
        <v>666</v>
      </c>
      <c r="M290" s="6" t="s">
        <v>677</v>
      </c>
      <c r="N290" s="6" t="s">
        <v>653</v>
      </c>
      <c r="O290" s="6" t="s">
        <v>2552</v>
      </c>
      <c r="P290" s="6" t="s">
        <v>1671</v>
      </c>
      <c r="Q290" s="6" t="s">
        <v>731</v>
      </c>
      <c r="R290" s="7">
        <v>44298</v>
      </c>
      <c r="S290" s="4" t="str">
        <f t="shared" ca="1" si="26"/>
        <v>PKWTT</v>
      </c>
      <c r="T290" s="10" t="str">
        <f t="shared" ca="1" si="27"/>
        <v/>
      </c>
      <c r="U290" s="7" t="str">
        <f t="shared" ca="1" si="28"/>
        <v/>
      </c>
      <c r="V290" s="7" t="str">
        <f t="shared" ca="1" si="30"/>
        <v/>
      </c>
      <c r="W290" s="7"/>
      <c r="X290" s="4" t="str">
        <f t="shared" ca="1" si="29"/>
        <v>Active</v>
      </c>
      <c r="Y290" s="6" t="s">
        <v>794</v>
      </c>
      <c r="Z290" s="6" t="s">
        <v>1017</v>
      </c>
      <c r="AA290" s="6" t="s">
        <v>683</v>
      </c>
      <c r="AC290" s="6" t="s">
        <v>2554</v>
      </c>
      <c r="AD290" s="6" t="s">
        <v>2555</v>
      </c>
      <c r="AE290" s="6" t="s">
        <v>847</v>
      </c>
      <c r="AF290" s="6" t="s">
        <v>2556</v>
      </c>
    </row>
    <row r="291" spans="1:32" x14ac:dyDescent="0.35">
      <c r="A291" s="5">
        <f t="shared" si="24"/>
        <v>201843395</v>
      </c>
      <c r="B291" s="5" t="s">
        <v>314</v>
      </c>
      <c r="C291" s="5" t="s">
        <v>625</v>
      </c>
      <c r="D291" s="6" t="s">
        <v>1548</v>
      </c>
      <c r="E291" s="6" t="s">
        <v>648</v>
      </c>
      <c r="F291" s="6" t="s">
        <v>689</v>
      </c>
      <c r="G291" s="6" t="s">
        <v>2664</v>
      </c>
      <c r="H291" s="6" t="s">
        <v>2692</v>
      </c>
      <c r="I291" s="7">
        <v>36124</v>
      </c>
      <c r="J291" s="6">
        <f t="shared" ca="1" si="25"/>
        <v>27</v>
      </c>
      <c r="K291" s="6" t="s">
        <v>791</v>
      </c>
      <c r="L291" s="6" t="s">
        <v>666</v>
      </c>
      <c r="M291" s="6" t="s">
        <v>691</v>
      </c>
      <c r="N291" s="6" t="s">
        <v>653</v>
      </c>
      <c r="O291" s="6" t="s">
        <v>2503</v>
      </c>
      <c r="P291" s="6" t="s">
        <v>1550</v>
      </c>
      <c r="Q291" s="6" t="s">
        <v>694</v>
      </c>
      <c r="R291" s="7">
        <v>43395</v>
      </c>
      <c r="S291" s="4" t="str">
        <f t="shared" ca="1" si="26"/>
        <v>PKWTT</v>
      </c>
      <c r="T291" s="10" t="str">
        <f t="shared" ca="1" si="27"/>
        <v/>
      </c>
      <c r="U291" s="7" t="str">
        <f t="shared" ca="1" si="28"/>
        <v/>
      </c>
      <c r="V291" s="7" t="str">
        <f t="shared" ca="1" si="30"/>
        <v/>
      </c>
      <c r="W291" s="7"/>
      <c r="X291" s="4" t="str">
        <f t="shared" ca="1" si="29"/>
        <v>Active</v>
      </c>
      <c r="Y291" s="6" t="s">
        <v>2643</v>
      </c>
      <c r="Z291" s="6" t="s">
        <v>2656</v>
      </c>
      <c r="AA291" s="6" t="s">
        <v>2640</v>
      </c>
      <c r="AC291" s="6" t="s">
        <v>2505</v>
      </c>
      <c r="AD291" s="6" t="s">
        <v>2506</v>
      </c>
      <c r="AE291" s="6" t="s">
        <v>847</v>
      </c>
      <c r="AF291" s="6" t="s">
        <v>2507</v>
      </c>
    </row>
    <row r="292" spans="1:32" x14ac:dyDescent="0.35">
      <c r="A292" s="5">
        <f t="shared" si="24"/>
        <v>202044158</v>
      </c>
      <c r="B292" s="5" t="s">
        <v>251</v>
      </c>
      <c r="C292" s="5" t="s">
        <v>562</v>
      </c>
      <c r="D292" s="6" t="s">
        <v>901</v>
      </c>
      <c r="E292" s="6" t="s">
        <v>676</v>
      </c>
      <c r="F292" s="6" t="s">
        <v>649</v>
      </c>
      <c r="G292" s="6" t="s">
        <v>2664</v>
      </c>
      <c r="H292" s="6" t="s">
        <v>2692</v>
      </c>
      <c r="I292" s="7">
        <v>35295</v>
      </c>
      <c r="J292" s="6">
        <f t="shared" ca="1" si="25"/>
        <v>29</v>
      </c>
      <c r="K292" s="6" t="s">
        <v>690</v>
      </c>
      <c r="L292" s="6" t="s">
        <v>651</v>
      </c>
      <c r="M292" s="6" t="s">
        <v>691</v>
      </c>
      <c r="N292" s="6" t="s">
        <v>653</v>
      </c>
      <c r="O292" s="6" t="s">
        <v>2163</v>
      </c>
      <c r="P292" s="6" t="s">
        <v>902</v>
      </c>
      <c r="Q292" s="6" t="s">
        <v>818</v>
      </c>
      <c r="R292" s="7">
        <v>44158</v>
      </c>
      <c r="S292" s="4" t="str">
        <f t="shared" ca="1" si="26"/>
        <v>PKWTT</v>
      </c>
      <c r="T292" s="10" t="str">
        <f t="shared" ca="1" si="27"/>
        <v/>
      </c>
      <c r="U292" s="7" t="str">
        <f t="shared" ca="1" si="28"/>
        <v/>
      </c>
      <c r="V292" s="7" t="str">
        <f t="shared" ca="1" si="30"/>
        <v/>
      </c>
      <c r="W292" s="7"/>
      <c r="X292" s="4" t="str">
        <f t="shared" ca="1" si="29"/>
        <v>Active</v>
      </c>
      <c r="Y292" s="6" t="s">
        <v>794</v>
      </c>
      <c r="Z292" s="6" t="s">
        <v>1017</v>
      </c>
      <c r="AA292" s="6" t="s">
        <v>683</v>
      </c>
      <c r="AC292" s="6" t="s">
        <v>2165</v>
      </c>
      <c r="AD292" s="6" t="s">
        <v>2166</v>
      </c>
      <c r="AE292" s="6" t="s">
        <v>847</v>
      </c>
      <c r="AF292" s="6" t="s">
        <v>2167</v>
      </c>
    </row>
    <row r="293" spans="1:32" x14ac:dyDescent="0.35">
      <c r="A293" s="5">
        <f t="shared" si="24"/>
        <v>202545706</v>
      </c>
      <c r="B293" s="5" t="s">
        <v>173</v>
      </c>
      <c r="C293" s="5" t="s">
        <v>484</v>
      </c>
      <c r="D293" s="6" t="s">
        <v>1051</v>
      </c>
      <c r="E293" s="6" t="s">
        <v>648</v>
      </c>
      <c r="F293" s="6" t="s">
        <v>738</v>
      </c>
      <c r="G293" s="6" t="s">
        <v>2664</v>
      </c>
      <c r="H293" s="6" t="s">
        <v>2692</v>
      </c>
      <c r="I293" s="7">
        <v>37232</v>
      </c>
      <c r="J293" s="6">
        <f t="shared" ca="1" si="25"/>
        <v>24</v>
      </c>
      <c r="K293" s="6" t="s">
        <v>791</v>
      </c>
      <c r="L293" s="6" t="s">
        <v>666</v>
      </c>
      <c r="M293" s="6" t="s">
        <v>691</v>
      </c>
      <c r="N293" s="6" t="s">
        <v>653</v>
      </c>
      <c r="O293" s="6" t="s">
        <v>1723</v>
      </c>
      <c r="P293" s="6" t="s">
        <v>1053</v>
      </c>
      <c r="Q293" s="6" t="s">
        <v>680</v>
      </c>
      <c r="R293" s="7">
        <v>45706</v>
      </c>
      <c r="S293" s="4" t="str">
        <f t="shared" ca="1" si="26"/>
        <v>PKWT</v>
      </c>
      <c r="T293" s="10">
        <f t="shared" ca="1" si="27"/>
        <v>2</v>
      </c>
      <c r="U293" s="7">
        <f t="shared" ca="1" si="28"/>
        <v>46800</v>
      </c>
      <c r="V293" s="7">
        <v>46213</v>
      </c>
      <c r="W293" s="7" t="s">
        <v>2674</v>
      </c>
      <c r="X293" s="4" t="str">
        <f t="shared" ca="1" si="29"/>
        <v>Non-Active</v>
      </c>
      <c r="Y293" s="6" t="s">
        <v>794</v>
      </c>
      <c r="Z293" s="6" t="s">
        <v>1017</v>
      </c>
      <c r="AA293" s="6" t="s">
        <v>683</v>
      </c>
      <c r="AC293" s="6" t="s">
        <v>1725</v>
      </c>
      <c r="AD293" s="6" t="s">
        <v>1726</v>
      </c>
      <c r="AE293" s="6" t="s">
        <v>847</v>
      </c>
      <c r="AF293" s="6" t="s">
        <v>1727</v>
      </c>
    </row>
    <row r="294" spans="1:32" x14ac:dyDescent="0.35">
      <c r="A294" s="5">
        <f t="shared" si="24"/>
        <v>202545966</v>
      </c>
      <c r="B294" s="5" t="s">
        <v>317</v>
      </c>
      <c r="C294" s="5" t="s">
        <v>628</v>
      </c>
      <c r="D294" s="6" t="s">
        <v>842</v>
      </c>
      <c r="E294" s="6" t="s">
        <v>676</v>
      </c>
      <c r="F294" s="6" t="s">
        <v>689</v>
      </c>
      <c r="G294" s="6" t="s">
        <v>2664</v>
      </c>
      <c r="H294" s="6" t="s">
        <v>2692</v>
      </c>
      <c r="I294" s="7">
        <v>27948</v>
      </c>
      <c r="J294" s="6">
        <f t="shared" ca="1" si="25"/>
        <v>50</v>
      </c>
      <c r="K294" s="6" t="s">
        <v>690</v>
      </c>
      <c r="L294" s="6" t="s">
        <v>666</v>
      </c>
      <c r="M294" s="6" t="s">
        <v>652</v>
      </c>
      <c r="N294" s="6" t="s">
        <v>653</v>
      </c>
      <c r="O294" s="6" t="s">
        <v>2518</v>
      </c>
      <c r="P294" s="6" t="s">
        <v>844</v>
      </c>
      <c r="Q294" s="6" t="s">
        <v>704</v>
      </c>
      <c r="R294" s="7">
        <v>45966</v>
      </c>
      <c r="S294" s="4" t="str">
        <f t="shared" ca="1" si="26"/>
        <v>PKWT</v>
      </c>
      <c r="T294" s="10">
        <f t="shared" ca="1" si="27"/>
        <v>1</v>
      </c>
      <c r="U294" s="7">
        <f t="shared" ca="1" si="28"/>
        <v>46330</v>
      </c>
      <c r="V294" s="7" t="str">
        <f t="shared" ref="V294:V307" ca="1" si="31">IF(U294="","",IF(U294=1,EDATE(S294,12)-1,IF(U294=2,EDATE(S294,36)-1,IF(U294=3,EDATE(S294,60)-1,""))))</f>
        <v/>
      </c>
      <c r="W294" s="7"/>
      <c r="X294" s="4" t="str">
        <f t="shared" ca="1" si="29"/>
        <v>Active</v>
      </c>
      <c r="Y294" s="6" t="s">
        <v>681</v>
      </c>
      <c r="Z294" s="6" t="s">
        <v>759</v>
      </c>
      <c r="AA294" s="6" t="s">
        <v>659</v>
      </c>
      <c r="AC294" s="6" t="s">
        <v>2520</v>
      </c>
      <c r="AD294" s="6" t="s">
        <v>2521</v>
      </c>
      <c r="AE294" s="6" t="s">
        <v>847</v>
      </c>
      <c r="AF294" s="6" t="s">
        <v>2522</v>
      </c>
    </row>
    <row r="295" spans="1:32" x14ac:dyDescent="0.35">
      <c r="A295" s="5">
        <f t="shared" si="24"/>
        <v>202344946</v>
      </c>
      <c r="B295" s="5" t="s">
        <v>318</v>
      </c>
      <c r="C295" s="5" t="s">
        <v>629</v>
      </c>
      <c r="D295" s="6" t="s">
        <v>1471</v>
      </c>
      <c r="E295" s="6" t="s">
        <v>648</v>
      </c>
      <c r="F295" s="6" t="s">
        <v>738</v>
      </c>
      <c r="G295" s="6" t="s">
        <v>2695</v>
      </c>
      <c r="H295" s="6" t="s">
        <v>2696</v>
      </c>
      <c r="I295" s="7">
        <v>32674</v>
      </c>
      <c r="J295" s="6">
        <f t="shared" ca="1" si="25"/>
        <v>37</v>
      </c>
      <c r="K295" s="6" t="s">
        <v>791</v>
      </c>
      <c r="L295" s="6" t="s">
        <v>666</v>
      </c>
      <c r="M295" s="6" t="s">
        <v>652</v>
      </c>
      <c r="N295" s="6" t="s">
        <v>653</v>
      </c>
      <c r="O295" s="6" t="s">
        <v>2523</v>
      </c>
      <c r="P295" s="6" t="s">
        <v>1472</v>
      </c>
      <c r="Q295" s="6" t="s">
        <v>704</v>
      </c>
      <c r="R295" s="7">
        <v>44946</v>
      </c>
      <c r="S295" s="4" t="str">
        <f t="shared" ca="1" si="26"/>
        <v>PKWT</v>
      </c>
      <c r="T295" s="10">
        <f t="shared" ca="1" si="27"/>
        <v>3</v>
      </c>
      <c r="U295" s="7">
        <f t="shared" ca="1" si="28"/>
        <v>46771</v>
      </c>
      <c r="V295" s="7" t="str">
        <f t="shared" ca="1" si="31"/>
        <v/>
      </c>
      <c r="W295" s="7"/>
      <c r="X295" s="4" t="str">
        <f t="shared" ca="1" si="29"/>
        <v>Active</v>
      </c>
      <c r="Y295" s="6" t="s">
        <v>657</v>
      </c>
      <c r="Z295" s="6" t="s">
        <v>669</v>
      </c>
      <c r="AA295" s="6" t="s">
        <v>670</v>
      </c>
      <c r="AC295" s="6" t="s">
        <v>2525</v>
      </c>
      <c r="AD295" s="6" t="s">
        <v>2526</v>
      </c>
      <c r="AE295" s="6" t="s">
        <v>847</v>
      </c>
      <c r="AF295" s="6" t="s">
        <v>2527</v>
      </c>
    </row>
    <row r="296" spans="1:32" x14ac:dyDescent="0.35">
      <c r="A296" s="5">
        <f t="shared" si="24"/>
        <v>201843207</v>
      </c>
      <c r="B296" s="5" t="s">
        <v>319</v>
      </c>
      <c r="C296" s="5" t="s">
        <v>630</v>
      </c>
      <c r="D296" s="6" t="s">
        <v>2528</v>
      </c>
      <c r="E296" s="6" t="s">
        <v>648</v>
      </c>
      <c r="F296" s="6" t="s">
        <v>649</v>
      </c>
      <c r="G296" s="6" t="s">
        <v>2664</v>
      </c>
      <c r="H296" s="6" t="s">
        <v>2692</v>
      </c>
      <c r="I296" s="7">
        <v>35629</v>
      </c>
      <c r="J296" s="6">
        <f t="shared" ca="1" si="25"/>
        <v>29</v>
      </c>
      <c r="K296" s="6" t="s">
        <v>690</v>
      </c>
      <c r="L296" s="6" t="s">
        <v>666</v>
      </c>
      <c r="M296" s="6" t="s">
        <v>677</v>
      </c>
      <c r="N296" s="6" t="s">
        <v>653</v>
      </c>
      <c r="O296" s="6" t="s">
        <v>2529</v>
      </c>
      <c r="P296" s="6" t="s">
        <v>2530</v>
      </c>
      <c r="Q296" s="6" t="s">
        <v>680</v>
      </c>
      <c r="R296" s="7">
        <v>43207</v>
      </c>
      <c r="S296" s="4" t="str">
        <f t="shared" ca="1" si="26"/>
        <v>PKWTT</v>
      </c>
      <c r="T296" s="10" t="str">
        <f t="shared" ca="1" si="27"/>
        <v/>
      </c>
      <c r="U296" s="7" t="str">
        <f t="shared" ca="1" si="28"/>
        <v/>
      </c>
      <c r="V296" s="7" t="str">
        <f t="shared" ca="1" si="31"/>
        <v/>
      </c>
      <c r="W296" s="7"/>
      <c r="X296" s="4" t="str">
        <f t="shared" ca="1" si="29"/>
        <v>Active</v>
      </c>
      <c r="Y296" s="6" t="s">
        <v>681</v>
      </c>
      <c r="Z296" s="6" t="s">
        <v>682</v>
      </c>
      <c r="AA296" s="6" t="s">
        <v>683</v>
      </c>
      <c r="AC296" s="6" t="s">
        <v>2532</v>
      </c>
      <c r="AD296" s="6" t="s">
        <v>2533</v>
      </c>
      <c r="AE296" s="6" t="s">
        <v>847</v>
      </c>
      <c r="AF296" s="6" t="s">
        <v>2534</v>
      </c>
    </row>
    <row r="297" spans="1:32" x14ac:dyDescent="0.35">
      <c r="A297" s="5">
        <f t="shared" si="24"/>
        <v>201943644</v>
      </c>
      <c r="B297" s="5" t="s">
        <v>320</v>
      </c>
      <c r="C297" s="5" t="s">
        <v>631</v>
      </c>
      <c r="D297" s="6" t="s">
        <v>2535</v>
      </c>
      <c r="E297" s="6" t="s">
        <v>676</v>
      </c>
      <c r="F297" s="6" t="s">
        <v>742</v>
      </c>
      <c r="G297" s="6" t="s">
        <v>2664</v>
      </c>
      <c r="H297" s="6" t="s">
        <v>2692</v>
      </c>
      <c r="I297" s="7">
        <v>32607</v>
      </c>
      <c r="J297" s="6">
        <f t="shared" ca="1" si="25"/>
        <v>37</v>
      </c>
      <c r="K297" s="6" t="s">
        <v>791</v>
      </c>
      <c r="L297" s="6" t="s">
        <v>651</v>
      </c>
      <c r="M297" s="6" t="s">
        <v>677</v>
      </c>
      <c r="N297" s="6" t="s">
        <v>653</v>
      </c>
      <c r="O297" s="6" t="s">
        <v>2536</v>
      </c>
      <c r="P297" s="6" t="s">
        <v>2537</v>
      </c>
      <c r="Q297" s="6" t="s">
        <v>731</v>
      </c>
      <c r="R297" s="7">
        <v>43644</v>
      </c>
      <c r="S297" s="4" t="str">
        <f t="shared" ca="1" si="26"/>
        <v>PKWTT</v>
      </c>
      <c r="T297" s="10" t="str">
        <f t="shared" ca="1" si="27"/>
        <v/>
      </c>
      <c r="U297" s="7" t="str">
        <f t="shared" ca="1" si="28"/>
        <v/>
      </c>
      <c r="V297" s="7" t="str">
        <f t="shared" ca="1" si="31"/>
        <v/>
      </c>
      <c r="W297" s="7"/>
      <c r="X297" s="4" t="str">
        <f t="shared" ca="1" si="29"/>
        <v>Active</v>
      </c>
      <c r="Y297" s="6" t="s">
        <v>714</v>
      </c>
      <c r="Z297" s="6" t="s">
        <v>715</v>
      </c>
      <c r="AA297" s="6" t="s">
        <v>659</v>
      </c>
      <c r="AC297" s="6" t="s">
        <v>2539</v>
      </c>
      <c r="AD297" s="6" t="s">
        <v>2540</v>
      </c>
      <c r="AE297" s="6" t="s">
        <v>847</v>
      </c>
      <c r="AF297" s="6" t="s">
        <v>2541</v>
      </c>
    </row>
    <row r="298" spans="1:32" x14ac:dyDescent="0.35">
      <c r="A298" s="5">
        <f t="shared" si="24"/>
        <v>202545968</v>
      </c>
      <c r="B298" s="5" t="s">
        <v>321</v>
      </c>
      <c r="C298" s="5" t="s">
        <v>632</v>
      </c>
      <c r="D298" s="6" t="s">
        <v>790</v>
      </c>
      <c r="E298" s="6" t="s">
        <v>676</v>
      </c>
      <c r="F298" s="6" t="s">
        <v>768</v>
      </c>
      <c r="G298" s="6" t="s">
        <v>2695</v>
      </c>
      <c r="H298" s="6" t="s">
        <v>2686</v>
      </c>
      <c r="I298" s="7">
        <v>36389</v>
      </c>
      <c r="J298" s="6">
        <f t="shared" ca="1" si="25"/>
        <v>26</v>
      </c>
      <c r="K298" s="6" t="s">
        <v>690</v>
      </c>
      <c r="L298" s="6" t="s">
        <v>666</v>
      </c>
      <c r="M298" s="6" t="s">
        <v>677</v>
      </c>
      <c r="N298" s="6" t="s">
        <v>653</v>
      </c>
      <c r="O298" s="6" t="s">
        <v>2542</v>
      </c>
      <c r="P298" s="6" t="s">
        <v>793</v>
      </c>
      <c r="Q298" s="6" t="s">
        <v>704</v>
      </c>
      <c r="R298" s="7">
        <v>45968</v>
      </c>
      <c r="S298" s="4" t="str">
        <f t="shared" ca="1" si="26"/>
        <v>PKWT</v>
      </c>
      <c r="T298" s="10">
        <f t="shared" ca="1" si="27"/>
        <v>1</v>
      </c>
      <c r="U298" s="7">
        <f t="shared" ca="1" si="28"/>
        <v>46332</v>
      </c>
      <c r="V298" s="7" t="str">
        <f t="shared" ca="1" si="31"/>
        <v/>
      </c>
      <c r="W298" s="7"/>
      <c r="X298" s="4" t="str">
        <f t="shared" ca="1" si="29"/>
        <v>Active</v>
      </c>
      <c r="Y298" s="6" t="s">
        <v>794</v>
      </c>
      <c r="Z298" s="6" t="s">
        <v>2633</v>
      </c>
      <c r="AA298" s="6" t="s">
        <v>659</v>
      </c>
      <c r="AC298" s="6" t="s">
        <v>2544</v>
      </c>
      <c r="AD298" s="6" t="s">
        <v>2545</v>
      </c>
      <c r="AE298" s="6" t="s">
        <v>847</v>
      </c>
      <c r="AF298" s="6" t="s">
        <v>2546</v>
      </c>
    </row>
    <row r="299" spans="1:32" x14ac:dyDescent="0.35">
      <c r="A299" s="5">
        <f t="shared" si="24"/>
        <v>202646151</v>
      </c>
      <c r="B299" s="5" t="s">
        <v>244</v>
      </c>
      <c r="C299" s="5" t="s">
        <v>555</v>
      </c>
      <c r="D299" s="6" t="s">
        <v>711</v>
      </c>
      <c r="E299" s="6" t="s">
        <v>676</v>
      </c>
      <c r="F299" s="6" t="s">
        <v>689</v>
      </c>
      <c r="G299" s="6" t="s">
        <v>2663</v>
      </c>
      <c r="H299" s="6" t="s">
        <v>2679</v>
      </c>
      <c r="I299" s="7">
        <v>37234</v>
      </c>
      <c r="J299" s="6">
        <f t="shared" ca="1" si="25"/>
        <v>24</v>
      </c>
      <c r="K299" s="6" t="s">
        <v>791</v>
      </c>
      <c r="L299" s="6" t="s">
        <v>651</v>
      </c>
      <c r="M299" s="6" t="s">
        <v>652</v>
      </c>
      <c r="N299" s="6" t="s">
        <v>653</v>
      </c>
      <c r="O299" s="6" t="s">
        <v>2126</v>
      </c>
      <c r="P299" s="6" t="s">
        <v>713</v>
      </c>
      <c r="Q299" s="6" t="s">
        <v>694</v>
      </c>
      <c r="R299" s="7">
        <v>46151</v>
      </c>
      <c r="S299" s="4" t="str">
        <f t="shared" ca="1" si="26"/>
        <v>PKWT</v>
      </c>
      <c r="T299" s="10">
        <f t="shared" ca="1" si="27"/>
        <v>1</v>
      </c>
      <c r="U299" s="7">
        <f t="shared" ca="1" si="28"/>
        <v>46515</v>
      </c>
      <c r="V299" s="7" t="str">
        <f t="shared" ca="1" si="31"/>
        <v/>
      </c>
      <c r="W299" s="7"/>
      <c r="X299" s="4" t="str">
        <f t="shared" ca="1" si="29"/>
        <v>Active</v>
      </c>
      <c r="Y299" s="6" t="s">
        <v>794</v>
      </c>
      <c r="Z299" s="6" t="s">
        <v>803</v>
      </c>
      <c r="AA299" s="6" t="s">
        <v>683</v>
      </c>
      <c r="AC299" s="6" t="s">
        <v>2128</v>
      </c>
      <c r="AD299" s="6" t="s">
        <v>2129</v>
      </c>
      <c r="AE299" s="6" t="s">
        <v>847</v>
      </c>
      <c r="AF299" s="6" t="s">
        <v>2130</v>
      </c>
    </row>
    <row r="300" spans="1:32" x14ac:dyDescent="0.35">
      <c r="A300" s="5">
        <f t="shared" si="24"/>
        <v>202445560</v>
      </c>
      <c r="B300" s="5" t="s">
        <v>270</v>
      </c>
      <c r="C300" s="5" t="s">
        <v>581</v>
      </c>
      <c r="D300" s="6" t="s">
        <v>647</v>
      </c>
      <c r="E300" s="6" t="s">
        <v>648</v>
      </c>
      <c r="F300" s="6" t="s">
        <v>738</v>
      </c>
      <c r="G300" s="6" t="s">
        <v>2663</v>
      </c>
      <c r="H300" s="6" t="s">
        <v>2676</v>
      </c>
      <c r="I300" s="7">
        <v>37434</v>
      </c>
      <c r="J300" s="6">
        <f t="shared" ca="1" si="25"/>
        <v>24</v>
      </c>
      <c r="K300" s="6" t="s">
        <v>721</v>
      </c>
      <c r="L300" s="6" t="s">
        <v>666</v>
      </c>
      <c r="M300" s="6" t="s">
        <v>691</v>
      </c>
      <c r="N300" s="6" t="s">
        <v>653</v>
      </c>
      <c r="O300" s="6" t="s">
        <v>2269</v>
      </c>
      <c r="P300" s="6" t="s">
        <v>655</v>
      </c>
      <c r="Q300" s="6" t="s">
        <v>680</v>
      </c>
      <c r="R300" s="7">
        <v>45560</v>
      </c>
      <c r="S300" s="4" t="str">
        <f t="shared" ca="1" si="26"/>
        <v>PKWT</v>
      </c>
      <c r="T300" s="10">
        <f t="shared" ca="1" si="27"/>
        <v>2</v>
      </c>
      <c r="U300" s="7">
        <f t="shared" ca="1" si="28"/>
        <v>46654</v>
      </c>
      <c r="V300" s="7" t="str">
        <f t="shared" ca="1" si="31"/>
        <v/>
      </c>
      <c r="W300" s="7"/>
      <c r="X300" s="4" t="str">
        <f t="shared" ca="1" si="29"/>
        <v>Active</v>
      </c>
      <c r="Y300" s="6" t="s">
        <v>794</v>
      </c>
      <c r="Z300" s="6" t="s">
        <v>1017</v>
      </c>
      <c r="AA300" s="6" t="s">
        <v>683</v>
      </c>
      <c r="AC300" s="6" t="s">
        <v>2271</v>
      </c>
      <c r="AD300" s="6" t="s">
        <v>2272</v>
      </c>
      <c r="AE300" s="6" t="s">
        <v>847</v>
      </c>
      <c r="AF300" s="6" t="s">
        <v>2273</v>
      </c>
    </row>
    <row r="301" spans="1:32" x14ac:dyDescent="0.35">
      <c r="A301" s="5">
        <f t="shared" si="24"/>
        <v>201943552</v>
      </c>
      <c r="B301" s="5" t="s">
        <v>324</v>
      </c>
      <c r="C301" s="5" t="s">
        <v>635</v>
      </c>
      <c r="D301" s="6" t="s">
        <v>2201</v>
      </c>
      <c r="E301" s="6" t="s">
        <v>648</v>
      </c>
      <c r="F301" s="6" t="s">
        <v>649</v>
      </c>
      <c r="G301" s="6" t="s">
        <v>2695</v>
      </c>
      <c r="H301" s="6" t="s">
        <v>2686</v>
      </c>
      <c r="I301" s="7">
        <v>29504</v>
      </c>
      <c r="J301" s="6">
        <f t="shared" ca="1" si="25"/>
        <v>45</v>
      </c>
      <c r="K301" s="6" t="s">
        <v>721</v>
      </c>
      <c r="L301" s="6" t="s">
        <v>666</v>
      </c>
      <c r="M301" s="6" t="s">
        <v>677</v>
      </c>
      <c r="N301" s="6" t="s">
        <v>653</v>
      </c>
      <c r="O301" s="6" t="s">
        <v>2557</v>
      </c>
      <c r="P301" s="6" t="s">
        <v>2203</v>
      </c>
      <c r="Q301" s="6" t="s">
        <v>731</v>
      </c>
      <c r="R301" s="7">
        <v>43552</v>
      </c>
      <c r="S301" s="4" t="str">
        <f t="shared" ca="1" si="26"/>
        <v>PKWTT</v>
      </c>
      <c r="T301" s="10" t="str">
        <f t="shared" ca="1" si="27"/>
        <v/>
      </c>
      <c r="U301" s="7" t="str">
        <f t="shared" ca="1" si="28"/>
        <v/>
      </c>
      <c r="V301" s="7" t="str">
        <f t="shared" ca="1" si="31"/>
        <v/>
      </c>
      <c r="W301" s="7"/>
      <c r="X301" s="4" t="str">
        <f t="shared" ca="1" si="29"/>
        <v>Active</v>
      </c>
      <c r="Y301" s="6" t="s">
        <v>794</v>
      </c>
      <c r="Z301" s="6" t="s">
        <v>2632</v>
      </c>
      <c r="AA301" s="6" t="s">
        <v>659</v>
      </c>
      <c r="AC301" s="6" t="s">
        <v>2559</v>
      </c>
      <c r="AD301" s="6" t="s">
        <v>2560</v>
      </c>
      <c r="AE301" s="6" t="s">
        <v>847</v>
      </c>
      <c r="AF301" s="6" t="s">
        <v>2561</v>
      </c>
    </row>
    <row r="302" spans="1:32" x14ac:dyDescent="0.35">
      <c r="A302" s="5">
        <f t="shared" si="24"/>
        <v>202044015</v>
      </c>
      <c r="B302" s="5" t="s">
        <v>325</v>
      </c>
      <c r="C302" s="5" t="s">
        <v>636</v>
      </c>
      <c r="D302" s="6" t="s">
        <v>1192</v>
      </c>
      <c r="E302" s="6" t="s">
        <v>648</v>
      </c>
      <c r="F302" s="6" t="s">
        <v>809</v>
      </c>
      <c r="G302" s="6" t="s">
        <v>2695</v>
      </c>
      <c r="H302" s="6" t="s">
        <v>2686</v>
      </c>
      <c r="I302" s="7">
        <v>31163</v>
      </c>
      <c r="J302" s="6">
        <f t="shared" ca="1" si="25"/>
        <v>41</v>
      </c>
      <c r="K302" s="6" t="s">
        <v>721</v>
      </c>
      <c r="L302" s="6" t="s">
        <v>666</v>
      </c>
      <c r="M302" s="6" t="s">
        <v>701</v>
      </c>
      <c r="N302" s="6" t="s">
        <v>653</v>
      </c>
      <c r="O302" s="6" t="s">
        <v>2562</v>
      </c>
      <c r="P302" s="6" t="s">
        <v>1194</v>
      </c>
      <c r="Q302" s="6" t="s">
        <v>704</v>
      </c>
      <c r="R302" s="7">
        <v>44015</v>
      </c>
      <c r="S302" s="4" t="str">
        <f t="shared" ca="1" si="26"/>
        <v>PKWTT</v>
      </c>
      <c r="T302" s="10" t="str">
        <f t="shared" ca="1" si="27"/>
        <v/>
      </c>
      <c r="U302" s="7" t="str">
        <f t="shared" ca="1" si="28"/>
        <v/>
      </c>
      <c r="V302" s="7" t="str">
        <f t="shared" ca="1" si="31"/>
        <v/>
      </c>
      <c r="W302" s="7"/>
      <c r="X302" s="4" t="str">
        <f t="shared" ca="1" si="29"/>
        <v>Active</v>
      </c>
      <c r="Y302" s="6" t="s">
        <v>657</v>
      </c>
      <c r="Z302" s="6" t="s">
        <v>658</v>
      </c>
      <c r="AA302" s="6" t="s">
        <v>659</v>
      </c>
      <c r="AC302" s="6" t="s">
        <v>2564</v>
      </c>
      <c r="AD302" s="6" t="s">
        <v>2565</v>
      </c>
      <c r="AE302" s="6" t="s">
        <v>847</v>
      </c>
      <c r="AF302" s="6" t="s">
        <v>2566</v>
      </c>
    </row>
    <row r="303" spans="1:32" x14ac:dyDescent="0.35">
      <c r="A303" s="5">
        <f t="shared" si="24"/>
        <v>201642575</v>
      </c>
      <c r="B303" s="5" t="s">
        <v>326</v>
      </c>
      <c r="C303" s="5" t="s">
        <v>637</v>
      </c>
      <c r="D303" s="6" t="s">
        <v>1149</v>
      </c>
      <c r="E303" s="6" t="s">
        <v>676</v>
      </c>
      <c r="F303" s="6" t="s">
        <v>664</v>
      </c>
      <c r="G303" s="6" t="s">
        <v>2695</v>
      </c>
      <c r="H303" s="6" t="s">
        <v>2686</v>
      </c>
      <c r="I303" s="7">
        <v>31332</v>
      </c>
      <c r="J303" s="6">
        <f t="shared" ca="1" si="25"/>
        <v>40</v>
      </c>
      <c r="K303" s="6" t="s">
        <v>650</v>
      </c>
      <c r="L303" s="6" t="s">
        <v>651</v>
      </c>
      <c r="M303" s="6" t="s">
        <v>677</v>
      </c>
      <c r="N303" s="6" t="s">
        <v>653</v>
      </c>
      <c r="O303" s="6" t="s">
        <v>2567</v>
      </c>
      <c r="P303" s="6" t="s">
        <v>1151</v>
      </c>
      <c r="Q303" s="6" t="s">
        <v>731</v>
      </c>
      <c r="R303" s="7">
        <v>42575</v>
      </c>
      <c r="S303" s="4" t="str">
        <f t="shared" ca="1" si="26"/>
        <v>PKWTT</v>
      </c>
      <c r="T303" s="10" t="str">
        <f t="shared" ca="1" si="27"/>
        <v/>
      </c>
      <c r="U303" s="7" t="str">
        <f t="shared" ca="1" si="28"/>
        <v/>
      </c>
      <c r="V303" s="7" t="str">
        <f t="shared" ca="1" si="31"/>
        <v/>
      </c>
      <c r="W303" s="7"/>
      <c r="X303" s="4" t="str">
        <f t="shared" ca="1" si="29"/>
        <v>Active</v>
      </c>
      <c r="Y303" s="6" t="s">
        <v>657</v>
      </c>
      <c r="Z303" s="6" t="s">
        <v>658</v>
      </c>
      <c r="AA303" s="6" t="s">
        <v>659</v>
      </c>
      <c r="AC303" s="6" t="s">
        <v>2569</v>
      </c>
      <c r="AD303" s="6" t="s">
        <v>2570</v>
      </c>
      <c r="AE303" s="6" t="s">
        <v>847</v>
      </c>
      <c r="AF303" s="6" t="s">
        <v>2571</v>
      </c>
    </row>
    <row r="304" spans="1:32" x14ac:dyDescent="0.35">
      <c r="A304" s="5">
        <f t="shared" si="24"/>
        <v>202043910</v>
      </c>
      <c r="B304" s="5" t="s">
        <v>328</v>
      </c>
      <c r="C304" s="5" t="s">
        <v>639</v>
      </c>
      <c r="D304" s="6" t="s">
        <v>1776</v>
      </c>
      <c r="E304" s="6" t="s">
        <v>648</v>
      </c>
      <c r="F304" s="6" t="s">
        <v>742</v>
      </c>
      <c r="G304" s="6" t="s">
        <v>2663</v>
      </c>
      <c r="H304" s="6" t="s">
        <v>2693</v>
      </c>
      <c r="I304" s="7">
        <v>35473</v>
      </c>
      <c r="J304" s="6">
        <f t="shared" ca="1" si="25"/>
        <v>29</v>
      </c>
      <c r="K304" s="6" t="s">
        <v>690</v>
      </c>
      <c r="L304" s="6" t="s">
        <v>651</v>
      </c>
      <c r="M304" s="6" t="s">
        <v>691</v>
      </c>
      <c r="N304" s="6" t="s">
        <v>653</v>
      </c>
      <c r="O304" s="6" t="s">
        <v>2577</v>
      </c>
      <c r="P304" s="6" t="s">
        <v>1778</v>
      </c>
      <c r="Q304" s="6" t="s">
        <v>778</v>
      </c>
      <c r="R304" s="7">
        <v>43910</v>
      </c>
      <c r="S304" s="4" t="str">
        <f t="shared" ca="1" si="26"/>
        <v>PKWTT</v>
      </c>
      <c r="T304" s="10" t="str">
        <f t="shared" ca="1" si="27"/>
        <v/>
      </c>
      <c r="U304" s="7" t="str">
        <f t="shared" ca="1" si="28"/>
        <v/>
      </c>
      <c r="V304" s="7" t="str">
        <f t="shared" ca="1" si="31"/>
        <v/>
      </c>
      <c r="W304" s="7"/>
      <c r="X304" s="4" t="str">
        <f t="shared" ca="1" si="29"/>
        <v>Active</v>
      </c>
      <c r="Y304" s="6" t="s">
        <v>732</v>
      </c>
      <c r="Z304" s="6" t="s">
        <v>733</v>
      </c>
      <c r="AA304" s="6" t="s">
        <v>659</v>
      </c>
      <c r="AC304" s="6" t="s">
        <v>2579</v>
      </c>
      <c r="AD304" s="6" t="s">
        <v>2580</v>
      </c>
      <c r="AE304" s="6" t="s">
        <v>847</v>
      </c>
      <c r="AF304" s="6" t="s">
        <v>2581</v>
      </c>
    </row>
    <row r="305" spans="1:32" x14ac:dyDescent="0.35">
      <c r="A305" s="5">
        <f t="shared" si="24"/>
        <v>202345134</v>
      </c>
      <c r="B305" s="5" t="s">
        <v>329</v>
      </c>
      <c r="C305" s="5" t="s">
        <v>640</v>
      </c>
      <c r="D305" s="6" t="s">
        <v>1776</v>
      </c>
      <c r="E305" s="6" t="s">
        <v>648</v>
      </c>
      <c r="F305" s="6" t="s">
        <v>664</v>
      </c>
      <c r="G305" s="6" t="s">
        <v>2695</v>
      </c>
      <c r="H305" s="6" t="s">
        <v>2686</v>
      </c>
      <c r="I305" s="7">
        <v>28065</v>
      </c>
      <c r="J305" s="6">
        <f t="shared" ca="1" si="25"/>
        <v>49</v>
      </c>
      <c r="K305" s="6" t="s">
        <v>650</v>
      </c>
      <c r="L305" s="6" t="s">
        <v>651</v>
      </c>
      <c r="M305" s="6" t="s">
        <v>677</v>
      </c>
      <c r="N305" s="6" t="s">
        <v>653</v>
      </c>
      <c r="O305" s="6" t="s">
        <v>2582</v>
      </c>
      <c r="P305" s="6" t="s">
        <v>1778</v>
      </c>
      <c r="Q305" s="6" t="s">
        <v>694</v>
      </c>
      <c r="R305" s="7">
        <v>45134</v>
      </c>
      <c r="S305" s="4" t="str">
        <f t="shared" ca="1" si="26"/>
        <v>PKWT</v>
      </c>
      <c r="T305" s="10">
        <f t="shared" ca="1" si="27"/>
        <v>3</v>
      </c>
      <c r="U305" s="7">
        <f t="shared" ca="1" si="28"/>
        <v>46960</v>
      </c>
      <c r="V305" s="7" t="str">
        <f t="shared" ca="1" si="31"/>
        <v/>
      </c>
      <c r="W305" s="7"/>
      <c r="X305" s="4" t="str">
        <f t="shared" ca="1" si="29"/>
        <v>Active</v>
      </c>
      <c r="Y305" s="6" t="s">
        <v>657</v>
      </c>
      <c r="Z305" s="6" t="s">
        <v>669</v>
      </c>
      <c r="AA305" s="6" t="s">
        <v>670</v>
      </c>
      <c r="AC305" s="6" t="s">
        <v>2584</v>
      </c>
      <c r="AD305" s="6" t="s">
        <v>2585</v>
      </c>
      <c r="AE305" s="6" t="s">
        <v>847</v>
      </c>
      <c r="AF305" s="6" t="s">
        <v>2586</v>
      </c>
    </row>
    <row r="306" spans="1:32" x14ac:dyDescent="0.35">
      <c r="A306" s="5">
        <f t="shared" si="24"/>
        <v>202044149</v>
      </c>
      <c r="B306" s="5" t="s">
        <v>179</v>
      </c>
      <c r="C306" s="5" t="s">
        <v>490</v>
      </c>
      <c r="D306" s="6" t="s">
        <v>1757</v>
      </c>
      <c r="E306" s="6" t="s">
        <v>648</v>
      </c>
      <c r="F306" s="6" t="s">
        <v>649</v>
      </c>
      <c r="G306" s="6" t="s">
        <v>2663</v>
      </c>
      <c r="H306" s="6" t="s">
        <v>2683</v>
      </c>
      <c r="I306" s="7">
        <v>37719</v>
      </c>
      <c r="J306" s="6">
        <f t="shared" ca="1" si="25"/>
        <v>23</v>
      </c>
      <c r="K306" s="6" t="s">
        <v>791</v>
      </c>
      <c r="L306" s="6" t="s">
        <v>666</v>
      </c>
      <c r="M306" s="6" t="s">
        <v>701</v>
      </c>
      <c r="N306" s="6" t="s">
        <v>653</v>
      </c>
      <c r="O306" s="6" t="s">
        <v>1758</v>
      </c>
      <c r="P306" s="6" t="s">
        <v>1759</v>
      </c>
      <c r="Q306" s="6" t="s">
        <v>656</v>
      </c>
      <c r="R306" s="7">
        <v>44149</v>
      </c>
      <c r="S306" s="4" t="str">
        <f t="shared" ca="1" si="26"/>
        <v>PKWTT</v>
      </c>
      <c r="T306" s="10" t="str">
        <f t="shared" ca="1" si="27"/>
        <v/>
      </c>
      <c r="U306" s="7" t="str">
        <f t="shared" ca="1" si="28"/>
        <v/>
      </c>
      <c r="V306" s="7" t="str">
        <f t="shared" ca="1" si="31"/>
        <v/>
      </c>
      <c r="W306" s="7"/>
      <c r="X306" s="4" t="str">
        <f t="shared" ca="1" si="29"/>
        <v>Active</v>
      </c>
      <c r="Y306" s="6" t="s">
        <v>794</v>
      </c>
      <c r="Z306" s="6" t="s">
        <v>1017</v>
      </c>
      <c r="AA306" s="6" t="s">
        <v>683</v>
      </c>
      <c r="AC306" s="6" t="s">
        <v>1761</v>
      </c>
      <c r="AD306" s="6" t="s">
        <v>1762</v>
      </c>
      <c r="AE306" s="6" t="s">
        <v>847</v>
      </c>
      <c r="AF306" s="6" t="s">
        <v>1763</v>
      </c>
    </row>
    <row r="307" spans="1:32" x14ac:dyDescent="0.35">
      <c r="A307" s="5">
        <f t="shared" si="24"/>
        <v>202445481</v>
      </c>
      <c r="B307" s="5" t="s">
        <v>330</v>
      </c>
      <c r="C307" s="5" t="s">
        <v>641</v>
      </c>
      <c r="D307" s="6" t="s">
        <v>2587</v>
      </c>
      <c r="E307" s="6" t="s">
        <v>648</v>
      </c>
      <c r="F307" s="6" t="s">
        <v>742</v>
      </c>
      <c r="G307" s="6" t="s">
        <v>2695</v>
      </c>
      <c r="H307" s="6" t="s">
        <v>2686</v>
      </c>
      <c r="I307" s="7">
        <v>33089</v>
      </c>
      <c r="J307" s="6">
        <f t="shared" ca="1" si="25"/>
        <v>35</v>
      </c>
      <c r="K307" s="6" t="s">
        <v>650</v>
      </c>
      <c r="L307" s="6" t="s">
        <v>651</v>
      </c>
      <c r="M307" s="6" t="s">
        <v>677</v>
      </c>
      <c r="N307" s="6" t="s">
        <v>653</v>
      </c>
      <c r="O307" s="6" t="s">
        <v>2588</v>
      </c>
      <c r="P307" s="6" t="s">
        <v>2589</v>
      </c>
      <c r="Q307" s="6" t="s">
        <v>704</v>
      </c>
      <c r="R307" s="7">
        <v>45481</v>
      </c>
      <c r="S307" s="4" t="str">
        <f t="shared" ca="1" si="26"/>
        <v>PKWT</v>
      </c>
      <c r="T307" s="10">
        <f t="shared" ca="1" si="27"/>
        <v>2</v>
      </c>
      <c r="U307" s="7">
        <f t="shared" ca="1" si="28"/>
        <v>46575</v>
      </c>
      <c r="V307" s="7" t="str">
        <f t="shared" ca="1" si="31"/>
        <v/>
      </c>
      <c r="W307" s="7"/>
      <c r="X307" s="4" t="str">
        <f t="shared" ca="1" si="29"/>
        <v>Active</v>
      </c>
      <c r="Y307" s="6" t="s">
        <v>657</v>
      </c>
      <c r="Z307" s="6" t="s">
        <v>669</v>
      </c>
      <c r="AA307" s="6" t="s">
        <v>670</v>
      </c>
      <c r="AC307" s="6" t="s">
        <v>2591</v>
      </c>
      <c r="AD307" s="6" t="s">
        <v>2592</v>
      </c>
      <c r="AE307" s="6" t="s">
        <v>847</v>
      </c>
      <c r="AF307" s="6" t="s">
        <v>2593</v>
      </c>
    </row>
    <row r="308" spans="1:32" x14ac:dyDescent="0.35">
      <c r="A308" s="5">
        <f t="shared" si="24"/>
        <v>202545977</v>
      </c>
      <c r="B308" s="5" t="s">
        <v>331</v>
      </c>
      <c r="C308" s="5" t="s">
        <v>642</v>
      </c>
      <c r="D308" s="6" t="s">
        <v>2594</v>
      </c>
      <c r="E308" s="6" t="s">
        <v>648</v>
      </c>
      <c r="F308" s="6" t="s">
        <v>742</v>
      </c>
      <c r="G308" s="6" t="s">
        <v>2663</v>
      </c>
      <c r="H308" s="6" t="s">
        <v>2693</v>
      </c>
      <c r="I308" s="7">
        <v>30441</v>
      </c>
      <c r="J308" s="6">
        <f t="shared" ca="1" si="25"/>
        <v>43</v>
      </c>
      <c r="K308" s="6" t="s">
        <v>791</v>
      </c>
      <c r="L308" s="6" t="s">
        <v>666</v>
      </c>
      <c r="M308" s="6" t="s">
        <v>677</v>
      </c>
      <c r="N308" s="6" t="s">
        <v>653</v>
      </c>
      <c r="O308" s="6" t="s">
        <v>2595</v>
      </c>
      <c r="P308" s="6" t="s">
        <v>2596</v>
      </c>
      <c r="Q308" s="6" t="s">
        <v>818</v>
      </c>
      <c r="R308" s="7">
        <v>45977</v>
      </c>
      <c r="S308" s="4" t="str">
        <f t="shared" ca="1" si="26"/>
        <v>PKWT</v>
      </c>
      <c r="T308" s="10">
        <f t="shared" ca="1" si="27"/>
        <v>1</v>
      </c>
      <c r="U308" s="7">
        <f t="shared" ca="1" si="28"/>
        <v>46341</v>
      </c>
      <c r="V308" s="7">
        <v>46127</v>
      </c>
      <c r="W308" s="7" t="s">
        <v>2674</v>
      </c>
      <c r="X308" s="4" t="str">
        <f t="shared" ca="1" si="29"/>
        <v>Non-Active</v>
      </c>
      <c r="Y308" s="6" t="s">
        <v>681</v>
      </c>
      <c r="Z308" s="6" t="s">
        <v>759</v>
      </c>
      <c r="AA308" s="6" t="s">
        <v>659</v>
      </c>
      <c r="AC308" s="6" t="s">
        <v>2598</v>
      </c>
      <c r="AD308" s="6" t="s">
        <v>2599</v>
      </c>
      <c r="AE308" s="6" t="s">
        <v>847</v>
      </c>
      <c r="AF308" s="6" t="s">
        <v>2600</v>
      </c>
    </row>
    <row r="309" spans="1:32" x14ac:dyDescent="0.35">
      <c r="A309" s="5">
        <f t="shared" si="24"/>
        <v>201943744</v>
      </c>
      <c r="B309" s="5" t="s">
        <v>332</v>
      </c>
      <c r="C309" s="5" t="s">
        <v>643</v>
      </c>
      <c r="D309" s="6" t="s">
        <v>2594</v>
      </c>
      <c r="E309" s="6" t="s">
        <v>648</v>
      </c>
      <c r="F309" s="6" t="s">
        <v>768</v>
      </c>
      <c r="G309" s="6" t="s">
        <v>2663</v>
      </c>
      <c r="H309" s="6" t="s">
        <v>2682</v>
      </c>
      <c r="I309" s="7">
        <v>34491</v>
      </c>
      <c r="J309" s="6">
        <f t="shared" ca="1" si="25"/>
        <v>32</v>
      </c>
      <c r="K309" s="6" t="s">
        <v>650</v>
      </c>
      <c r="L309" s="6" t="s">
        <v>666</v>
      </c>
      <c r="M309" s="6" t="s">
        <v>652</v>
      </c>
      <c r="N309" s="6" t="s">
        <v>653</v>
      </c>
      <c r="O309" s="6" t="s">
        <v>2601</v>
      </c>
      <c r="P309" s="6" t="s">
        <v>2596</v>
      </c>
      <c r="Q309" s="6" t="s">
        <v>704</v>
      </c>
      <c r="R309" s="7">
        <v>43744</v>
      </c>
      <c r="S309" s="4" t="str">
        <f t="shared" ca="1" si="26"/>
        <v>PKWTT</v>
      </c>
      <c r="T309" s="10" t="str">
        <f t="shared" ca="1" si="27"/>
        <v/>
      </c>
      <c r="U309" s="7" t="str">
        <f t="shared" ca="1" si="28"/>
        <v/>
      </c>
      <c r="V309" s="7" t="str">
        <f ca="1">IF(U309="","",IF(U309=1,EDATE(S309,12)-1,IF(U309=2,EDATE(S309,36)-1,IF(U309=3,EDATE(S309,60)-1,""))))</f>
        <v/>
      </c>
      <c r="W309" s="7"/>
      <c r="X309" s="4" t="str">
        <f t="shared" ca="1" si="29"/>
        <v>Active</v>
      </c>
      <c r="Y309" s="6" t="s">
        <v>681</v>
      </c>
      <c r="Z309" s="6" t="s">
        <v>682</v>
      </c>
      <c r="AA309" s="6" t="s">
        <v>683</v>
      </c>
      <c r="AC309" s="6" t="s">
        <v>2603</v>
      </c>
      <c r="AD309" s="6" t="s">
        <v>2604</v>
      </c>
      <c r="AE309" s="6" t="s">
        <v>847</v>
      </c>
      <c r="AF309" s="6" t="s">
        <v>2605</v>
      </c>
    </row>
    <row r="310" spans="1:32" x14ac:dyDescent="0.35">
      <c r="A310" s="5">
        <f t="shared" si="24"/>
        <v>201743033</v>
      </c>
      <c r="B310" s="5" t="s">
        <v>333</v>
      </c>
      <c r="C310" s="5" t="s">
        <v>644</v>
      </c>
      <c r="D310" s="6" t="s">
        <v>1299</v>
      </c>
      <c r="E310" s="6" t="s">
        <v>648</v>
      </c>
      <c r="F310" s="6" t="s">
        <v>809</v>
      </c>
      <c r="G310" s="6" t="s">
        <v>2695</v>
      </c>
      <c r="H310" s="6" t="s">
        <v>2696</v>
      </c>
      <c r="I310" s="7">
        <v>36914</v>
      </c>
      <c r="J310" s="6">
        <f t="shared" ca="1" si="25"/>
        <v>25</v>
      </c>
      <c r="K310" s="6" t="s">
        <v>791</v>
      </c>
      <c r="L310" s="6" t="s">
        <v>651</v>
      </c>
      <c r="M310" s="6" t="s">
        <v>701</v>
      </c>
      <c r="N310" s="6" t="s">
        <v>653</v>
      </c>
      <c r="O310" s="6" t="s">
        <v>2606</v>
      </c>
      <c r="P310" s="6" t="s">
        <v>1301</v>
      </c>
      <c r="Q310" s="6" t="s">
        <v>694</v>
      </c>
      <c r="R310" s="7">
        <v>43033</v>
      </c>
      <c r="S310" s="4" t="str">
        <f t="shared" ca="1" si="26"/>
        <v>PKWTT</v>
      </c>
      <c r="T310" s="10" t="str">
        <f t="shared" ca="1" si="27"/>
        <v/>
      </c>
      <c r="U310" s="7" t="str">
        <f t="shared" ca="1" si="28"/>
        <v/>
      </c>
      <c r="V310" s="7" t="str">
        <f ca="1">IF(U310="","",IF(U310=1,EDATE(S310,12)-1,IF(U310=2,EDATE(S310,36)-1,IF(U310=3,EDATE(S310,60)-1,""))))</f>
        <v/>
      </c>
      <c r="W310" s="7"/>
      <c r="X310" s="4" t="str">
        <f t="shared" ca="1" si="29"/>
        <v>Active</v>
      </c>
      <c r="Y310" s="6" t="s">
        <v>657</v>
      </c>
      <c r="Z310" s="6" t="s">
        <v>669</v>
      </c>
      <c r="AA310" s="6" t="s">
        <v>670</v>
      </c>
      <c r="AC310" s="6" t="s">
        <v>2608</v>
      </c>
      <c r="AD310" s="6" t="s">
        <v>2609</v>
      </c>
      <c r="AE310" s="6" t="s">
        <v>847</v>
      </c>
      <c r="AF310" s="6" t="s">
        <v>2610</v>
      </c>
    </row>
    <row r="311" spans="1:32" x14ac:dyDescent="0.35">
      <c r="A311" s="5">
        <f t="shared" si="24"/>
        <v>202545921</v>
      </c>
      <c r="B311" s="5" t="s">
        <v>334</v>
      </c>
      <c r="C311" s="5" t="s">
        <v>645</v>
      </c>
      <c r="D311" s="6" t="s">
        <v>1264</v>
      </c>
      <c r="E311" s="6" t="s">
        <v>648</v>
      </c>
      <c r="F311" s="6" t="s">
        <v>689</v>
      </c>
      <c r="G311" s="6" t="s">
        <v>2695</v>
      </c>
      <c r="H311" s="6" t="s">
        <v>2686</v>
      </c>
      <c r="I311" s="7">
        <v>40154</v>
      </c>
      <c r="J311" s="6">
        <f t="shared" ca="1" si="25"/>
        <v>16</v>
      </c>
      <c r="K311" s="6" t="s">
        <v>791</v>
      </c>
      <c r="L311" s="6" t="s">
        <v>666</v>
      </c>
      <c r="M311" s="6" t="s">
        <v>691</v>
      </c>
      <c r="N311" s="6" t="s">
        <v>653</v>
      </c>
      <c r="O311" s="6" t="s">
        <v>2611</v>
      </c>
      <c r="P311" s="6" t="s">
        <v>1265</v>
      </c>
      <c r="Q311" s="6" t="s">
        <v>694</v>
      </c>
      <c r="R311" s="7">
        <v>45921</v>
      </c>
      <c r="S311" s="4" t="str">
        <f t="shared" ca="1" si="26"/>
        <v>PKWT</v>
      </c>
      <c r="T311" s="10">
        <f t="shared" ca="1" si="27"/>
        <v>1</v>
      </c>
      <c r="U311" s="7">
        <f t="shared" ca="1" si="28"/>
        <v>46285</v>
      </c>
      <c r="V311" s="7" t="str">
        <f ca="1">IF(U311="","",IF(U311=1,EDATE(S311,12)-1,IF(U311=2,EDATE(S311,36)-1,IF(U311=3,EDATE(S311,60)-1,""))))</f>
        <v/>
      </c>
      <c r="W311" s="7"/>
      <c r="X311" s="4" t="str">
        <f t="shared" ca="1" si="29"/>
        <v>Active</v>
      </c>
      <c r="Y311" s="6" t="s">
        <v>739</v>
      </c>
      <c r="Z311" s="6" t="s">
        <v>2639</v>
      </c>
      <c r="AA311" s="6" t="s">
        <v>2640</v>
      </c>
      <c r="AC311" s="6" t="s">
        <v>2613</v>
      </c>
      <c r="AD311" s="6" t="s">
        <v>2614</v>
      </c>
      <c r="AE311" s="6" t="s">
        <v>847</v>
      </c>
      <c r="AF311" s="6" t="s">
        <v>2615</v>
      </c>
    </row>
    <row r="312" spans="1:32" x14ac:dyDescent="0.35">
      <c r="A312" s="5">
        <f t="shared" si="24"/>
        <v>201843213</v>
      </c>
      <c r="B312" s="5" t="s">
        <v>335</v>
      </c>
      <c r="C312" s="5" t="s">
        <v>646</v>
      </c>
      <c r="D312" s="6" t="s">
        <v>1069</v>
      </c>
      <c r="E312" s="6" t="s">
        <v>676</v>
      </c>
      <c r="F312" s="6" t="s">
        <v>664</v>
      </c>
      <c r="G312" s="6" t="s">
        <v>2663</v>
      </c>
      <c r="H312" s="6" t="s">
        <v>2679</v>
      </c>
      <c r="I312" s="7">
        <v>30047</v>
      </c>
      <c r="J312" s="6">
        <f t="shared" ca="1" si="25"/>
        <v>44</v>
      </c>
      <c r="K312" s="6" t="s">
        <v>690</v>
      </c>
      <c r="L312" s="6" t="s">
        <v>651</v>
      </c>
      <c r="M312" s="6" t="s">
        <v>691</v>
      </c>
      <c r="N312" s="6" t="s">
        <v>653</v>
      </c>
      <c r="O312" s="6" t="s">
        <v>2616</v>
      </c>
      <c r="P312" s="6" t="s">
        <v>1071</v>
      </c>
      <c r="Q312" s="6" t="s">
        <v>694</v>
      </c>
      <c r="R312" s="7">
        <v>43213</v>
      </c>
      <c r="S312" s="4" t="str">
        <f t="shared" ca="1" si="26"/>
        <v>PKWTT</v>
      </c>
      <c r="T312" s="10" t="str">
        <f t="shared" ca="1" si="27"/>
        <v/>
      </c>
      <c r="U312" s="7" t="str">
        <f t="shared" ca="1" si="28"/>
        <v/>
      </c>
      <c r="V312" s="7" t="str">
        <f ca="1">IF(U312="","",IF(U312=1,EDATE(S312,12)-1,IF(U312=2,EDATE(S312,36)-1,IF(U312=3,EDATE(S312,60)-1,""))))</f>
        <v/>
      </c>
      <c r="W312" s="7"/>
      <c r="X312" s="4" t="str">
        <f t="shared" ca="1" si="29"/>
        <v>Active</v>
      </c>
      <c r="Y312" s="6" t="s">
        <v>714</v>
      </c>
      <c r="Z312" s="6" t="s">
        <v>715</v>
      </c>
      <c r="AA312" s="6" t="s">
        <v>659</v>
      </c>
      <c r="AC312" s="6" t="s">
        <v>2618</v>
      </c>
      <c r="AD312" s="6" t="s">
        <v>2619</v>
      </c>
      <c r="AE312" s="6" t="s">
        <v>847</v>
      </c>
      <c r="AF312" s="6" t="s">
        <v>2620</v>
      </c>
    </row>
  </sheetData>
  <hyperlinks>
    <hyperlink ref="P27" r:id="rId1" xr:uid="{41A3A243-E7FC-4F0C-8F91-6E22EDB20A39}"/>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4127-0FCC-490B-A30A-76205BD21271}">
  <dimension ref="A1:L133"/>
  <sheetViews>
    <sheetView zoomScale="70" zoomScaleNormal="70" workbookViewId="0">
      <selection sqref="A1:XFD1"/>
    </sheetView>
  </sheetViews>
  <sheetFormatPr defaultRowHeight="14.5" x14ac:dyDescent="0.35"/>
  <cols>
    <col min="1" max="1" width="18.453125" bestFit="1" customWidth="1"/>
    <col min="2" max="2" width="24.26953125" bestFit="1" customWidth="1"/>
    <col min="3" max="3" width="17.90625" bestFit="1" customWidth="1"/>
    <col min="4" max="4" width="18.453125" bestFit="1" customWidth="1"/>
    <col min="5" max="5" width="21.36328125" bestFit="1" customWidth="1"/>
    <col min="6" max="6" width="10.08984375" bestFit="1" customWidth="1"/>
    <col min="7" max="7" width="9.1796875" bestFit="1" customWidth="1"/>
    <col min="8" max="8" width="13.36328125" bestFit="1" customWidth="1"/>
    <col min="9" max="9" width="6.08984375" bestFit="1" customWidth="1"/>
    <col min="10" max="10" width="17.90625" bestFit="1" customWidth="1"/>
    <col min="11" max="11" width="17.90625" customWidth="1"/>
    <col min="12" max="12" width="13.90625" bestFit="1" customWidth="1"/>
  </cols>
  <sheetData>
    <row r="1" spans="1:12" x14ac:dyDescent="0.35">
      <c r="A1" t="s">
        <v>0</v>
      </c>
      <c r="B1" t="s">
        <v>2</v>
      </c>
      <c r="C1" t="s">
        <v>3</v>
      </c>
      <c r="D1" t="s">
        <v>3111</v>
      </c>
      <c r="E1" t="s">
        <v>2699</v>
      </c>
      <c r="F1" t="s">
        <v>3112</v>
      </c>
      <c r="G1" t="s">
        <v>4</v>
      </c>
      <c r="H1" t="s">
        <v>6</v>
      </c>
      <c r="I1" t="s">
        <v>7</v>
      </c>
      <c r="J1" t="s">
        <v>2700</v>
      </c>
      <c r="K1" t="s">
        <v>3378</v>
      </c>
      <c r="L1" t="s">
        <v>3117</v>
      </c>
    </row>
    <row r="2" spans="1:12" x14ac:dyDescent="0.35">
      <c r="A2" s="14">
        <f>INDEX(Tabel1[Employee Number],MATCH(Tabel6[[#This Row],[Family Card Number (KK)]],Tabel1[Family Card Number (KK)],0))</f>
        <v>202144393</v>
      </c>
      <c r="B2" s="14" t="s">
        <v>336</v>
      </c>
      <c r="C2" t="str">
        <f>INDEX(Tabel1[Full Name],MATCH(Tabel6[[#This Row],[Employee Number]],Tabel1[Employee Number],0))</f>
        <v>Yusuf Saputra</v>
      </c>
      <c r="D2" s="13" t="s">
        <v>3118</v>
      </c>
      <c r="E2" s="14" t="s">
        <v>2701</v>
      </c>
      <c r="F2" s="14" t="s">
        <v>3113</v>
      </c>
      <c r="G2" s="14" t="s">
        <v>676</v>
      </c>
      <c r="H2" s="14" t="s">
        <v>2702</v>
      </c>
      <c r="I2" s="14">
        <f ca="1">DATEDIF(Tabel6[[#This Row],[Date of Birth]],TODAY(),"Y")</f>
        <v>38</v>
      </c>
      <c r="J2" s="14" t="s">
        <v>2711</v>
      </c>
      <c r="K2" s="14" t="s">
        <v>3379</v>
      </c>
      <c r="L2" s="14" t="s">
        <v>3250</v>
      </c>
    </row>
    <row r="3" spans="1:12" hidden="1" x14ac:dyDescent="0.35">
      <c r="A3" s="14">
        <f>INDEX(Tabel1[Employee Number],MATCH(Tabel6[[#This Row],[Family Card Number (KK)]],Tabel1[Family Card Number (KK)],0))</f>
        <v>202144393</v>
      </c>
      <c r="B3" s="14" t="s">
        <v>336</v>
      </c>
      <c r="C3" t="str">
        <f>INDEX(Tabel1[Full Name],MATCH(Tabel6[[#This Row],[Employee Number]],Tabel1[Employee Number],0))</f>
        <v>Yusuf Saputra</v>
      </c>
      <c r="D3" s="13" t="s">
        <v>3119</v>
      </c>
      <c r="E3" s="14" t="s">
        <v>2705</v>
      </c>
      <c r="F3" s="14" t="s">
        <v>2704</v>
      </c>
      <c r="G3" s="14" t="s">
        <v>648</v>
      </c>
      <c r="H3" s="14" t="s">
        <v>2706</v>
      </c>
      <c r="I3" s="14">
        <f ca="1">DATEDIF(Tabel6[[#This Row],[Date of Birth]],TODAY(),"Y")</f>
        <v>12</v>
      </c>
      <c r="J3" s="14" t="s">
        <v>2707</v>
      </c>
      <c r="K3" s="14" t="s">
        <v>3379</v>
      </c>
      <c r="L3" s="14" t="s">
        <v>3251</v>
      </c>
    </row>
    <row r="4" spans="1:12" x14ac:dyDescent="0.35">
      <c r="A4" s="14">
        <f>INDEX(Tabel1[Employee Number],MATCH(Tabel6[[#This Row],[Family Card Number (KK)]],Tabel1[Family Card Number (KK)],0))</f>
        <v>201943549</v>
      </c>
      <c r="B4" s="14" t="s">
        <v>339</v>
      </c>
      <c r="C4" t="str">
        <f>INDEX(Tabel1[Full Name],MATCH(Tabel6[[#This Row],[Employee Number]],Tabel1[Employee Number],0))</f>
        <v>Rizky Hidayat</v>
      </c>
      <c r="D4" s="13" t="s">
        <v>3120</v>
      </c>
      <c r="E4" s="14" t="s">
        <v>2709</v>
      </c>
      <c r="F4" s="14" t="s">
        <v>3113</v>
      </c>
      <c r="G4" s="14" t="s">
        <v>676</v>
      </c>
      <c r="H4" s="14" t="s">
        <v>2710</v>
      </c>
      <c r="I4" s="14">
        <f ca="1">DATEDIF(Tabel6[[#This Row],[Date of Birth]],TODAY(),"Y")</f>
        <v>36</v>
      </c>
      <c r="J4" s="14" t="s">
        <v>2711</v>
      </c>
      <c r="K4" s="14" t="s">
        <v>3379</v>
      </c>
      <c r="L4" s="14" t="s">
        <v>3252</v>
      </c>
    </row>
    <row r="5" spans="1:12" x14ac:dyDescent="0.35">
      <c r="A5" s="14">
        <f>INDEX(Tabel1[Employee Number],MATCH(Tabel6[[#This Row],[Family Card Number (KK)]],Tabel1[Family Card Number (KK)],0))</f>
        <v>201943549</v>
      </c>
      <c r="B5" s="14" t="s">
        <v>339</v>
      </c>
      <c r="C5" t="str">
        <f>INDEX(Tabel1[Full Name],MATCH(Tabel6[[#This Row],[Employee Number]],Tabel1[Employee Number],0))</f>
        <v>Rizky Hidayat</v>
      </c>
      <c r="D5" s="13" t="s">
        <v>3121</v>
      </c>
      <c r="E5" s="14" t="s">
        <v>2712</v>
      </c>
      <c r="F5" s="14" t="s">
        <v>2704</v>
      </c>
      <c r="G5" s="14" t="s">
        <v>676</v>
      </c>
      <c r="H5" s="14" t="s">
        <v>2713</v>
      </c>
      <c r="I5" s="14">
        <f ca="1">DATEDIF(Tabel6[[#This Row],[Date of Birth]],TODAY(),"Y")</f>
        <v>11</v>
      </c>
      <c r="J5" s="14" t="s">
        <v>2711</v>
      </c>
      <c r="K5" s="14" t="s">
        <v>3379</v>
      </c>
      <c r="L5" s="14" t="s">
        <v>3253</v>
      </c>
    </row>
    <row r="6" spans="1:12" x14ac:dyDescent="0.35">
      <c r="A6" s="14">
        <f>INDEX(Tabel1[Employee Number],MATCH(Tabel6[[#This Row],[Family Card Number (KK)]],Tabel1[Family Card Number (KK)],0))</f>
        <v>201742831</v>
      </c>
      <c r="B6" s="14" t="s">
        <v>340</v>
      </c>
      <c r="C6" t="str">
        <f>INDEX(Tabel1[Full Name],MATCH(Tabel6[[#This Row],[Employee Number]],Tabel1[Employee Number],0))</f>
        <v>Dedi Hidayat</v>
      </c>
      <c r="D6" s="13" t="s">
        <v>3122</v>
      </c>
      <c r="E6" s="14" t="s">
        <v>2714</v>
      </c>
      <c r="F6" s="14" t="s">
        <v>3113</v>
      </c>
      <c r="G6" s="14" t="s">
        <v>676</v>
      </c>
      <c r="H6" s="14" t="s">
        <v>2715</v>
      </c>
      <c r="I6" s="14">
        <f ca="1">DATEDIF(Tabel6[[#This Row],[Date of Birth]],TODAY(),"Y")</f>
        <v>43</v>
      </c>
      <c r="J6" s="14" t="s">
        <v>2711</v>
      </c>
      <c r="K6" s="14" t="s">
        <v>3379</v>
      </c>
      <c r="L6" s="14" t="s">
        <v>3254</v>
      </c>
    </row>
    <row r="7" spans="1:12" hidden="1" x14ac:dyDescent="0.35">
      <c r="A7" s="14">
        <f>INDEX(Tabel1[Employee Number],MATCH(Tabel6[[#This Row],[Family Card Number (KK)]],Tabel1[Family Card Number (KK)],0))</f>
        <v>201742831</v>
      </c>
      <c r="B7" s="14" t="s">
        <v>340</v>
      </c>
      <c r="C7" t="str">
        <f>INDEX(Tabel1[Full Name],MATCH(Tabel6[[#This Row],[Employee Number]],Tabel1[Employee Number],0))</f>
        <v>Dedi Hidayat</v>
      </c>
      <c r="D7" s="13" t="s">
        <v>3123</v>
      </c>
      <c r="E7" s="14" t="s">
        <v>2717</v>
      </c>
      <c r="F7" s="14" t="s">
        <v>2704</v>
      </c>
      <c r="G7" s="14" t="s">
        <v>648</v>
      </c>
      <c r="H7" s="14" t="s">
        <v>2718</v>
      </c>
      <c r="I7" s="14">
        <f ca="1">DATEDIF(Tabel6[[#This Row],[Date of Birth]],TODAY(),"Y")</f>
        <v>11</v>
      </c>
      <c r="J7" s="14" t="s">
        <v>2707</v>
      </c>
      <c r="K7" s="14" t="s">
        <v>3379</v>
      </c>
      <c r="L7" s="14" t="s">
        <v>3255</v>
      </c>
    </row>
    <row r="8" spans="1:12" hidden="1" x14ac:dyDescent="0.35">
      <c r="A8" s="14">
        <f>INDEX(Tabel1[Employee Number],MATCH(Tabel6[[#This Row],[Family Card Number (KK)]],Tabel1[Family Card Number (KK)],0))</f>
        <v>201742831</v>
      </c>
      <c r="B8" s="14" t="s">
        <v>340</v>
      </c>
      <c r="C8" t="str">
        <f>INDEX(Tabel1[Full Name],MATCH(Tabel6[[#This Row],[Employee Number]],Tabel1[Employee Number],0))</f>
        <v>Dedi Hidayat</v>
      </c>
      <c r="D8" s="13" t="s">
        <v>3124</v>
      </c>
      <c r="E8" s="14" t="s">
        <v>2719</v>
      </c>
      <c r="F8" s="14" t="s">
        <v>2704</v>
      </c>
      <c r="G8" s="14" t="s">
        <v>648</v>
      </c>
      <c r="H8" s="14" t="s">
        <v>2720</v>
      </c>
      <c r="I8" s="14">
        <f ca="1">DATEDIF(Tabel6[[#This Row],[Date of Birth]],TODAY(),"Y")</f>
        <v>9</v>
      </c>
      <c r="J8" s="14" t="s">
        <v>2707</v>
      </c>
      <c r="K8" s="14" t="s">
        <v>3379</v>
      </c>
      <c r="L8" s="14" t="s">
        <v>3256</v>
      </c>
    </row>
    <row r="9" spans="1:12" hidden="1" x14ac:dyDescent="0.35">
      <c r="A9" s="14">
        <f>INDEX(Tabel1[Employee Number],MATCH(Tabel6[[#This Row],[Family Card Number (KK)]],Tabel1[Family Card Number (KK)],0))</f>
        <v>202043954</v>
      </c>
      <c r="B9" s="14" t="s">
        <v>341</v>
      </c>
      <c r="C9" t="str">
        <f>INDEX(Tabel1[Full Name],MATCH(Tabel6[[#This Row],[Employee Number]],Tabel1[Employee Number],0))</f>
        <v>Nadia Lestari</v>
      </c>
      <c r="D9" s="13" t="s">
        <v>3125</v>
      </c>
      <c r="E9" s="14" t="s">
        <v>3116</v>
      </c>
      <c r="F9" s="14" t="s">
        <v>3114</v>
      </c>
      <c r="G9" s="14" t="s">
        <v>648</v>
      </c>
      <c r="H9" s="14" t="s">
        <v>2721</v>
      </c>
      <c r="I9" s="14">
        <f ca="1">DATEDIF(Tabel6[[#This Row],[Date of Birth]],TODAY(),"Y")</f>
        <v>47</v>
      </c>
      <c r="J9" s="14" t="s">
        <v>2708</v>
      </c>
      <c r="K9" s="14" t="s">
        <v>3379</v>
      </c>
      <c r="L9" s="14" t="s">
        <v>3257</v>
      </c>
    </row>
    <row r="10" spans="1:12" x14ac:dyDescent="0.35">
      <c r="A10" s="14">
        <f>INDEX(Tabel1[Employee Number],MATCH(Tabel6[[#This Row],[Family Card Number (KK)]],Tabel1[Family Card Number (KK)],0))</f>
        <v>202043916</v>
      </c>
      <c r="B10" s="14" t="s">
        <v>342</v>
      </c>
      <c r="C10" t="str">
        <f>INDEX(Tabel1[Full Name],MATCH(Tabel6[[#This Row],[Employee Number]],Tabel1[Employee Number],0))</f>
        <v>Dedi Kusuma</v>
      </c>
      <c r="D10" s="13" t="s">
        <v>3126</v>
      </c>
      <c r="E10" s="14" t="s">
        <v>2723</v>
      </c>
      <c r="F10" s="14" t="s">
        <v>3113</v>
      </c>
      <c r="G10" s="14" t="s">
        <v>676</v>
      </c>
      <c r="H10" s="14" t="s">
        <v>2724</v>
      </c>
      <c r="I10" s="14">
        <f ca="1">DATEDIF(Tabel6[[#This Row],[Date of Birth]],TODAY(),"Y")</f>
        <v>44</v>
      </c>
      <c r="J10" s="14" t="s">
        <v>2711</v>
      </c>
      <c r="K10" s="14" t="s">
        <v>3379</v>
      </c>
      <c r="L10" s="14" t="s">
        <v>3258</v>
      </c>
    </row>
    <row r="11" spans="1:12" hidden="1" x14ac:dyDescent="0.35">
      <c r="A11" s="14">
        <f>INDEX(Tabel1[Employee Number],MATCH(Tabel6[[#This Row],[Family Card Number (KK)]],Tabel1[Family Card Number (KK)],0))</f>
        <v>202043916</v>
      </c>
      <c r="B11" s="14" t="s">
        <v>342</v>
      </c>
      <c r="C11" t="str">
        <f>INDEX(Tabel1[Full Name],MATCH(Tabel6[[#This Row],[Employee Number]],Tabel1[Employee Number],0))</f>
        <v>Dedi Kusuma</v>
      </c>
      <c r="D11" s="13" t="s">
        <v>3127</v>
      </c>
      <c r="E11" s="14" t="s">
        <v>2725</v>
      </c>
      <c r="F11" s="14" t="s">
        <v>2704</v>
      </c>
      <c r="G11" s="14" t="s">
        <v>648</v>
      </c>
      <c r="H11" s="14" t="s">
        <v>2726</v>
      </c>
      <c r="I11" s="14">
        <f ca="1">DATEDIF(Tabel6[[#This Row],[Date of Birth]],TODAY(),"Y")</f>
        <v>15</v>
      </c>
      <c r="J11" s="14" t="s">
        <v>2727</v>
      </c>
      <c r="K11" s="14" t="s">
        <v>3379</v>
      </c>
      <c r="L11" s="14" t="s">
        <v>3259</v>
      </c>
    </row>
    <row r="12" spans="1:12" x14ac:dyDescent="0.35">
      <c r="A12" s="14">
        <f>INDEX(Tabel1[Employee Number],MATCH(Tabel6[[#This Row],[Family Card Number (KK)]],Tabel1[Family Card Number (KK)],0))</f>
        <v>201943527</v>
      </c>
      <c r="B12" s="14" t="s">
        <v>554</v>
      </c>
      <c r="C12" t="str">
        <f>INDEX(Tabel1[Full Name],MATCH(Tabel6[[#This Row],[Employee Number]],Tabel1[Employee Number],0))</f>
        <v>Bambang Wijaya</v>
      </c>
      <c r="D12" s="13" t="s">
        <v>3128</v>
      </c>
      <c r="E12" s="14" t="s">
        <v>2728</v>
      </c>
      <c r="F12" s="14" t="s">
        <v>3113</v>
      </c>
      <c r="G12" s="14" t="s">
        <v>676</v>
      </c>
      <c r="H12" s="14" t="s">
        <v>2729</v>
      </c>
      <c r="I12" s="14">
        <f ca="1">DATEDIF(Tabel6[[#This Row],[Date of Birth]],TODAY(),"Y")</f>
        <v>54</v>
      </c>
      <c r="J12" s="14" t="s">
        <v>2711</v>
      </c>
      <c r="K12" s="14" t="s">
        <v>3379</v>
      </c>
      <c r="L12" s="14" t="s">
        <v>3260</v>
      </c>
    </row>
    <row r="13" spans="1:12" hidden="1" x14ac:dyDescent="0.35">
      <c r="A13" s="14">
        <f>INDEX(Tabel1[Employee Number],MATCH(Tabel6[[#This Row],[Family Card Number (KK)]],Tabel1[Family Card Number (KK)],0))</f>
        <v>201943527</v>
      </c>
      <c r="B13" s="14" t="s">
        <v>554</v>
      </c>
      <c r="C13" t="str">
        <f>INDEX(Tabel1[Full Name],MATCH(Tabel6[[#This Row],[Employee Number]],Tabel1[Employee Number],0))</f>
        <v>Bambang Wijaya</v>
      </c>
      <c r="D13" s="13" t="s">
        <v>3129</v>
      </c>
      <c r="E13" s="14" t="s">
        <v>2730</v>
      </c>
      <c r="F13" s="14" t="s">
        <v>2704</v>
      </c>
      <c r="G13" s="14" t="s">
        <v>648</v>
      </c>
      <c r="H13" s="14" t="s">
        <v>2731</v>
      </c>
      <c r="I13" s="14">
        <f ca="1">DATEDIF(Tabel6[[#This Row],[Date of Birth]],TODAY(),"Y")</f>
        <v>16</v>
      </c>
      <c r="J13" s="14" t="s">
        <v>2722</v>
      </c>
      <c r="K13" s="14" t="s">
        <v>3379</v>
      </c>
      <c r="L13" s="14" t="s">
        <v>3261</v>
      </c>
    </row>
    <row r="14" spans="1:12" x14ac:dyDescent="0.35">
      <c r="A14" s="14">
        <f>INDEX(Tabel1[Employee Number],MATCH(Tabel6[[#This Row],[Family Card Number (KK)]],Tabel1[Family Card Number (KK)],0))</f>
        <v>201943527</v>
      </c>
      <c r="B14" s="14" t="s">
        <v>554</v>
      </c>
      <c r="C14" t="str">
        <f>INDEX(Tabel1[Full Name],MATCH(Tabel6[[#This Row],[Employee Number]],Tabel1[Employee Number],0))</f>
        <v>Bambang Wijaya</v>
      </c>
      <c r="D14" s="13" t="s">
        <v>3130</v>
      </c>
      <c r="E14" s="14" t="s">
        <v>2732</v>
      </c>
      <c r="F14" s="14" t="s">
        <v>2704</v>
      </c>
      <c r="G14" s="14" t="s">
        <v>676</v>
      </c>
      <c r="H14" s="14" t="s">
        <v>2733</v>
      </c>
      <c r="I14" s="14">
        <f ca="1">DATEDIF(Tabel6[[#This Row],[Date of Birth]],TODAY(),"Y")</f>
        <v>12</v>
      </c>
      <c r="J14" s="14" t="s">
        <v>2707</v>
      </c>
      <c r="K14" s="14" t="s">
        <v>3379</v>
      </c>
      <c r="L14" s="14" t="s">
        <v>3262</v>
      </c>
    </row>
    <row r="15" spans="1:12" hidden="1" x14ac:dyDescent="0.35">
      <c r="A15" s="14">
        <f>INDEX(Tabel1[Employee Number],MATCH(Tabel6[[#This Row],[Family Card Number (KK)]],Tabel1[Family Card Number (KK)],0))</f>
        <v>202044061</v>
      </c>
      <c r="B15" s="14" t="s">
        <v>345</v>
      </c>
      <c r="C15" t="str">
        <f>INDEX(Tabel1[Full Name],MATCH(Tabel6[[#This Row],[Employee Number]],Tabel1[Employee Number],0))</f>
        <v>Lina Permata</v>
      </c>
      <c r="D15" s="13" t="s">
        <v>3131</v>
      </c>
      <c r="E15" s="14" t="s">
        <v>2734</v>
      </c>
      <c r="F15" s="14" t="s">
        <v>3114</v>
      </c>
      <c r="G15" s="14" t="s">
        <v>648</v>
      </c>
      <c r="H15" s="14" t="s">
        <v>2735</v>
      </c>
      <c r="I15" s="14">
        <f ca="1">DATEDIF(Tabel6[[#This Row],[Date of Birth]],TODAY(),"Y")</f>
        <v>51</v>
      </c>
      <c r="J15" s="14" t="s">
        <v>2736</v>
      </c>
      <c r="K15" s="14" t="s">
        <v>3379</v>
      </c>
      <c r="L15" s="14" t="s">
        <v>3263</v>
      </c>
    </row>
    <row r="16" spans="1:12" x14ac:dyDescent="0.35">
      <c r="A16" s="14">
        <f>INDEX(Tabel1[Employee Number],MATCH(Tabel6[[#This Row],[Family Card Number (KK)]],Tabel1[Family Card Number (KK)],0))</f>
        <v>201642614</v>
      </c>
      <c r="B16" s="14" t="s">
        <v>486</v>
      </c>
      <c r="C16" t="str">
        <f>INDEX(Tabel1[Full Name],MATCH(Tabel6[[#This Row],[Employee Number]],Tabel1[Employee Number],0))</f>
        <v>Andi Maulana</v>
      </c>
      <c r="D16" s="13" t="s">
        <v>3132</v>
      </c>
      <c r="E16" s="14" t="s">
        <v>2737</v>
      </c>
      <c r="F16" s="14" t="s">
        <v>3113</v>
      </c>
      <c r="G16" s="14" t="s">
        <v>676</v>
      </c>
      <c r="H16" s="14" t="s">
        <v>2738</v>
      </c>
      <c r="I16" s="14">
        <f ca="1">DATEDIF(Tabel6[[#This Row],[Date of Birth]],TODAY(),"Y")</f>
        <v>50</v>
      </c>
      <c r="J16" s="14" t="s">
        <v>2711</v>
      </c>
      <c r="K16" s="14" t="s">
        <v>3379</v>
      </c>
      <c r="L16" s="14" t="s">
        <v>3264</v>
      </c>
    </row>
    <row r="17" spans="1:12" hidden="1" x14ac:dyDescent="0.35">
      <c r="A17" s="14">
        <f>INDEX(Tabel1[Employee Number],MATCH(Tabel6[[#This Row],[Family Card Number (KK)]],Tabel1[Family Card Number (KK)],0))</f>
        <v>201943658</v>
      </c>
      <c r="B17" s="14" t="s">
        <v>450</v>
      </c>
      <c r="C17" t="str">
        <f>INDEX(Tabel1[Full Name],MATCH(Tabel6[[#This Row],[Employee Number]],Tabel1[Employee Number],0))</f>
        <v>Yusuf Pratama</v>
      </c>
      <c r="D17" s="13" t="s">
        <v>3133</v>
      </c>
      <c r="E17" s="14" t="s">
        <v>2740</v>
      </c>
      <c r="F17" s="14" t="s">
        <v>2704</v>
      </c>
      <c r="G17" s="14" t="s">
        <v>648</v>
      </c>
      <c r="H17" s="14" t="s">
        <v>2741</v>
      </c>
      <c r="I17" s="14">
        <f ca="1">DATEDIF(Tabel6[[#This Row],[Date of Birth]],TODAY(),"Y")</f>
        <v>11</v>
      </c>
      <c r="J17" s="14" t="s">
        <v>2707</v>
      </c>
      <c r="K17" s="14" t="s">
        <v>3379</v>
      </c>
      <c r="L17" s="14" t="s">
        <v>3265</v>
      </c>
    </row>
    <row r="18" spans="1:12" hidden="1" x14ac:dyDescent="0.35">
      <c r="A18" s="14">
        <f>INDEX(Tabel1[Employee Number],MATCH(Tabel6[[#This Row],[Family Card Number (KK)]],Tabel1[Family Card Number (KK)],0))</f>
        <v>202043987</v>
      </c>
      <c r="B18" s="14" t="s">
        <v>413</v>
      </c>
      <c r="C18" t="str">
        <f>INDEX(Tabel1[Full Name],MATCH(Tabel6[[#This Row],[Employee Number]],Tabel1[Employee Number],0))</f>
        <v>Musdalifah</v>
      </c>
      <c r="D18" s="13" t="s">
        <v>3134</v>
      </c>
      <c r="E18" s="14" t="s">
        <v>2742</v>
      </c>
      <c r="F18" s="14" t="s">
        <v>3114</v>
      </c>
      <c r="G18" s="14" t="s">
        <v>648</v>
      </c>
      <c r="H18" s="14" t="s">
        <v>2743</v>
      </c>
      <c r="I18" s="14">
        <f ca="1">DATEDIF(Tabel6[[#This Row],[Date of Birth]],TODAY(),"Y")</f>
        <v>45</v>
      </c>
      <c r="J18" s="14" t="s">
        <v>2716</v>
      </c>
      <c r="K18" s="14" t="s">
        <v>3379</v>
      </c>
      <c r="L18" s="14" t="s">
        <v>3266</v>
      </c>
    </row>
    <row r="19" spans="1:12" x14ac:dyDescent="0.35">
      <c r="A19" s="14">
        <f>INDEX(Tabel1[Employee Number],MATCH(Tabel6[[#This Row],[Family Card Number (KK)]],Tabel1[Family Card Number (KK)],0))</f>
        <v>202144474</v>
      </c>
      <c r="B19" s="14" t="s">
        <v>422</v>
      </c>
      <c r="C19" t="str">
        <f>INDEX(Tabel1[Full Name],MATCH(Tabel6[[#This Row],[Employee Number]],Tabel1[Employee Number],0))</f>
        <v>Rahmat Sari</v>
      </c>
      <c r="D19" s="13" t="s">
        <v>3135</v>
      </c>
      <c r="E19" s="14" t="s">
        <v>2747</v>
      </c>
      <c r="F19" s="14" t="s">
        <v>3113</v>
      </c>
      <c r="G19" s="14" t="s">
        <v>676</v>
      </c>
      <c r="H19" s="14" t="s">
        <v>2748</v>
      </c>
      <c r="I19" s="14">
        <f ca="1">DATEDIF(Tabel6[[#This Row],[Date of Birth]],TODAY(),"Y")</f>
        <v>28</v>
      </c>
      <c r="J19" s="14" t="s">
        <v>2711</v>
      </c>
      <c r="K19" s="14" t="s">
        <v>3379</v>
      </c>
      <c r="L19" s="14" t="s">
        <v>3267</v>
      </c>
    </row>
    <row r="20" spans="1:12" hidden="1" x14ac:dyDescent="0.35">
      <c r="A20" s="14">
        <f>INDEX(Tabel1[Employee Number],MATCH(Tabel6[[#This Row],[Family Card Number (KK)]],Tabel1[Family Card Number (KK)],0))</f>
        <v>202144474</v>
      </c>
      <c r="B20" s="14" t="s">
        <v>422</v>
      </c>
      <c r="C20" t="str">
        <f>INDEX(Tabel1[Full Name],MATCH(Tabel6[[#This Row],[Employee Number]],Tabel1[Employee Number],0))</f>
        <v>Rahmat Sari</v>
      </c>
      <c r="D20" s="13" t="s">
        <v>3136</v>
      </c>
      <c r="E20" s="14" t="s">
        <v>2749</v>
      </c>
      <c r="F20" s="14" t="s">
        <v>2704</v>
      </c>
      <c r="G20" s="14" t="s">
        <v>648</v>
      </c>
      <c r="H20" s="14" t="s">
        <v>2750</v>
      </c>
      <c r="I20" s="14">
        <f ca="1">DATEDIF(Tabel6[[#This Row],[Date of Birth]],TODAY(),"Y")</f>
        <v>9</v>
      </c>
      <c r="J20" s="14" t="s">
        <v>2707</v>
      </c>
      <c r="K20" s="14" t="s">
        <v>3379</v>
      </c>
      <c r="L20" s="14" t="s">
        <v>3268</v>
      </c>
    </row>
    <row r="21" spans="1:12" hidden="1" x14ac:dyDescent="0.35">
      <c r="A21" s="14">
        <f>INDEX(Tabel1[Employee Number],MATCH(Tabel6[[#This Row],[Family Card Number (KK)]],Tabel1[Family Card Number (KK)],0))</f>
        <v>202043917</v>
      </c>
      <c r="B21" s="14" t="s">
        <v>361</v>
      </c>
      <c r="C21" t="str">
        <f>INDEX(Tabel1[Full Name],MATCH(Tabel6[[#This Row],[Employee Number]],Tabel1[Employee Number],0))</f>
        <v>Nadia Wijaya</v>
      </c>
      <c r="D21" s="13" t="s">
        <v>3137</v>
      </c>
      <c r="E21" s="14" t="s">
        <v>2751</v>
      </c>
      <c r="F21" s="14" t="s">
        <v>3114</v>
      </c>
      <c r="G21" s="14" t="s">
        <v>648</v>
      </c>
      <c r="H21" s="14" t="s">
        <v>2752</v>
      </c>
      <c r="I21" s="14">
        <f ca="1">DATEDIF(Tabel6[[#This Row],[Date of Birth]],TODAY(),"Y")</f>
        <v>46</v>
      </c>
      <c r="J21" s="14" t="s">
        <v>2716</v>
      </c>
      <c r="K21" s="14" t="s">
        <v>3379</v>
      </c>
      <c r="L21" s="14" t="s">
        <v>3269</v>
      </c>
    </row>
    <row r="22" spans="1:12" hidden="1" x14ac:dyDescent="0.35">
      <c r="A22" s="14">
        <f>INDEX(Tabel1[Employee Number],MATCH(Tabel6[[#This Row],[Family Card Number (KK)]],Tabel1[Family Card Number (KK)],0))</f>
        <v>201642499</v>
      </c>
      <c r="B22" s="14" t="s">
        <v>510</v>
      </c>
      <c r="C22" t="str">
        <f>INDEX(Tabel1[Full Name],MATCH(Tabel6[[#This Row],[Employee Number]],Tabel1[Employee Number],0))</f>
        <v>Rina Santoso</v>
      </c>
      <c r="D22" s="13" t="s">
        <v>3138</v>
      </c>
      <c r="E22" s="14" t="s">
        <v>2753</v>
      </c>
      <c r="F22" s="14" t="s">
        <v>3114</v>
      </c>
      <c r="G22" s="14" t="s">
        <v>648</v>
      </c>
      <c r="H22" s="14" t="s">
        <v>2754</v>
      </c>
      <c r="I22" s="14">
        <f ca="1">DATEDIF(Tabel6[[#This Row],[Date of Birth]],TODAY(),"Y")</f>
        <v>31</v>
      </c>
      <c r="J22" s="14" t="s">
        <v>2703</v>
      </c>
      <c r="K22" s="14" t="s">
        <v>3379</v>
      </c>
      <c r="L22" s="14" t="s">
        <v>3270</v>
      </c>
    </row>
    <row r="23" spans="1:12" x14ac:dyDescent="0.35">
      <c r="A23" s="14">
        <f>INDEX(Tabel1[Employee Number],MATCH(Tabel6[[#This Row],[Family Card Number (KK)]],Tabel1[Family Card Number (KK)],0))</f>
        <v>202144525</v>
      </c>
      <c r="B23" s="14" t="s">
        <v>365</v>
      </c>
      <c r="C23" t="str">
        <f>INDEX(Tabel1[Full Name],MATCH(Tabel6[[#This Row],[Employee Number]],Tabel1[Employee Number],0))</f>
        <v>Yusuf Kusuma</v>
      </c>
      <c r="D23" s="13" t="s">
        <v>3139</v>
      </c>
      <c r="E23" s="14" t="s">
        <v>2755</v>
      </c>
      <c r="F23" s="14" t="s">
        <v>3113</v>
      </c>
      <c r="G23" s="14" t="s">
        <v>676</v>
      </c>
      <c r="H23" s="14" t="s">
        <v>2756</v>
      </c>
      <c r="I23" s="14">
        <f ca="1">DATEDIF(Tabel6[[#This Row],[Date of Birth]],TODAY(),"Y")</f>
        <v>45</v>
      </c>
      <c r="J23" s="14" t="s">
        <v>2711</v>
      </c>
      <c r="K23" s="14" t="s">
        <v>3379</v>
      </c>
      <c r="L23" s="14" t="s">
        <v>3271</v>
      </c>
    </row>
    <row r="24" spans="1:12" x14ac:dyDescent="0.35">
      <c r="A24" s="14">
        <f>INDEX(Tabel1[Employee Number],MATCH(Tabel6[[#This Row],[Family Card Number (KK)]],Tabel1[Family Card Number (KK)],0))</f>
        <v>202144525</v>
      </c>
      <c r="B24" s="14" t="s">
        <v>365</v>
      </c>
      <c r="C24" t="str">
        <f>INDEX(Tabel1[Full Name],MATCH(Tabel6[[#This Row],[Employee Number]],Tabel1[Employee Number],0))</f>
        <v>Yusuf Kusuma</v>
      </c>
      <c r="D24" s="13" t="s">
        <v>3140</v>
      </c>
      <c r="E24" s="14" t="s">
        <v>2757</v>
      </c>
      <c r="F24" s="14" t="s">
        <v>2704</v>
      </c>
      <c r="G24" s="14" t="s">
        <v>676</v>
      </c>
      <c r="H24" s="14" t="s">
        <v>2758</v>
      </c>
      <c r="I24" s="14">
        <f ca="1">DATEDIF(Tabel6[[#This Row],[Date of Birth]],TODAY(),"Y")</f>
        <v>14</v>
      </c>
      <c r="J24" s="14" t="s">
        <v>2727</v>
      </c>
      <c r="K24" s="14" t="s">
        <v>3379</v>
      </c>
      <c r="L24" s="14" t="s">
        <v>3272</v>
      </c>
    </row>
    <row r="25" spans="1:12" hidden="1" x14ac:dyDescent="0.35">
      <c r="A25" s="14">
        <f>INDEX(Tabel1[Employee Number],MATCH(Tabel6[[#This Row],[Family Card Number (KK)]],Tabel1[Family Card Number (KK)],0))</f>
        <v>202144525</v>
      </c>
      <c r="B25" s="14" t="s">
        <v>365</v>
      </c>
      <c r="C25" t="str">
        <f>INDEX(Tabel1[Full Name],MATCH(Tabel6[[#This Row],[Employee Number]],Tabel1[Employee Number],0))</f>
        <v>Yusuf Kusuma</v>
      </c>
      <c r="D25" s="13" t="s">
        <v>3141</v>
      </c>
      <c r="E25" s="14" t="s">
        <v>2759</v>
      </c>
      <c r="F25" s="14" t="s">
        <v>2704</v>
      </c>
      <c r="G25" s="14" t="s">
        <v>648</v>
      </c>
      <c r="H25" s="14" t="s">
        <v>2760</v>
      </c>
      <c r="I25" s="14">
        <f ca="1">DATEDIF(Tabel6[[#This Row],[Date of Birth]],TODAY(),"Y")</f>
        <v>11</v>
      </c>
      <c r="J25" s="14" t="s">
        <v>2707</v>
      </c>
      <c r="K25" s="14" t="s">
        <v>3379</v>
      </c>
      <c r="L25" s="14" t="s">
        <v>3273</v>
      </c>
    </row>
    <row r="26" spans="1:12" x14ac:dyDescent="0.35">
      <c r="A26" s="14">
        <f>INDEX(Tabel1[Employee Number],MATCH(Tabel6[[#This Row],[Family Card Number (KK)]],Tabel1[Family Card Number (KK)],0))</f>
        <v>202043974</v>
      </c>
      <c r="B26" s="14" t="s">
        <v>369</v>
      </c>
      <c r="C26" t="str">
        <f>INDEX(Tabel1[Full Name],MATCH(Tabel6[[#This Row],[Employee Number]],Tabel1[Employee Number],0))</f>
        <v>Bayu Saputra</v>
      </c>
      <c r="D26" s="13" t="s">
        <v>3142</v>
      </c>
      <c r="E26" s="14" t="s">
        <v>2761</v>
      </c>
      <c r="F26" s="14" t="s">
        <v>3113</v>
      </c>
      <c r="G26" s="14" t="s">
        <v>676</v>
      </c>
      <c r="H26" s="14" t="s">
        <v>2762</v>
      </c>
      <c r="I26" s="14">
        <f ca="1">DATEDIF(Tabel6[[#This Row],[Date of Birth]],TODAY(),"Y")</f>
        <v>32</v>
      </c>
      <c r="J26" s="14" t="s">
        <v>2739</v>
      </c>
      <c r="K26" s="14" t="s">
        <v>3379</v>
      </c>
      <c r="L26" s="14" t="s">
        <v>3274</v>
      </c>
    </row>
    <row r="27" spans="1:12" x14ac:dyDescent="0.35">
      <c r="A27" s="14">
        <f>INDEX(Tabel1[Employee Number],MATCH(Tabel6[[#This Row],[Family Card Number (KK)]],Tabel1[Family Card Number (KK)],0))</f>
        <v>202043974</v>
      </c>
      <c r="B27" s="14" t="s">
        <v>369</v>
      </c>
      <c r="C27" t="str">
        <f>INDEX(Tabel1[Full Name],MATCH(Tabel6[[#This Row],[Employee Number]],Tabel1[Employee Number],0))</f>
        <v>Bayu Saputra</v>
      </c>
      <c r="D27" s="13" t="s">
        <v>3143</v>
      </c>
      <c r="E27" s="14" t="s">
        <v>2763</v>
      </c>
      <c r="F27" s="14" t="s">
        <v>2704</v>
      </c>
      <c r="G27" s="14" t="s">
        <v>676</v>
      </c>
      <c r="H27" s="14" t="s">
        <v>2764</v>
      </c>
      <c r="I27" s="14">
        <f ca="1">DATEDIF(Tabel6[[#This Row],[Date of Birth]],TODAY(),"Y")</f>
        <v>3</v>
      </c>
      <c r="J27" s="14" t="s">
        <v>2746</v>
      </c>
      <c r="K27" s="14" t="s">
        <v>3379</v>
      </c>
      <c r="L27" s="14" t="s">
        <v>3275</v>
      </c>
    </row>
    <row r="28" spans="1:12" x14ac:dyDescent="0.35">
      <c r="A28" s="14">
        <f>INDEX(Tabel1[Employee Number],MATCH(Tabel6[[#This Row],[Family Card Number (KK)]],Tabel1[Family Card Number (KK)],0))</f>
        <v>201743013</v>
      </c>
      <c r="B28" s="14" t="s">
        <v>370</v>
      </c>
      <c r="C28" t="str">
        <f>INDEX(Tabel1[Full Name],MATCH(Tabel6[[#This Row],[Employee Number]],Tabel1[Employee Number],0))</f>
        <v>Bayu Santoso</v>
      </c>
      <c r="D28" s="13" t="s">
        <v>3144</v>
      </c>
      <c r="E28" s="14" t="s">
        <v>2765</v>
      </c>
      <c r="F28" s="14" t="s">
        <v>3113</v>
      </c>
      <c r="G28" s="14" t="s">
        <v>676</v>
      </c>
      <c r="H28" s="14" t="s">
        <v>2766</v>
      </c>
      <c r="I28" s="14">
        <f ca="1">DATEDIF(Tabel6[[#This Row],[Date of Birth]],TODAY(),"Y")</f>
        <v>47</v>
      </c>
      <c r="J28" s="14" t="s">
        <v>2739</v>
      </c>
      <c r="K28" s="14" t="s">
        <v>3379</v>
      </c>
      <c r="L28" s="14" t="s">
        <v>3276</v>
      </c>
    </row>
    <row r="29" spans="1:12" x14ac:dyDescent="0.35">
      <c r="A29" s="14">
        <f>INDEX(Tabel1[Employee Number],MATCH(Tabel6[[#This Row],[Family Card Number (KK)]],Tabel1[Family Card Number (KK)],0))</f>
        <v>201743013</v>
      </c>
      <c r="B29" s="14" t="s">
        <v>370</v>
      </c>
      <c r="C29" t="str">
        <f>INDEX(Tabel1[Full Name],MATCH(Tabel6[[#This Row],[Employee Number]],Tabel1[Employee Number],0))</f>
        <v>Bayu Santoso</v>
      </c>
      <c r="D29" s="13" t="s">
        <v>3145</v>
      </c>
      <c r="E29" s="14" t="s">
        <v>2767</v>
      </c>
      <c r="F29" s="14" t="s">
        <v>2704</v>
      </c>
      <c r="G29" s="14" t="s">
        <v>676</v>
      </c>
      <c r="H29" s="14" t="s">
        <v>2768</v>
      </c>
      <c r="I29" s="14">
        <f ca="1">DATEDIF(Tabel6[[#This Row],[Date of Birth]],TODAY(),"Y")</f>
        <v>14</v>
      </c>
      <c r="J29" s="14" t="s">
        <v>2727</v>
      </c>
      <c r="K29" s="14" t="s">
        <v>3379</v>
      </c>
      <c r="L29" s="14" t="s">
        <v>3277</v>
      </c>
    </row>
    <row r="30" spans="1:12" x14ac:dyDescent="0.35">
      <c r="A30" s="14">
        <f>INDEX(Tabel1[Employee Number],MATCH(Tabel6[[#This Row],[Family Card Number (KK)]],Tabel1[Family Card Number (KK)],0))</f>
        <v>201743013</v>
      </c>
      <c r="B30" s="14" t="s">
        <v>370</v>
      </c>
      <c r="C30" t="str">
        <f>INDEX(Tabel1[Full Name],MATCH(Tabel6[[#This Row],[Employee Number]],Tabel1[Employee Number],0))</f>
        <v>Bayu Santoso</v>
      </c>
      <c r="D30" s="13" t="s">
        <v>3146</v>
      </c>
      <c r="E30" s="14" t="s">
        <v>2769</v>
      </c>
      <c r="F30" s="14" t="s">
        <v>2704</v>
      </c>
      <c r="G30" s="14" t="s">
        <v>676</v>
      </c>
      <c r="H30" s="14" t="s">
        <v>2770</v>
      </c>
      <c r="I30" s="14">
        <f ca="1">DATEDIF(Tabel6[[#This Row],[Date of Birth]],TODAY(),"Y")</f>
        <v>12</v>
      </c>
      <c r="J30" s="14" t="s">
        <v>2707</v>
      </c>
      <c r="K30" s="14" t="s">
        <v>3379</v>
      </c>
      <c r="L30" s="14" t="s">
        <v>3278</v>
      </c>
    </row>
    <row r="31" spans="1:12" x14ac:dyDescent="0.35">
      <c r="A31" s="14">
        <f>INDEX(Tabel1[Employee Number],MATCH(Tabel6[[#This Row],[Family Card Number (KK)]],Tabel1[Family Card Number (KK)],0))</f>
        <v>202043922</v>
      </c>
      <c r="B31" s="14" t="s">
        <v>373</v>
      </c>
      <c r="C31" t="str">
        <f>INDEX(Tabel1[Full Name],MATCH(Tabel6[[#This Row],[Employee Number]],Tabel1[Employee Number],0))</f>
        <v>Andi Sari</v>
      </c>
      <c r="D31" s="13" t="s">
        <v>3147</v>
      </c>
      <c r="E31" s="14" t="s">
        <v>2771</v>
      </c>
      <c r="F31" s="14" t="s">
        <v>3113</v>
      </c>
      <c r="G31" s="14" t="s">
        <v>676</v>
      </c>
      <c r="H31" s="14" t="s">
        <v>2772</v>
      </c>
      <c r="I31" s="14">
        <f ca="1">DATEDIF(Tabel6[[#This Row],[Date of Birth]],TODAY(),"Y")</f>
        <v>35</v>
      </c>
      <c r="J31" s="14" t="s">
        <v>2736</v>
      </c>
      <c r="K31" s="14" t="s">
        <v>3379</v>
      </c>
      <c r="L31" s="14" t="s">
        <v>3279</v>
      </c>
    </row>
    <row r="32" spans="1:12" x14ac:dyDescent="0.35">
      <c r="A32" s="14">
        <f>INDEX(Tabel1[Employee Number],MATCH(Tabel6[[#This Row],[Family Card Number (KK)]],Tabel1[Family Card Number (KK)],0))</f>
        <v>202043922</v>
      </c>
      <c r="B32" s="14" t="s">
        <v>373</v>
      </c>
      <c r="C32" t="str">
        <f>INDEX(Tabel1[Full Name],MATCH(Tabel6[[#This Row],[Employee Number]],Tabel1[Employee Number],0))</f>
        <v>Andi Sari</v>
      </c>
      <c r="D32" s="13" t="s">
        <v>3148</v>
      </c>
      <c r="E32" s="14" t="s">
        <v>2773</v>
      </c>
      <c r="F32" s="14" t="s">
        <v>2704</v>
      </c>
      <c r="G32" s="14" t="s">
        <v>676</v>
      </c>
      <c r="H32" s="14" t="s">
        <v>2774</v>
      </c>
      <c r="I32" s="14">
        <f ca="1">DATEDIF(Tabel6[[#This Row],[Date of Birth]],TODAY(),"Y")</f>
        <v>4</v>
      </c>
      <c r="J32" s="14" t="s">
        <v>2745</v>
      </c>
      <c r="K32" s="14" t="s">
        <v>3379</v>
      </c>
      <c r="L32" s="14" t="s">
        <v>3280</v>
      </c>
    </row>
    <row r="33" spans="1:12" x14ac:dyDescent="0.35">
      <c r="A33" s="14">
        <f>INDEX(Tabel1[Employee Number],MATCH(Tabel6[[#This Row],[Family Card Number (KK)]],Tabel1[Family Card Number (KK)],0))</f>
        <v>202144397</v>
      </c>
      <c r="B33" s="14" t="s">
        <v>436</v>
      </c>
      <c r="C33" t="str">
        <f>INDEX(Tabel1[Full Name],MATCH(Tabel6[[#This Row],[Employee Number]],Tabel1[Employee Number],0))</f>
        <v>Farhan Santoso</v>
      </c>
      <c r="D33" s="13" t="s">
        <v>3149</v>
      </c>
      <c r="E33" s="14" t="s">
        <v>2775</v>
      </c>
      <c r="F33" s="14" t="s">
        <v>3113</v>
      </c>
      <c r="G33" s="14" t="s">
        <v>676</v>
      </c>
      <c r="H33" s="14" t="s">
        <v>2776</v>
      </c>
      <c r="I33" s="14">
        <f ca="1">DATEDIF(Tabel6[[#This Row],[Date of Birth]],TODAY(),"Y")</f>
        <v>38</v>
      </c>
      <c r="J33" s="14" t="s">
        <v>2711</v>
      </c>
      <c r="K33" s="14" t="s">
        <v>3379</v>
      </c>
      <c r="L33" s="14" t="s">
        <v>3281</v>
      </c>
    </row>
    <row r="34" spans="1:12" x14ac:dyDescent="0.35">
      <c r="A34" s="14">
        <f>INDEX(Tabel1[Employee Number],MATCH(Tabel6[[#This Row],[Family Card Number (KK)]],Tabel1[Family Card Number (KK)],0))</f>
        <v>202144397</v>
      </c>
      <c r="B34" s="14" t="s">
        <v>436</v>
      </c>
      <c r="C34" t="str">
        <f>INDEX(Tabel1[Full Name],MATCH(Tabel6[[#This Row],[Employee Number]],Tabel1[Employee Number],0))</f>
        <v>Farhan Santoso</v>
      </c>
      <c r="D34" s="13" t="s">
        <v>3150</v>
      </c>
      <c r="E34" s="14" t="s">
        <v>2777</v>
      </c>
      <c r="F34" s="14" t="s">
        <v>2704</v>
      </c>
      <c r="G34" s="14" t="s">
        <v>676</v>
      </c>
      <c r="H34" s="14" t="s">
        <v>2778</v>
      </c>
      <c r="I34" s="14">
        <f ca="1">DATEDIF(Tabel6[[#This Row],[Date of Birth]],TODAY(),"Y")</f>
        <v>14</v>
      </c>
      <c r="J34" s="14" t="s">
        <v>2727</v>
      </c>
      <c r="K34" s="14" t="s">
        <v>3379</v>
      </c>
      <c r="L34" s="14" t="s">
        <v>3282</v>
      </c>
    </row>
    <row r="35" spans="1:12" x14ac:dyDescent="0.35">
      <c r="A35" s="14">
        <f>INDEX(Tabel1[Employee Number],MATCH(Tabel6[[#This Row],[Family Card Number (KK)]],Tabel1[Family Card Number (KK)],0))</f>
        <v>202144397</v>
      </c>
      <c r="B35" s="14" t="s">
        <v>436</v>
      </c>
      <c r="C35" t="str">
        <f>INDEX(Tabel1[Full Name],MATCH(Tabel6[[#This Row],[Employee Number]],Tabel1[Employee Number],0))</f>
        <v>Farhan Santoso</v>
      </c>
      <c r="D35" s="13" t="s">
        <v>3151</v>
      </c>
      <c r="E35" s="14" t="s">
        <v>2779</v>
      </c>
      <c r="F35" s="14" t="s">
        <v>2704</v>
      </c>
      <c r="G35" s="14" t="s">
        <v>676</v>
      </c>
      <c r="H35" s="14" t="s">
        <v>2780</v>
      </c>
      <c r="I35" s="14">
        <f ca="1">DATEDIF(Tabel6[[#This Row],[Date of Birth]],TODAY(),"Y")</f>
        <v>11</v>
      </c>
      <c r="J35" s="14" t="s">
        <v>2707</v>
      </c>
      <c r="K35" s="14" t="s">
        <v>3379</v>
      </c>
      <c r="L35" s="14" t="s">
        <v>3283</v>
      </c>
    </row>
    <row r="36" spans="1:12" x14ac:dyDescent="0.35">
      <c r="A36" s="14">
        <f>INDEX(Tabel1[Employee Number],MATCH(Tabel6[[#This Row],[Family Card Number (KK)]],Tabel1[Family Card Number (KK)],0))</f>
        <v>201843355</v>
      </c>
      <c r="B36" s="14" t="s">
        <v>377</v>
      </c>
      <c r="C36" t="str">
        <f>INDEX(Tabel1[Full Name],MATCH(Tabel6[[#This Row],[Employee Number]],Tabel1[Employee Number],0))</f>
        <v>Rudi Wijaya</v>
      </c>
      <c r="D36" s="13" t="s">
        <v>3152</v>
      </c>
      <c r="E36" s="14" t="s">
        <v>2781</v>
      </c>
      <c r="F36" s="14" t="s">
        <v>3113</v>
      </c>
      <c r="G36" s="14" t="s">
        <v>676</v>
      </c>
      <c r="H36" s="14" t="s">
        <v>2782</v>
      </c>
      <c r="I36" s="14">
        <f ca="1">DATEDIF(Tabel6[[#This Row],[Date of Birth]],TODAY(),"Y")</f>
        <v>26</v>
      </c>
      <c r="J36" s="14" t="s">
        <v>2711</v>
      </c>
      <c r="K36" s="14" t="s">
        <v>3379</v>
      </c>
      <c r="L36" s="14" t="s">
        <v>3284</v>
      </c>
    </row>
    <row r="37" spans="1:12" hidden="1" x14ac:dyDescent="0.35">
      <c r="A37" s="14">
        <f>INDEX(Tabel1[Employee Number],MATCH(Tabel6[[#This Row],[Family Card Number (KK)]],Tabel1[Family Card Number (KK)],0))</f>
        <v>201843355</v>
      </c>
      <c r="B37" s="14" t="s">
        <v>377</v>
      </c>
      <c r="C37" t="str">
        <f>INDEX(Tabel1[Full Name],MATCH(Tabel6[[#This Row],[Employee Number]],Tabel1[Employee Number],0))</f>
        <v>Rudi Wijaya</v>
      </c>
      <c r="D37" s="13" t="s">
        <v>3153</v>
      </c>
      <c r="E37" s="14" t="s">
        <v>2783</v>
      </c>
      <c r="F37" s="14" t="s">
        <v>2704</v>
      </c>
      <c r="G37" s="14" t="s">
        <v>648</v>
      </c>
      <c r="H37" s="14" t="s">
        <v>2784</v>
      </c>
      <c r="I37" s="14">
        <f ca="1">DATEDIF(Tabel6[[#This Row],[Date of Birth]],TODAY(),"Y")</f>
        <v>6</v>
      </c>
      <c r="J37" s="14" t="s">
        <v>2745</v>
      </c>
      <c r="K37" s="14" t="s">
        <v>3379</v>
      </c>
      <c r="L37" s="14" t="s">
        <v>3285</v>
      </c>
    </row>
    <row r="38" spans="1:12" x14ac:dyDescent="0.35">
      <c r="A38" s="14">
        <f>INDEX(Tabel1[Employee Number],MATCH(Tabel6[[#This Row],[Family Card Number (KK)]],Tabel1[Family Card Number (KK)],0))</f>
        <v>201943575</v>
      </c>
      <c r="B38" s="14" t="s">
        <v>379</v>
      </c>
      <c r="C38" t="str">
        <f>INDEX(Tabel1[Full Name],MATCH(Tabel6[[#This Row],[Employee Number]],Tabel1[Employee Number],0))</f>
        <v>Yoga Kusuma</v>
      </c>
      <c r="D38" s="13" t="s">
        <v>3154</v>
      </c>
      <c r="E38" s="14" t="s">
        <v>2785</v>
      </c>
      <c r="F38" s="14" t="s">
        <v>3113</v>
      </c>
      <c r="G38" s="14" t="s">
        <v>676</v>
      </c>
      <c r="H38" s="14" t="s">
        <v>2786</v>
      </c>
      <c r="I38" s="14">
        <f ca="1">DATEDIF(Tabel6[[#This Row],[Date of Birth]],TODAY(),"Y")</f>
        <v>36</v>
      </c>
      <c r="J38" s="14" t="s">
        <v>2708</v>
      </c>
      <c r="K38" s="14" t="s">
        <v>3379</v>
      </c>
      <c r="L38" s="14" t="s">
        <v>3286</v>
      </c>
    </row>
    <row r="39" spans="1:12" x14ac:dyDescent="0.35">
      <c r="A39" s="14">
        <f>INDEX(Tabel1[Employee Number],MATCH(Tabel6[[#This Row],[Family Card Number (KK)]],Tabel1[Family Card Number (KK)],0))</f>
        <v>201943575</v>
      </c>
      <c r="B39" s="14" t="s">
        <v>379</v>
      </c>
      <c r="C39" t="str">
        <f>INDEX(Tabel1[Full Name],MATCH(Tabel6[[#This Row],[Employee Number]],Tabel1[Employee Number],0))</f>
        <v>Yoga Kusuma</v>
      </c>
      <c r="D39" s="13" t="s">
        <v>3155</v>
      </c>
      <c r="E39" s="14" t="s">
        <v>2787</v>
      </c>
      <c r="F39" s="14" t="s">
        <v>2704</v>
      </c>
      <c r="G39" s="14" t="s">
        <v>676</v>
      </c>
      <c r="H39" s="14" t="s">
        <v>2788</v>
      </c>
      <c r="I39" s="14">
        <f ca="1">DATEDIF(Tabel6[[#This Row],[Date of Birth]],TODAY(),"Y")</f>
        <v>13</v>
      </c>
      <c r="J39" s="14" t="s">
        <v>2727</v>
      </c>
      <c r="K39" s="14" t="s">
        <v>3379</v>
      </c>
      <c r="L39" s="14" t="s">
        <v>3287</v>
      </c>
    </row>
    <row r="40" spans="1:12" hidden="1" x14ac:dyDescent="0.35">
      <c r="A40" s="14">
        <f>INDEX(Tabel1[Employee Number],MATCH(Tabel6[[#This Row],[Family Card Number (KK)]],Tabel1[Family Card Number (KK)],0))</f>
        <v>201943575</v>
      </c>
      <c r="B40" s="14" t="s">
        <v>379</v>
      </c>
      <c r="C40" t="str">
        <f>INDEX(Tabel1[Full Name],MATCH(Tabel6[[#This Row],[Employee Number]],Tabel1[Employee Number],0))</f>
        <v>Yoga Kusuma</v>
      </c>
      <c r="D40" s="13" t="s">
        <v>3156</v>
      </c>
      <c r="E40" s="14" t="s">
        <v>2789</v>
      </c>
      <c r="F40" s="14" t="s">
        <v>2704</v>
      </c>
      <c r="G40" s="14" t="s">
        <v>648</v>
      </c>
      <c r="H40" s="14" t="s">
        <v>2790</v>
      </c>
      <c r="I40" s="14">
        <f ca="1">DATEDIF(Tabel6[[#This Row],[Date of Birth]],TODAY(),"Y")</f>
        <v>8</v>
      </c>
      <c r="J40" s="14" t="s">
        <v>2707</v>
      </c>
      <c r="K40" s="14" t="s">
        <v>3379</v>
      </c>
      <c r="L40" s="14" t="s">
        <v>3288</v>
      </c>
    </row>
    <row r="41" spans="1:12" hidden="1" x14ac:dyDescent="0.35">
      <c r="A41" s="14">
        <f>INDEX(Tabel1[Employee Number],MATCH(Tabel6[[#This Row],[Family Card Number (KK)]],Tabel1[Family Card Number (KK)],0))</f>
        <v>202043936</v>
      </c>
      <c r="B41" s="14" t="s">
        <v>381</v>
      </c>
      <c r="C41" t="str">
        <f>INDEX(Tabel1[Full Name],MATCH(Tabel6[[#This Row],[Employee Number]],Tabel1[Employee Number],0))</f>
        <v>Putri Ramadhan</v>
      </c>
      <c r="D41" s="13" t="s">
        <v>3157</v>
      </c>
      <c r="E41" s="14" t="s">
        <v>2791</v>
      </c>
      <c r="F41" s="14" t="s">
        <v>3114</v>
      </c>
      <c r="G41" s="14" t="s">
        <v>648</v>
      </c>
      <c r="H41" s="14" t="s">
        <v>2792</v>
      </c>
      <c r="I41" s="14">
        <f ca="1">DATEDIF(Tabel6[[#This Row],[Date of Birth]],TODAY(),"Y")</f>
        <v>49</v>
      </c>
      <c r="J41" s="14" t="s">
        <v>2736</v>
      </c>
      <c r="K41" s="14" t="s">
        <v>3379</v>
      </c>
      <c r="L41" s="14" t="s">
        <v>3289</v>
      </c>
    </row>
    <row r="42" spans="1:12" x14ac:dyDescent="0.35">
      <c r="A42" s="14">
        <f>INDEX(Tabel1[Employee Number],MATCH(Tabel6[[#This Row],[Family Card Number (KK)]],Tabel1[Family Card Number (KK)],0))</f>
        <v>201441797</v>
      </c>
      <c r="B42" s="14" t="s">
        <v>382</v>
      </c>
      <c r="C42" t="str">
        <f>INDEX(Tabel1[Full Name],MATCH(Tabel6[[#This Row],[Employee Number]],Tabel1[Employee Number],0))</f>
        <v>Dedi Permata</v>
      </c>
      <c r="D42" s="13" t="s">
        <v>3158</v>
      </c>
      <c r="E42" s="14" t="s">
        <v>2793</v>
      </c>
      <c r="F42" s="14" t="s">
        <v>3113</v>
      </c>
      <c r="G42" s="14" t="s">
        <v>676</v>
      </c>
      <c r="H42" s="14" t="s">
        <v>2794</v>
      </c>
      <c r="I42" s="14">
        <f ca="1">DATEDIF(Tabel6[[#This Row],[Date of Birth]],TODAY(),"Y")</f>
        <v>48</v>
      </c>
      <c r="J42" s="14" t="s">
        <v>2711</v>
      </c>
      <c r="K42" s="14" t="s">
        <v>3379</v>
      </c>
      <c r="L42" s="14" t="s">
        <v>3290</v>
      </c>
    </row>
    <row r="43" spans="1:12" x14ac:dyDescent="0.35">
      <c r="A43" s="14">
        <f>INDEX(Tabel1[Employee Number],MATCH(Tabel6[[#This Row],[Family Card Number (KK)]],Tabel1[Family Card Number (KK)],0))</f>
        <v>201441797</v>
      </c>
      <c r="B43" s="14" t="s">
        <v>382</v>
      </c>
      <c r="C43" t="str">
        <f>INDEX(Tabel1[Full Name],MATCH(Tabel6[[#This Row],[Employee Number]],Tabel1[Employee Number],0))</f>
        <v>Dedi Permata</v>
      </c>
      <c r="D43" s="13" t="s">
        <v>3159</v>
      </c>
      <c r="E43" s="14" t="s">
        <v>2795</v>
      </c>
      <c r="F43" s="14" t="s">
        <v>2704</v>
      </c>
      <c r="G43" s="14" t="s">
        <v>676</v>
      </c>
      <c r="H43" s="14" t="s">
        <v>2796</v>
      </c>
      <c r="I43" s="14">
        <f ca="1">DATEDIF(Tabel6[[#This Row],[Date of Birth]],TODAY(),"Y")</f>
        <v>16</v>
      </c>
      <c r="J43" s="14" t="s">
        <v>2722</v>
      </c>
      <c r="K43" s="14" t="s">
        <v>3379</v>
      </c>
      <c r="L43" s="14" t="s">
        <v>3291</v>
      </c>
    </row>
    <row r="44" spans="1:12" x14ac:dyDescent="0.35">
      <c r="A44" s="14">
        <f>INDEX(Tabel1[Employee Number],MATCH(Tabel6[[#This Row],[Family Card Number (KK)]],Tabel1[Family Card Number (KK)],0))</f>
        <v>201843432</v>
      </c>
      <c r="B44" s="14" t="s">
        <v>469</v>
      </c>
      <c r="C44" t="str">
        <f>INDEX(Tabel1[Full Name],MATCH(Tabel6[[#This Row],[Employee Number]],Tabel1[Employee Number],0))</f>
        <v>Agus Kusuma</v>
      </c>
      <c r="D44" s="13" t="s">
        <v>3160</v>
      </c>
      <c r="E44" s="14" t="s">
        <v>2797</v>
      </c>
      <c r="F44" s="14" t="s">
        <v>3113</v>
      </c>
      <c r="G44" s="14" t="s">
        <v>676</v>
      </c>
      <c r="H44" s="14" t="s">
        <v>2798</v>
      </c>
      <c r="I44" s="14">
        <f ca="1">DATEDIF(Tabel6[[#This Row],[Date of Birth]],TODAY(),"Y")</f>
        <v>26</v>
      </c>
      <c r="J44" s="14" t="s">
        <v>2708</v>
      </c>
      <c r="K44" s="14" t="s">
        <v>3379</v>
      </c>
      <c r="L44" s="14" t="s">
        <v>3292</v>
      </c>
    </row>
    <row r="45" spans="1:12" x14ac:dyDescent="0.35">
      <c r="A45" s="14">
        <f>INDEX(Tabel1[Employee Number],MATCH(Tabel6[[#This Row],[Family Card Number (KK)]],Tabel1[Family Card Number (KK)],0))</f>
        <v>201843432</v>
      </c>
      <c r="B45" s="14" t="s">
        <v>469</v>
      </c>
      <c r="C45" t="str">
        <f>INDEX(Tabel1[Full Name],MATCH(Tabel6[[#This Row],[Employee Number]],Tabel1[Employee Number],0))</f>
        <v>Agus Kusuma</v>
      </c>
      <c r="D45" s="13" t="s">
        <v>3161</v>
      </c>
      <c r="E45" s="14" t="s">
        <v>2799</v>
      </c>
      <c r="F45" s="14" t="s">
        <v>2704</v>
      </c>
      <c r="G45" s="14" t="s">
        <v>676</v>
      </c>
      <c r="H45" s="14" t="s">
        <v>2800</v>
      </c>
      <c r="I45" s="14">
        <f ca="1">DATEDIF(Tabel6[[#This Row],[Date of Birth]],TODAY(),"Y")</f>
        <v>6</v>
      </c>
      <c r="J45" s="14" t="s">
        <v>2745</v>
      </c>
      <c r="K45" s="14" t="s">
        <v>3379</v>
      </c>
      <c r="L45" s="14" t="s">
        <v>3293</v>
      </c>
    </row>
    <row r="46" spans="1:12" x14ac:dyDescent="0.35">
      <c r="A46" s="14">
        <f>INDEX(Tabel1[Employee Number],MATCH(Tabel6[[#This Row],[Family Card Number (KK)]],Tabel1[Family Card Number (KK)],0))</f>
        <v>201943713</v>
      </c>
      <c r="B46" s="14" t="s">
        <v>538</v>
      </c>
      <c r="C46" t="str">
        <f>INDEX(Tabel1[Full Name],MATCH(Tabel6[[#This Row],[Employee Number]],Tabel1[Employee Number],0))</f>
        <v>Rudi Santoso</v>
      </c>
      <c r="D46" s="13" t="s">
        <v>3162</v>
      </c>
      <c r="E46" s="14" t="s">
        <v>2801</v>
      </c>
      <c r="F46" s="14" t="s">
        <v>3113</v>
      </c>
      <c r="G46" s="14" t="s">
        <v>676</v>
      </c>
      <c r="H46" s="14" t="s">
        <v>2802</v>
      </c>
      <c r="I46" s="14">
        <f ca="1">DATEDIF(Tabel6[[#This Row],[Date of Birth]],TODAY(),"Y")</f>
        <v>30</v>
      </c>
      <c r="J46" s="14" t="s">
        <v>2803</v>
      </c>
      <c r="K46" s="14" t="s">
        <v>3379</v>
      </c>
      <c r="L46" s="14" t="s">
        <v>3294</v>
      </c>
    </row>
    <row r="47" spans="1:12" x14ac:dyDescent="0.35">
      <c r="A47" s="14">
        <f>INDEX(Tabel1[Employee Number],MATCH(Tabel6[[#This Row],[Family Card Number (KK)]],Tabel1[Family Card Number (KK)],0))</f>
        <v>201943713</v>
      </c>
      <c r="B47" s="14" t="s">
        <v>538</v>
      </c>
      <c r="C47" t="str">
        <f>INDEX(Tabel1[Full Name],MATCH(Tabel6[[#This Row],[Employee Number]],Tabel1[Employee Number],0))</f>
        <v>Rudi Santoso</v>
      </c>
      <c r="D47" s="13" t="s">
        <v>3163</v>
      </c>
      <c r="E47" s="14" t="s">
        <v>2804</v>
      </c>
      <c r="F47" s="14" t="s">
        <v>2704</v>
      </c>
      <c r="G47" s="14" t="s">
        <v>676</v>
      </c>
      <c r="H47" s="14" t="s">
        <v>2805</v>
      </c>
      <c r="I47" s="14">
        <f ca="1">DATEDIF(Tabel6[[#This Row],[Date of Birth]],TODAY(),"Y")</f>
        <v>5</v>
      </c>
      <c r="J47" s="14" t="s">
        <v>2745</v>
      </c>
      <c r="K47" s="14" t="s">
        <v>3379</v>
      </c>
      <c r="L47" s="14" t="s">
        <v>3295</v>
      </c>
    </row>
    <row r="48" spans="1:12" x14ac:dyDescent="0.35">
      <c r="A48" s="14">
        <f>INDEX(Tabel1[Employee Number],MATCH(Tabel6[[#This Row],[Family Card Number (KK)]],Tabel1[Family Card Number (KK)],0))</f>
        <v>201843375</v>
      </c>
      <c r="B48" s="14" t="s">
        <v>388</v>
      </c>
      <c r="C48" t="str">
        <f>INDEX(Tabel1[Full Name],MATCH(Tabel6[[#This Row],[Employee Number]],Tabel1[Employee Number],0))</f>
        <v>Yusuf Ramadhan</v>
      </c>
      <c r="D48" s="13" t="s">
        <v>3164</v>
      </c>
      <c r="E48" s="14" t="s">
        <v>2806</v>
      </c>
      <c r="F48" s="14" t="s">
        <v>3113</v>
      </c>
      <c r="G48" s="14" t="s">
        <v>676</v>
      </c>
      <c r="H48" s="14" t="s">
        <v>2807</v>
      </c>
      <c r="I48" s="14">
        <f ca="1">DATEDIF(Tabel6[[#This Row],[Date of Birth]],TODAY(),"Y")</f>
        <v>29</v>
      </c>
      <c r="J48" s="14" t="s">
        <v>2803</v>
      </c>
      <c r="K48" s="14" t="s">
        <v>3379</v>
      </c>
      <c r="L48" s="14" t="s">
        <v>3296</v>
      </c>
    </row>
    <row r="49" spans="1:12" x14ac:dyDescent="0.35">
      <c r="A49" s="14">
        <f>INDEX(Tabel1[Employee Number],MATCH(Tabel6[[#This Row],[Family Card Number (KK)]],Tabel1[Family Card Number (KK)],0))</f>
        <v>202144493</v>
      </c>
      <c r="B49" s="14" t="s">
        <v>395</v>
      </c>
      <c r="C49" t="str">
        <f>INDEX(Tabel1[Full Name],MATCH(Tabel6[[#This Row],[Employee Number]],Tabel1[Employee Number],0))</f>
        <v>Dedi Kusuma</v>
      </c>
      <c r="D49" s="13" t="s">
        <v>3165</v>
      </c>
      <c r="E49" s="14" t="s">
        <v>2808</v>
      </c>
      <c r="F49" s="14" t="s">
        <v>3113</v>
      </c>
      <c r="G49" s="14" t="s">
        <v>676</v>
      </c>
      <c r="H49" s="14" t="s">
        <v>2809</v>
      </c>
      <c r="I49" s="14">
        <f ca="1">DATEDIF(Tabel6[[#This Row],[Date of Birth]],TODAY(),"Y")</f>
        <v>28</v>
      </c>
      <c r="J49" s="14" t="s">
        <v>2711</v>
      </c>
      <c r="K49" s="14" t="s">
        <v>3379</v>
      </c>
      <c r="L49" s="14" t="s">
        <v>3297</v>
      </c>
    </row>
    <row r="50" spans="1:12" hidden="1" x14ac:dyDescent="0.35">
      <c r="A50" s="14">
        <f>INDEX(Tabel1[Employee Number],MATCH(Tabel6[[#This Row],[Family Card Number (KK)]],Tabel1[Family Card Number (KK)],0))</f>
        <v>202144493</v>
      </c>
      <c r="B50" s="14" t="s">
        <v>395</v>
      </c>
      <c r="C50" t="str">
        <f>INDEX(Tabel1[Full Name],MATCH(Tabel6[[#This Row],[Employee Number]],Tabel1[Employee Number],0))</f>
        <v>Dedi Kusuma</v>
      </c>
      <c r="D50" s="13" t="s">
        <v>3166</v>
      </c>
      <c r="E50" s="14" t="s">
        <v>2810</v>
      </c>
      <c r="F50" s="14" t="s">
        <v>2704</v>
      </c>
      <c r="G50" s="14" t="s">
        <v>648</v>
      </c>
      <c r="H50" s="14" t="s">
        <v>2811</v>
      </c>
      <c r="I50" s="14">
        <f ca="1">DATEDIF(Tabel6[[#This Row],[Date of Birth]],TODAY(),"Y")</f>
        <v>5</v>
      </c>
      <c r="J50" s="14" t="s">
        <v>2745</v>
      </c>
      <c r="K50" s="14" t="s">
        <v>3379</v>
      </c>
      <c r="L50" s="14" t="s">
        <v>3298</v>
      </c>
    </row>
    <row r="51" spans="1:12" hidden="1" x14ac:dyDescent="0.35">
      <c r="A51" s="14">
        <f>INDEX(Tabel1[Employee Number],MATCH(Tabel6[[#This Row],[Family Card Number (KK)]],Tabel1[Family Card Number (KK)],0))</f>
        <v>202144493</v>
      </c>
      <c r="B51" s="14" t="s">
        <v>395</v>
      </c>
      <c r="C51" t="str">
        <f>INDEX(Tabel1[Full Name],MATCH(Tabel6[[#This Row],[Employee Number]],Tabel1[Employee Number],0))</f>
        <v>Dedi Kusuma</v>
      </c>
      <c r="D51" s="13" t="s">
        <v>3167</v>
      </c>
      <c r="E51" s="14" t="s">
        <v>2812</v>
      </c>
      <c r="F51" s="14" t="s">
        <v>2704</v>
      </c>
      <c r="G51" s="14" t="s">
        <v>648</v>
      </c>
      <c r="H51" s="14" t="s">
        <v>2813</v>
      </c>
      <c r="I51" s="14">
        <f ca="1">DATEDIF(Tabel6[[#This Row],[Date of Birth]],TODAY(),"Y")</f>
        <v>2</v>
      </c>
      <c r="J51" s="14" t="s">
        <v>2746</v>
      </c>
      <c r="K51" s="14" t="s">
        <v>3379</v>
      </c>
      <c r="L51" s="14" t="s">
        <v>3299</v>
      </c>
    </row>
    <row r="52" spans="1:12" x14ac:dyDescent="0.35">
      <c r="A52" s="14">
        <f>INDEX(Tabel1[Employee Number],MATCH(Tabel6[[#This Row],[Family Card Number (KK)]],Tabel1[Family Card Number (KK)],0))</f>
        <v>201642597</v>
      </c>
      <c r="B52" s="14" t="s">
        <v>621</v>
      </c>
      <c r="C52" t="str">
        <f>INDEX(Tabel1[Full Name],MATCH(Tabel6[[#This Row],[Employee Number]],Tabel1[Employee Number],0))</f>
        <v>Dedi Wijaya</v>
      </c>
      <c r="D52" s="13" t="s">
        <v>3168</v>
      </c>
      <c r="E52" s="14" t="s">
        <v>2814</v>
      </c>
      <c r="F52" s="14" t="s">
        <v>3113</v>
      </c>
      <c r="G52" s="14" t="s">
        <v>676</v>
      </c>
      <c r="H52" s="14" t="s">
        <v>2815</v>
      </c>
      <c r="I52" s="14">
        <f ca="1">DATEDIF(Tabel6[[#This Row],[Date of Birth]],TODAY(),"Y")</f>
        <v>45</v>
      </c>
      <c r="J52" s="14" t="s">
        <v>2711</v>
      </c>
      <c r="K52" s="14" t="s">
        <v>3379</v>
      </c>
      <c r="L52" s="14" t="s">
        <v>3300</v>
      </c>
    </row>
    <row r="53" spans="1:12" x14ac:dyDescent="0.35">
      <c r="A53" s="14">
        <f>INDEX(Tabel1[Employee Number],MATCH(Tabel6[[#This Row],[Family Card Number (KK)]],Tabel1[Family Card Number (KK)],0))</f>
        <v>201642597</v>
      </c>
      <c r="B53" s="14" t="s">
        <v>621</v>
      </c>
      <c r="C53" t="str">
        <f>INDEX(Tabel1[Full Name],MATCH(Tabel6[[#This Row],[Employee Number]],Tabel1[Employee Number],0))</f>
        <v>Dedi Wijaya</v>
      </c>
      <c r="D53" s="13" t="s">
        <v>3169</v>
      </c>
      <c r="E53" s="14" t="s">
        <v>2816</v>
      </c>
      <c r="F53" s="14" t="s">
        <v>2704</v>
      </c>
      <c r="G53" s="14" t="s">
        <v>676</v>
      </c>
      <c r="H53" s="14" t="s">
        <v>2817</v>
      </c>
      <c r="I53" s="14">
        <f ca="1">DATEDIF(Tabel6[[#This Row],[Date of Birth]],TODAY(),"Y")</f>
        <v>10</v>
      </c>
      <c r="J53" s="14" t="s">
        <v>2707</v>
      </c>
      <c r="K53" s="14" t="s">
        <v>3379</v>
      </c>
      <c r="L53" s="14" t="s">
        <v>3301</v>
      </c>
    </row>
    <row r="54" spans="1:12" hidden="1" x14ac:dyDescent="0.35">
      <c r="A54" s="14">
        <f>INDEX(Tabel1[Employee Number],MATCH(Tabel6[[#This Row],[Family Card Number (KK)]],Tabel1[Family Card Number (KK)],0))</f>
        <v>201742748</v>
      </c>
      <c r="B54" s="14" t="s">
        <v>633</v>
      </c>
      <c r="C54" t="str">
        <f>INDEX(Tabel1[Full Name],MATCH(Tabel6[[#This Row],[Employee Number]],Tabel1[Employee Number],0))</f>
        <v>Budi Kurniawan</v>
      </c>
      <c r="D54" s="13" t="s">
        <v>3170</v>
      </c>
      <c r="E54" s="14" t="s">
        <v>2818</v>
      </c>
      <c r="F54" s="14" t="s">
        <v>2704</v>
      </c>
      <c r="G54" s="14" t="s">
        <v>648</v>
      </c>
      <c r="H54" s="14" t="s">
        <v>2819</v>
      </c>
      <c r="I54" s="14">
        <f ca="1">DATEDIF(Tabel6[[#This Row],[Date of Birth]],TODAY(),"Y")</f>
        <v>10</v>
      </c>
      <c r="J54" s="14" t="s">
        <v>2707</v>
      </c>
      <c r="K54" s="14" t="s">
        <v>3379</v>
      </c>
      <c r="L54" s="14" t="s">
        <v>3302</v>
      </c>
    </row>
    <row r="55" spans="1:12" x14ac:dyDescent="0.35">
      <c r="A55" s="14">
        <f>INDEX(Tabel1[Employee Number],MATCH(Tabel6[[#This Row],[Family Card Number (KK)]],Tabel1[Family Card Number (KK)],0))</f>
        <v>201742748</v>
      </c>
      <c r="B55" s="14" t="s">
        <v>633</v>
      </c>
      <c r="C55" t="str">
        <f>INDEX(Tabel1[Full Name],MATCH(Tabel6[[#This Row],[Employee Number]],Tabel1[Employee Number],0))</f>
        <v>Budi Kurniawan</v>
      </c>
      <c r="D55" s="13" t="s">
        <v>3171</v>
      </c>
      <c r="E55" s="14" t="s">
        <v>2846</v>
      </c>
      <c r="F55" s="14" t="s">
        <v>2704</v>
      </c>
      <c r="G55" s="14" t="s">
        <v>676</v>
      </c>
      <c r="H55" s="14" t="s">
        <v>2847</v>
      </c>
      <c r="I55" s="14">
        <f ca="1">DATEDIF(Tabel6[[#This Row],[Date of Birth]],TODAY(),"Y")</f>
        <v>13</v>
      </c>
      <c r="J55" s="14" t="s">
        <v>2727</v>
      </c>
      <c r="K55" s="14" t="s">
        <v>3379</v>
      </c>
      <c r="L55" s="14" t="s">
        <v>3303</v>
      </c>
    </row>
    <row r="56" spans="1:12" hidden="1" x14ac:dyDescent="0.35">
      <c r="A56" s="14">
        <f>INDEX(Tabel1[Employee Number],MATCH(Tabel6[[#This Row],[Family Card Number (KK)]],Tabel1[Family Card Number (KK)],0))</f>
        <v>202144470</v>
      </c>
      <c r="B56" s="14" t="s">
        <v>398</v>
      </c>
      <c r="C56" t="str">
        <f>INDEX(Tabel1[Full Name],MATCH(Tabel6[[#This Row],[Employee Number]],Tabel1[Employee Number],0))</f>
        <v>Rudi Pratama</v>
      </c>
      <c r="D56" s="13" t="s">
        <v>3172</v>
      </c>
      <c r="E56" s="14" t="s">
        <v>2820</v>
      </c>
      <c r="F56" s="14" t="s">
        <v>2704</v>
      </c>
      <c r="G56" s="14" t="s">
        <v>648</v>
      </c>
      <c r="H56" s="14" t="s">
        <v>2821</v>
      </c>
      <c r="I56" s="14">
        <f ca="1">DATEDIF(Tabel6[[#This Row],[Date of Birth]],TODAY(),"Y")</f>
        <v>11</v>
      </c>
      <c r="J56" s="14" t="s">
        <v>2707</v>
      </c>
      <c r="K56" s="14" t="s">
        <v>3379</v>
      </c>
      <c r="L56" s="14" t="s">
        <v>3304</v>
      </c>
    </row>
    <row r="57" spans="1:12" x14ac:dyDescent="0.35">
      <c r="A57" s="14">
        <f>INDEX(Tabel1[Employee Number],MATCH(Tabel6[[#This Row],[Family Card Number (KK)]],Tabel1[Family Card Number (KK)],0))</f>
        <v>201843255</v>
      </c>
      <c r="B57" s="14" t="s">
        <v>400</v>
      </c>
      <c r="C57" t="str">
        <f>INDEX(Tabel1[Full Name],MATCH(Tabel6[[#This Row],[Employee Number]],Tabel1[Employee Number],0))</f>
        <v>Aulia Ramadhan</v>
      </c>
      <c r="D57" s="13" t="s">
        <v>3173</v>
      </c>
      <c r="E57" s="14" t="s">
        <v>2822</v>
      </c>
      <c r="F57" s="14" t="s">
        <v>2704</v>
      </c>
      <c r="G57" s="14" t="s">
        <v>676</v>
      </c>
      <c r="H57" s="14" t="s">
        <v>2823</v>
      </c>
      <c r="I57" s="14">
        <f ca="1">DATEDIF(Tabel6[[#This Row],[Date of Birth]],TODAY(),"Y")</f>
        <v>10</v>
      </c>
      <c r="J57" s="14" t="s">
        <v>2707</v>
      </c>
      <c r="K57" s="14" t="s">
        <v>3379</v>
      </c>
      <c r="L57" s="14" t="s">
        <v>3305</v>
      </c>
    </row>
    <row r="58" spans="1:12" x14ac:dyDescent="0.35">
      <c r="A58" s="14">
        <f>INDEX(Tabel1[Employee Number],MATCH(Tabel6[[#This Row],[Family Card Number (KK)]],Tabel1[Family Card Number (KK)],0))</f>
        <v>201642544</v>
      </c>
      <c r="B58" s="14" t="s">
        <v>405</v>
      </c>
      <c r="C58" t="str">
        <f>INDEX(Tabel1[Full Name],MATCH(Tabel6[[#This Row],[Employee Number]],Tabel1[Employee Number],0))</f>
        <v>Budi Kurniawan</v>
      </c>
      <c r="D58" s="13" t="s">
        <v>3174</v>
      </c>
      <c r="E58" s="14" t="s">
        <v>2824</v>
      </c>
      <c r="F58" s="14" t="s">
        <v>2704</v>
      </c>
      <c r="G58" s="14" t="s">
        <v>676</v>
      </c>
      <c r="H58" s="14" t="s">
        <v>2825</v>
      </c>
      <c r="I58" s="14">
        <f ca="1">DATEDIF(Tabel6[[#This Row],[Date of Birth]],TODAY(),"Y")</f>
        <v>9</v>
      </c>
      <c r="J58" s="14" t="s">
        <v>2707</v>
      </c>
      <c r="K58" s="14" t="s">
        <v>3379</v>
      </c>
      <c r="L58" s="14" t="s">
        <v>3306</v>
      </c>
    </row>
    <row r="59" spans="1:12" x14ac:dyDescent="0.35">
      <c r="A59" s="14">
        <f>INDEX(Tabel1[Employee Number],MATCH(Tabel6[[#This Row],[Family Card Number (KK)]],Tabel1[Family Card Number (KK)],0))</f>
        <v>201642373</v>
      </c>
      <c r="B59" s="14" t="s">
        <v>408</v>
      </c>
      <c r="C59" t="str">
        <f>INDEX(Tabel1[Full Name],MATCH(Tabel6[[#This Row],[Employee Number]],Tabel1[Employee Number],0))</f>
        <v>Firman Pangestu</v>
      </c>
      <c r="D59" s="13" t="s">
        <v>3175</v>
      </c>
      <c r="E59" s="14" t="s">
        <v>2826</v>
      </c>
      <c r="F59" s="14" t="s">
        <v>2704</v>
      </c>
      <c r="G59" s="14" t="s">
        <v>676</v>
      </c>
      <c r="H59" s="14" t="s">
        <v>2827</v>
      </c>
      <c r="I59" s="14">
        <f ca="1">DATEDIF(Tabel6[[#This Row],[Date of Birth]],TODAY(),"Y")</f>
        <v>5</v>
      </c>
      <c r="J59" s="14" t="s">
        <v>2745</v>
      </c>
      <c r="K59" s="14" t="s">
        <v>3379</v>
      </c>
      <c r="L59" s="14" t="s">
        <v>3307</v>
      </c>
    </row>
    <row r="60" spans="1:12" hidden="1" x14ac:dyDescent="0.35">
      <c r="A60" s="14">
        <f>INDEX(Tabel1[Employee Number],MATCH(Tabel6[[#This Row],[Family Card Number (KK)]],Tabel1[Family Card Number (KK)],0))</f>
        <v>202345041</v>
      </c>
      <c r="B60" s="14" t="s">
        <v>411</v>
      </c>
      <c r="C60" t="str">
        <f>INDEX(Tabel1[Full Name],MATCH(Tabel6[[#This Row],[Employee Number]],Tabel1[Employee Number],0))</f>
        <v>Putri Kusuma</v>
      </c>
      <c r="D60" s="13" t="s">
        <v>3176</v>
      </c>
      <c r="E60" s="14" t="s">
        <v>2828</v>
      </c>
      <c r="F60" s="14" t="s">
        <v>2704</v>
      </c>
      <c r="G60" s="14" t="s">
        <v>648</v>
      </c>
      <c r="H60" s="14" t="s">
        <v>2829</v>
      </c>
      <c r="I60" s="14">
        <f ca="1">DATEDIF(Tabel6[[#This Row],[Date of Birth]],TODAY(),"Y")</f>
        <v>11</v>
      </c>
      <c r="J60" s="14" t="s">
        <v>2707</v>
      </c>
      <c r="K60" s="14" t="s">
        <v>3379</v>
      </c>
      <c r="L60" s="14" t="s">
        <v>3308</v>
      </c>
    </row>
    <row r="61" spans="1:12" hidden="1" x14ac:dyDescent="0.35">
      <c r="A61" s="14">
        <f>INDEX(Tabel1[Employee Number],MATCH(Tabel6[[#This Row],[Family Card Number (KK)]],Tabel1[Family Card Number (KK)],0))</f>
        <v>201743026</v>
      </c>
      <c r="B61" s="14" t="s">
        <v>421</v>
      </c>
      <c r="C61" t="str">
        <f>INDEX(Tabel1[Full Name],MATCH(Tabel6[[#This Row],[Employee Number]],Tabel1[Employee Number],0))</f>
        <v>Indah Wijaya</v>
      </c>
      <c r="D61" s="13" t="s">
        <v>3177</v>
      </c>
      <c r="E61" s="14" t="s">
        <v>2830</v>
      </c>
      <c r="F61" s="14" t="s">
        <v>2704</v>
      </c>
      <c r="G61" s="14" t="s">
        <v>648</v>
      </c>
      <c r="H61" s="14" t="s">
        <v>2831</v>
      </c>
      <c r="I61" s="14">
        <f ca="1">DATEDIF(Tabel6[[#This Row],[Date of Birth]],TODAY(),"Y")</f>
        <v>16</v>
      </c>
      <c r="J61" s="14" t="s">
        <v>2722</v>
      </c>
      <c r="K61" s="14" t="s">
        <v>3379</v>
      </c>
      <c r="L61" s="14" t="s">
        <v>3309</v>
      </c>
    </row>
    <row r="62" spans="1:12" x14ac:dyDescent="0.35">
      <c r="A62" s="14">
        <f>INDEX(Tabel1[Employee Number],MATCH(Tabel6[[#This Row],[Family Card Number (KK)]],Tabel1[Family Card Number (KK)],0))</f>
        <v>201642675</v>
      </c>
      <c r="B62" s="14" t="s">
        <v>623</v>
      </c>
      <c r="C62" t="str">
        <f>INDEX(Tabel1[Full Name],MATCH(Tabel6[[#This Row],[Employee Number]],Tabel1[Employee Number],0))</f>
        <v>Kadek Dwi Arum</v>
      </c>
      <c r="D62" s="13" t="s">
        <v>3178</v>
      </c>
      <c r="E62" s="14" t="s">
        <v>2832</v>
      </c>
      <c r="F62" s="14" t="s">
        <v>2704</v>
      </c>
      <c r="G62" s="14" t="s">
        <v>676</v>
      </c>
      <c r="H62" s="14" t="s">
        <v>2833</v>
      </c>
      <c r="I62" s="14">
        <f ca="1">DATEDIF(Tabel6[[#This Row],[Date of Birth]],TODAY(),"Y")</f>
        <v>2</v>
      </c>
      <c r="J62" s="14" t="s">
        <v>2746</v>
      </c>
      <c r="K62" s="14" t="s">
        <v>3379</v>
      </c>
      <c r="L62" s="14" t="s">
        <v>3310</v>
      </c>
    </row>
    <row r="63" spans="1:12" x14ac:dyDescent="0.35">
      <c r="A63" s="14">
        <f>INDEX(Tabel1[Employee Number],MATCH(Tabel6[[#This Row],[Family Card Number (KK)]],Tabel1[Family Card Number (KK)],0))</f>
        <v>201642410</v>
      </c>
      <c r="B63" s="14" t="s">
        <v>441</v>
      </c>
      <c r="C63" t="str">
        <f>INDEX(Tabel1[Full Name],MATCH(Tabel6[[#This Row],[Employee Number]],Tabel1[Employee Number],0))</f>
        <v>Puta Pra Ramadhan</v>
      </c>
      <c r="D63" s="13" t="s">
        <v>3179</v>
      </c>
      <c r="E63" s="14" t="s">
        <v>2834</v>
      </c>
      <c r="F63" s="14" t="s">
        <v>2704</v>
      </c>
      <c r="G63" s="14" t="s">
        <v>676</v>
      </c>
      <c r="H63" s="14" t="s">
        <v>2835</v>
      </c>
      <c r="I63" s="14">
        <f ca="1">DATEDIF(Tabel6[[#This Row],[Date of Birth]],TODAY(),"Y")</f>
        <v>13</v>
      </c>
      <c r="J63" s="14" t="s">
        <v>2727</v>
      </c>
      <c r="K63" s="14" t="s">
        <v>3379</v>
      </c>
      <c r="L63" s="14" t="s">
        <v>3311</v>
      </c>
    </row>
    <row r="64" spans="1:12" x14ac:dyDescent="0.35">
      <c r="A64" s="14">
        <f>INDEX(Tabel1[Employee Number],MATCH(Tabel6[[#This Row],[Family Card Number (KK)]],Tabel1[Family Card Number (KK)],0))</f>
        <v>202144304</v>
      </c>
      <c r="B64" s="14" t="s">
        <v>445</v>
      </c>
      <c r="C64" t="str">
        <f>INDEX(Tabel1[Full Name],MATCH(Tabel6[[#This Row],[Employee Number]],Tabel1[Employee Number],0))</f>
        <v>Aulia Wijaya</v>
      </c>
      <c r="D64" s="13" t="s">
        <v>3180</v>
      </c>
      <c r="E64" s="14" t="s">
        <v>2836</v>
      </c>
      <c r="F64" s="14" t="s">
        <v>2704</v>
      </c>
      <c r="G64" s="14" t="s">
        <v>676</v>
      </c>
      <c r="H64" s="14" t="s">
        <v>2837</v>
      </c>
      <c r="I64" s="14">
        <f ca="1">DATEDIF(Tabel6[[#This Row],[Date of Birth]],TODAY(),"Y")</f>
        <v>10</v>
      </c>
      <c r="J64" s="14" t="s">
        <v>2707</v>
      </c>
      <c r="K64" s="14" t="s">
        <v>3379</v>
      </c>
      <c r="L64" s="14" t="s">
        <v>3312</v>
      </c>
    </row>
    <row r="65" spans="1:12" hidden="1" x14ac:dyDescent="0.35">
      <c r="A65" s="14">
        <f>INDEX(Tabel1[Employee Number],MATCH(Tabel6[[#This Row],[Family Card Number (KK)]],Tabel1[Family Card Number (KK)],0))</f>
        <v>201642621</v>
      </c>
      <c r="B65" s="14" t="s">
        <v>547</v>
      </c>
      <c r="C65" t="str">
        <f>INDEX(Tabel1[Full Name],MATCH(Tabel6[[#This Row],[Employee Number]],Tabel1[Employee Number],0))</f>
        <v>Siti Kurniawan</v>
      </c>
      <c r="D65" s="13" t="s">
        <v>3181</v>
      </c>
      <c r="E65" s="14" t="s">
        <v>2903</v>
      </c>
      <c r="F65" s="14" t="s">
        <v>3114</v>
      </c>
      <c r="G65" s="14" t="s">
        <v>648</v>
      </c>
      <c r="H65" s="14" t="s">
        <v>2904</v>
      </c>
      <c r="I65" s="14">
        <f ca="1">DATEDIF(Tabel6[[#This Row],[Date of Birth]],TODAY(),"Y")</f>
        <v>28</v>
      </c>
      <c r="J65" s="14" t="s">
        <v>2739</v>
      </c>
      <c r="K65" s="14" t="s">
        <v>3379</v>
      </c>
      <c r="L65" s="14" t="s">
        <v>3313</v>
      </c>
    </row>
    <row r="66" spans="1:12" hidden="1" x14ac:dyDescent="0.35">
      <c r="A66" s="14">
        <f>INDEX(Tabel1[Employee Number],MATCH(Tabel6[[#This Row],[Family Card Number (KK)]],Tabel1[Family Card Number (KK)],0))</f>
        <v>201642621</v>
      </c>
      <c r="B66" s="14" t="s">
        <v>547</v>
      </c>
      <c r="C66" t="str">
        <f>INDEX(Tabel1[Full Name],MATCH(Tabel6[[#This Row],[Employee Number]],Tabel1[Employee Number],0))</f>
        <v>Siti Kurniawan</v>
      </c>
      <c r="D66" s="13" t="s">
        <v>3182</v>
      </c>
      <c r="E66" s="14" t="s">
        <v>2838</v>
      </c>
      <c r="F66" s="14" t="s">
        <v>2704</v>
      </c>
      <c r="G66" s="14" t="s">
        <v>648</v>
      </c>
      <c r="H66" s="14" t="s">
        <v>2839</v>
      </c>
      <c r="I66" s="14">
        <f ca="1">DATEDIF(Tabel6[[#This Row],[Date of Birth]],TODAY(),"Y")</f>
        <v>6</v>
      </c>
      <c r="J66" s="14" t="s">
        <v>2745</v>
      </c>
      <c r="K66" s="14" t="s">
        <v>3379</v>
      </c>
      <c r="L66" s="14" t="s">
        <v>3314</v>
      </c>
    </row>
    <row r="67" spans="1:12" x14ac:dyDescent="0.35">
      <c r="A67" s="14">
        <f>INDEX(Tabel1[Employee Number],MATCH(Tabel6[[#This Row],[Family Card Number (KK)]],Tabel1[Family Card Number (KK)],0))</f>
        <v>201642621</v>
      </c>
      <c r="B67" s="14" t="s">
        <v>547</v>
      </c>
      <c r="C67" t="str">
        <f>INDEX(Tabel1[Full Name],MATCH(Tabel6[[#This Row],[Employee Number]],Tabel1[Employee Number],0))</f>
        <v>Siti Kurniawan</v>
      </c>
      <c r="D67" s="13" t="s">
        <v>3183</v>
      </c>
      <c r="E67" s="14" t="s">
        <v>2905</v>
      </c>
      <c r="F67" s="14" t="s">
        <v>2704</v>
      </c>
      <c r="G67" s="14" t="s">
        <v>676</v>
      </c>
      <c r="H67" s="14" t="s">
        <v>2906</v>
      </c>
      <c r="I67" s="14">
        <f ca="1">DATEDIF(Tabel6[[#This Row],[Date of Birth]],TODAY(),"Y")</f>
        <v>4</v>
      </c>
      <c r="J67" s="14" t="s">
        <v>2745</v>
      </c>
      <c r="K67" s="14" t="s">
        <v>3379</v>
      </c>
      <c r="L67" s="14" t="s">
        <v>3315</v>
      </c>
    </row>
    <row r="68" spans="1:12" x14ac:dyDescent="0.35">
      <c r="A68" s="14">
        <f>INDEX(Tabel1[Employee Number],MATCH(Tabel6[[#This Row],[Family Card Number (KK)]],Tabel1[Family Card Number (KK)],0))</f>
        <v>202445543</v>
      </c>
      <c r="B68" s="14" t="s">
        <v>454</v>
      </c>
      <c r="C68" t="str">
        <f>INDEX(Tabel1[Full Name],MATCH(Tabel6[[#This Row],[Employee Number]],Tabel1[Employee Number],0))</f>
        <v>Budi Wijaya</v>
      </c>
      <c r="D68" s="13" t="s">
        <v>3184</v>
      </c>
      <c r="E68" s="14" t="s">
        <v>2840</v>
      </c>
      <c r="F68" s="14" t="s">
        <v>2704</v>
      </c>
      <c r="G68" s="14" t="s">
        <v>676</v>
      </c>
      <c r="H68" s="14" t="s">
        <v>2841</v>
      </c>
      <c r="I68" s="14">
        <f ca="1">DATEDIF(Tabel6[[#This Row],[Date of Birth]],TODAY(),"Y")</f>
        <v>14</v>
      </c>
      <c r="J68" s="14" t="s">
        <v>2727</v>
      </c>
      <c r="K68" s="14" t="s">
        <v>3379</v>
      </c>
      <c r="L68" s="14" t="s">
        <v>3316</v>
      </c>
    </row>
    <row r="69" spans="1:12" hidden="1" x14ac:dyDescent="0.35">
      <c r="A69" s="14">
        <f>INDEX(Tabel1[Employee Number],MATCH(Tabel6[[#This Row],[Family Card Number (KK)]],Tabel1[Family Card Number (KK)],0))</f>
        <v>202545791</v>
      </c>
      <c r="B69" s="14" t="s">
        <v>463</v>
      </c>
      <c r="C69" t="str">
        <f>INDEX(Tabel1[Full Name],MATCH(Tabel6[[#This Row],[Employee Number]],Tabel1[Employee Number],0))</f>
        <v>Siti Santoso</v>
      </c>
      <c r="D69" s="13" t="s">
        <v>3185</v>
      </c>
      <c r="E69" s="14" t="s">
        <v>2842</v>
      </c>
      <c r="F69" s="14" t="s">
        <v>2704</v>
      </c>
      <c r="G69" s="14" t="s">
        <v>648</v>
      </c>
      <c r="H69" s="14" t="s">
        <v>2843</v>
      </c>
      <c r="I69" s="14">
        <f ca="1">DATEDIF(Tabel6[[#This Row],[Date of Birth]],TODAY(),"Y")</f>
        <v>4</v>
      </c>
      <c r="J69" s="14" t="s">
        <v>2745</v>
      </c>
      <c r="K69" s="14" t="s">
        <v>3379</v>
      </c>
      <c r="L69" s="14" t="s">
        <v>3317</v>
      </c>
    </row>
    <row r="70" spans="1:12" hidden="1" x14ac:dyDescent="0.35">
      <c r="A70" s="14">
        <f>INDEX(Tabel1[Employee Number],MATCH(Tabel6[[#This Row],[Family Card Number (KK)]],Tabel1[Family Card Number (KK)],0))</f>
        <v>202144360</v>
      </c>
      <c r="B70" s="14" t="s">
        <v>475</v>
      </c>
      <c r="C70" t="str">
        <f>INDEX(Tabel1[Full Name],MATCH(Tabel6[[#This Row],[Employee Number]],Tabel1[Employee Number],0))</f>
        <v>Budi Sari</v>
      </c>
      <c r="D70" s="13" t="s">
        <v>3186</v>
      </c>
      <c r="E70" s="14" t="s">
        <v>2844</v>
      </c>
      <c r="F70" s="14" t="s">
        <v>2704</v>
      </c>
      <c r="G70" s="14" t="s">
        <v>648</v>
      </c>
      <c r="H70" s="14" t="s">
        <v>2845</v>
      </c>
      <c r="I70" s="14">
        <f ca="1">DATEDIF(Tabel6[[#This Row],[Date of Birth]],TODAY(),"Y")</f>
        <v>16</v>
      </c>
      <c r="J70" s="14" t="s">
        <v>2722</v>
      </c>
      <c r="K70" s="14" t="s">
        <v>3379</v>
      </c>
      <c r="L70" s="14" t="s">
        <v>3318</v>
      </c>
    </row>
    <row r="71" spans="1:12" hidden="1" x14ac:dyDescent="0.35">
      <c r="A71" s="14">
        <f>INDEX(Tabel1[Employee Number],MATCH(Tabel6[[#This Row],[Family Card Number (KK)]],Tabel1[Family Card Number (KK)],0))</f>
        <v>202144287</v>
      </c>
      <c r="B71" s="14" t="s">
        <v>488</v>
      </c>
      <c r="C71" t="str">
        <f>INDEX(Tabel1[Full Name],MATCH(Tabel6[[#This Row],[Employee Number]],Tabel1[Employee Number],0))</f>
        <v>Dedi Pangestu</v>
      </c>
      <c r="D71" s="13" t="s">
        <v>3187</v>
      </c>
      <c r="E71" s="14" t="s">
        <v>2848</v>
      </c>
      <c r="F71" s="14" t="s">
        <v>2704</v>
      </c>
      <c r="G71" s="14" t="s">
        <v>648</v>
      </c>
      <c r="H71" s="14" t="s">
        <v>2849</v>
      </c>
      <c r="I71" s="14">
        <f ca="1">DATEDIF(Tabel6[[#This Row],[Date of Birth]],TODAY(),"Y")</f>
        <v>16</v>
      </c>
      <c r="J71" s="14" t="s">
        <v>2722</v>
      </c>
      <c r="K71" s="14" t="s">
        <v>3379</v>
      </c>
      <c r="L71" s="14" t="s">
        <v>3319</v>
      </c>
    </row>
    <row r="72" spans="1:12" x14ac:dyDescent="0.35">
      <c r="A72" s="14">
        <f>INDEX(Tabel1[Employee Number],MATCH(Tabel6[[#This Row],[Family Card Number (KK)]],Tabel1[Family Card Number (KK)],0))</f>
        <v>202044084</v>
      </c>
      <c r="B72" s="14" t="s">
        <v>494</v>
      </c>
      <c r="C72" t="str">
        <f>INDEX(Tabel1[Full Name],MATCH(Tabel6[[#This Row],[Employee Number]],Tabel1[Employee Number],0))</f>
        <v>Nisa Noor F. Halimah</v>
      </c>
      <c r="D72" s="13" t="s">
        <v>3188</v>
      </c>
      <c r="E72" s="14" t="s">
        <v>2850</v>
      </c>
      <c r="F72" s="14" t="s">
        <v>2704</v>
      </c>
      <c r="G72" s="14" t="s">
        <v>676</v>
      </c>
      <c r="H72" s="14" t="s">
        <v>2744</v>
      </c>
      <c r="I72" s="14">
        <f ca="1">DATEDIF(Tabel6[[#This Row],[Date of Birth]],TODAY(),"Y")</f>
        <v>13</v>
      </c>
      <c r="J72" s="14" t="s">
        <v>2727</v>
      </c>
      <c r="K72" s="14" t="s">
        <v>3379</v>
      </c>
      <c r="L72" s="14" t="s">
        <v>3320</v>
      </c>
    </row>
    <row r="73" spans="1:12" x14ac:dyDescent="0.35">
      <c r="A73" s="14">
        <f>INDEX(Tabel1[Employee Number],MATCH(Tabel6[[#This Row],[Family Card Number (KK)]],Tabel1[Family Card Number (KK)],0))</f>
        <v>202043907</v>
      </c>
      <c r="B73" s="14" t="s">
        <v>495</v>
      </c>
      <c r="C73" t="str">
        <f>INDEX(Tabel1[Full Name],MATCH(Tabel6[[#This Row],[Employee Number]],Tabel1[Employee Number],0))</f>
        <v>Dewi Sari</v>
      </c>
      <c r="D73" s="13" t="s">
        <v>3189</v>
      </c>
      <c r="E73" s="14" t="s">
        <v>2851</v>
      </c>
      <c r="F73" s="14" t="s">
        <v>2704</v>
      </c>
      <c r="G73" s="14" t="s">
        <v>676</v>
      </c>
      <c r="H73" s="14" t="s">
        <v>2852</v>
      </c>
      <c r="I73" s="14">
        <f ca="1">DATEDIF(Tabel6[[#This Row],[Date of Birth]],TODAY(),"Y")</f>
        <v>16</v>
      </c>
      <c r="J73" s="14" t="s">
        <v>2722</v>
      </c>
      <c r="K73" s="14" t="s">
        <v>3379</v>
      </c>
      <c r="L73" s="14" t="s">
        <v>3321</v>
      </c>
    </row>
    <row r="74" spans="1:12" x14ac:dyDescent="0.35">
      <c r="A74" s="14">
        <f>INDEX(Tabel1[Employee Number],MATCH(Tabel6[[#This Row],[Family Card Number (KK)]],Tabel1[Family Card Number (KK)],0))</f>
        <v>202043907</v>
      </c>
      <c r="B74" s="14" t="s">
        <v>495</v>
      </c>
      <c r="C74" t="str">
        <f>INDEX(Tabel1[Full Name],MATCH(Tabel6[[#This Row],[Employee Number]],Tabel1[Employee Number],0))</f>
        <v>Dewi Sari</v>
      </c>
      <c r="D74" s="13" t="s">
        <v>3190</v>
      </c>
      <c r="E74" s="14" t="s">
        <v>2853</v>
      </c>
      <c r="F74" s="14" t="s">
        <v>2704</v>
      </c>
      <c r="G74" s="14" t="s">
        <v>676</v>
      </c>
      <c r="H74" s="14" t="s">
        <v>2854</v>
      </c>
      <c r="I74" s="14">
        <f ca="1">DATEDIF(Tabel6[[#This Row],[Date of Birth]],TODAY(),"Y")</f>
        <v>12</v>
      </c>
      <c r="J74" s="14" t="s">
        <v>2707</v>
      </c>
      <c r="K74" s="14" t="s">
        <v>3379</v>
      </c>
      <c r="L74" s="14" t="s">
        <v>3322</v>
      </c>
    </row>
    <row r="75" spans="1:12" x14ac:dyDescent="0.35">
      <c r="A75" s="14">
        <f>INDEX(Tabel1[Employee Number],MATCH(Tabel6[[#This Row],[Family Card Number (KK)]],Tabel1[Family Card Number (KK)],0))</f>
        <v>201642668</v>
      </c>
      <c r="B75" s="14" t="s">
        <v>499</v>
      </c>
      <c r="C75" t="str">
        <f>INDEX(Tabel1[Full Name],MATCH(Tabel6[[#This Row],[Employee Number]],Tabel1[Employee Number],0))</f>
        <v>Yulia Kurniawan</v>
      </c>
      <c r="D75" s="13" t="s">
        <v>3191</v>
      </c>
      <c r="E75" s="14" t="s">
        <v>2855</v>
      </c>
      <c r="F75" s="14" t="s">
        <v>2704</v>
      </c>
      <c r="G75" s="14" t="s">
        <v>676</v>
      </c>
      <c r="H75" s="14" t="s">
        <v>2856</v>
      </c>
      <c r="I75" s="14">
        <f ca="1">DATEDIF(Tabel6[[#This Row],[Date of Birth]],TODAY(),"Y")</f>
        <v>9</v>
      </c>
      <c r="J75" s="14" t="s">
        <v>2707</v>
      </c>
      <c r="K75" s="14" t="s">
        <v>3379</v>
      </c>
      <c r="L75" s="14" t="s">
        <v>3323</v>
      </c>
    </row>
    <row r="76" spans="1:12" x14ac:dyDescent="0.35">
      <c r="A76" s="14">
        <f>INDEX(Tabel1[Employee Number],MATCH(Tabel6[[#This Row],[Family Card Number (KK)]],Tabel1[Family Card Number (KK)],0))</f>
        <v>201642668</v>
      </c>
      <c r="B76" s="14" t="s">
        <v>499</v>
      </c>
      <c r="C76" t="str">
        <f>INDEX(Tabel1[Full Name],MATCH(Tabel6[[#This Row],[Employee Number]],Tabel1[Employee Number],0))</f>
        <v>Yulia Kurniawan</v>
      </c>
      <c r="D76" s="13" t="s">
        <v>3192</v>
      </c>
      <c r="E76" s="14" t="s">
        <v>2857</v>
      </c>
      <c r="F76" s="14" t="s">
        <v>2704</v>
      </c>
      <c r="G76" s="14" t="s">
        <v>676</v>
      </c>
      <c r="H76" s="14" t="s">
        <v>2858</v>
      </c>
      <c r="I76" s="14">
        <f ca="1">DATEDIF(Tabel6[[#This Row],[Date of Birth]],TODAY(),"Y")</f>
        <v>7</v>
      </c>
      <c r="J76" s="14" t="s">
        <v>2707</v>
      </c>
      <c r="K76" s="14" t="s">
        <v>3379</v>
      </c>
      <c r="L76" s="14" t="s">
        <v>3324</v>
      </c>
    </row>
    <row r="77" spans="1:12" hidden="1" x14ac:dyDescent="0.35">
      <c r="A77" s="14">
        <f>INDEX(Tabel1[Employee Number],MATCH(Tabel6[[#This Row],[Family Card Number (KK)]],Tabel1[Family Card Number (KK)],0))</f>
        <v>202646180</v>
      </c>
      <c r="B77" s="14" t="s">
        <v>504</v>
      </c>
      <c r="C77" t="str">
        <f>INDEX(Tabel1[Full Name],MATCH(Tabel6[[#This Row],[Employee Number]],Tabel1[Employee Number],0))</f>
        <v>Andi Hidayat</v>
      </c>
      <c r="D77" s="13" t="s">
        <v>3193</v>
      </c>
      <c r="E77" s="14" t="s">
        <v>2859</v>
      </c>
      <c r="F77" s="14" t="s">
        <v>2704</v>
      </c>
      <c r="G77" s="14" t="s">
        <v>648</v>
      </c>
      <c r="H77" s="14" t="s">
        <v>2860</v>
      </c>
      <c r="I77" s="14">
        <f ca="1">DATEDIF(Tabel6[[#This Row],[Date of Birth]],TODAY(),"Y")</f>
        <v>16</v>
      </c>
      <c r="J77" s="14" t="s">
        <v>2722</v>
      </c>
      <c r="K77" s="14" t="s">
        <v>3379</v>
      </c>
      <c r="L77" s="14" t="s">
        <v>3325</v>
      </c>
    </row>
    <row r="78" spans="1:12" x14ac:dyDescent="0.35">
      <c r="A78" s="14">
        <f>INDEX(Tabel1[Employee Number],MATCH(Tabel6[[#This Row],[Family Card Number (KK)]],Tabel1[Family Card Number (KK)],0))</f>
        <v>202646180</v>
      </c>
      <c r="B78" s="14" t="s">
        <v>504</v>
      </c>
      <c r="C78" t="str">
        <f>INDEX(Tabel1[Full Name],MATCH(Tabel6[[#This Row],[Employee Number]],Tabel1[Employee Number],0))</f>
        <v>Andi Hidayat</v>
      </c>
      <c r="D78" s="13" t="s">
        <v>3194</v>
      </c>
      <c r="E78" s="14" t="s">
        <v>2861</v>
      </c>
      <c r="F78" s="14" t="s">
        <v>2704</v>
      </c>
      <c r="G78" s="14" t="s">
        <v>676</v>
      </c>
      <c r="H78" s="14" t="s">
        <v>2862</v>
      </c>
      <c r="I78" s="14">
        <f ca="1">DATEDIF(Tabel6[[#This Row],[Date of Birth]],TODAY(),"Y")</f>
        <v>12</v>
      </c>
      <c r="J78" s="14" t="s">
        <v>2707</v>
      </c>
      <c r="K78" s="14" t="s">
        <v>3379</v>
      </c>
      <c r="L78" s="14" t="s">
        <v>3326</v>
      </c>
    </row>
    <row r="79" spans="1:12" hidden="1" x14ac:dyDescent="0.35">
      <c r="A79" s="14">
        <f>INDEX(Tabel1[Employee Number],MATCH(Tabel6[[#This Row],[Family Card Number (KK)]],Tabel1[Family Card Number (KK)],0))</f>
        <v>202545846</v>
      </c>
      <c r="B79" s="14" t="s">
        <v>507</v>
      </c>
      <c r="C79" t="str">
        <f>INDEX(Tabel1[Full Name],MATCH(Tabel6[[#This Row],[Employee Number]],Tabel1[Employee Number],0))</f>
        <v>Nadia Utami</v>
      </c>
      <c r="D79" s="13" t="s">
        <v>3195</v>
      </c>
      <c r="E79" s="14" t="s">
        <v>2863</v>
      </c>
      <c r="F79" s="14" t="s">
        <v>3114</v>
      </c>
      <c r="G79" s="14" t="s">
        <v>648</v>
      </c>
      <c r="H79" s="14" t="s">
        <v>2864</v>
      </c>
      <c r="I79" s="14">
        <f ca="1">DATEDIF(Tabel6[[#This Row],[Date of Birth]],TODAY(),"Y")</f>
        <v>37</v>
      </c>
      <c r="J79" s="14" t="s">
        <v>2739</v>
      </c>
      <c r="K79" s="14" t="s">
        <v>3379</v>
      </c>
      <c r="L79" s="14" t="s">
        <v>3327</v>
      </c>
    </row>
    <row r="80" spans="1:12" x14ac:dyDescent="0.35">
      <c r="A80" s="14">
        <f>INDEX(Tabel1[Employee Number],MATCH(Tabel6[[#This Row],[Family Card Number (KK)]],Tabel1[Family Card Number (KK)],0))</f>
        <v>202043908</v>
      </c>
      <c r="B80" s="14" t="s">
        <v>509</v>
      </c>
      <c r="C80" t="str">
        <f>INDEX(Tabel1[Full Name],MATCH(Tabel6[[#This Row],[Employee Number]],Tabel1[Employee Number],0))</f>
        <v>Andi Ramadhan</v>
      </c>
      <c r="D80" s="13" t="s">
        <v>3196</v>
      </c>
      <c r="E80" s="14" t="s">
        <v>2865</v>
      </c>
      <c r="F80" s="14" t="s">
        <v>3113</v>
      </c>
      <c r="G80" s="14" t="s">
        <v>676</v>
      </c>
      <c r="H80" s="14" t="s">
        <v>2866</v>
      </c>
      <c r="I80" s="14">
        <f ca="1">DATEDIF(Tabel6[[#This Row],[Date of Birth]],TODAY(),"Y")</f>
        <v>45</v>
      </c>
      <c r="J80" s="14" t="s">
        <v>2736</v>
      </c>
      <c r="K80" s="14" t="s">
        <v>3379</v>
      </c>
      <c r="L80" s="14" t="s">
        <v>3328</v>
      </c>
    </row>
    <row r="81" spans="1:12" x14ac:dyDescent="0.35">
      <c r="A81" s="14">
        <f>INDEX(Tabel1[Employee Number],MATCH(Tabel6[[#This Row],[Family Card Number (KK)]],Tabel1[Family Card Number (KK)],0))</f>
        <v>202043908</v>
      </c>
      <c r="B81" s="14" t="s">
        <v>509</v>
      </c>
      <c r="C81" t="str">
        <f>INDEX(Tabel1[Full Name],MATCH(Tabel6[[#This Row],[Employee Number]],Tabel1[Employee Number],0))</f>
        <v>Andi Ramadhan</v>
      </c>
      <c r="D81" s="13" t="s">
        <v>3197</v>
      </c>
      <c r="E81" s="14" t="s">
        <v>2867</v>
      </c>
      <c r="F81" s="14" t="s">
        <v>2704</v>
      </c>
      <c r="G81" s="14" t="s">
        <v>676</v>
      </c>
      <c r="H81" s="14" t="s">
        <v>2868</v>
      </c>
      <c r="I81" s="14">
        <f ca="1">DATEDIF(Tabel6[[#This Row],[Date of Birth]],TODAY(),"Y")</f>
        <v>10</v>
      </c>
      <c r="J81" s="14" t="s">
        <v>2707</v>
      </c>
      <c r="K81" s="14" t="s">
        <v>3379</v>
      </c>
      <c r="L81" s="14" t="s">
        <v>3329</v>
      </c>
    </row>
    <row r="82" spans="1:12" hidden="1" x14ac:dyDescent="0.35">
      <c r="A82" s="14">
        <f>INDEX(Tabel1[Employee Number],MATCH(Tabel6[[#This Row],[Family Card Number (KK)]],Tabel1[Family Card Number (KK)],0))</f>
        <v>201742744</v>
      </c>
      <c r="B82" s="14" t="s">
        <v>514</v>
      </c>
      <c r="C82" t="str">
        <f>INDEX(Tabel1[Full Name],MATCH(Tabel6[[#This Row],[Employee Number]],Tabel1[Employee Number],0))</f>
        <v>Nadia Santoso</v>
      </c>
      <c r="D82" s="13" t="s">
        <v>3198</v>
      </c>
      <c r="E82" s="14" t="s">
        <v>2869</v>
      </c>
      <c r="F82" s="14" t="s">
        <v>3114</v>
      </c>
      <c r="G82" s="14" t="s">
        <v>648</v>
      </c>
      <c r="H82" s="14" t="s">
        <v>2870</v>
      </c>
      <c r="I82" s="14">
        <f ca="1">DATEDIF(Tabel6[[#This Row],[Date of Birth]],TODAY(),"Y")</f>
        <v>45</v>
      </c>
      <c r="J82" s="14" t="s">
        <v>2703</v>
      </c>
      <c r="K82" s="14" t="s">
        <v>3379</v>
      </c>
      <c r="L82" s="14" t="s">
        <v>3330</v>
      </c>
    </row>
    <row r="83" spans="1:12" x14ac:dyDescent="0.35">
      <c r="A83" s="14">
        <f>INDEX(Tabel1[Employee Number],MATCH(Tabel6[[#This Row],[Family Card Number (KK)]],Tabel1[Family Card Number (KK)],0))</f>
        <v>202044080</v>
      </c>
      <c r="B83" s="14" t="s">
        <v>524</v>
      </c>
      <c r="C83" t="str">
        <f>INDEX(Tabel1[Full Name],MATCH(Tabel6[[#This Row],[Employee Number]],Tabel1[Employee Number],0))</f>
        <v>Rudi Nugroho</v>
      </c>
      <c r="D83" s="13" t="s">
        <v>3199</v>
      </c>
      <c r="E83" s="14" t="s">
        <v>2871</v>
      </c>
      <c r="F83" s="14" t="s">
        <v>3113</v>
      </c>
      <c r="G83" s="14" t="s">
        <v>676</v>
      </c>
      <c r="H83" s="14" t="s">
        <v>2872</v>
      </c>
      <c r="I83" s="14">
        <f ca="1">DATEDIF(Tabel6[[#This Row],[Date of Birth]],TODAY(),"Y")</f>
        <v>36</v>
      </c>
      <c r="J83" s="14" t="s">
        <v>2711</v>
      </c>
      <c r="K83" s="14" t="s">
        <v>3379</v>
      </c>
      <c r="L83" s="14" t="s">
        <v>3331</v>
      </c>
    </row>
    <row r="84" spans="1:12" x14ac:dyDescent="0.35">
      <c r="A84" s="14">
        <f>INDEX(Tabel1[Employee Number],MATCH(Tabel6[[#This Row],[Family Card Number (KK)]],Tabel1[Family Card Number (KK)],0))</f>
        <v>201843391</v>
      </c>
      <c r="B84" s="14" t="s">
        <v>528</v>
      </c>
      <c r="C84" t="str">
        <f>INDEX(Tabel1[Full Name],MATCH(Tabel6[[#This Row],[Employee Number]],Tabel1[Employee Number],0))</f>
        <v>Bayu Saputra</v>
      </c>
      <c r="D84" s="13" t="s">
        <v>3200</v>
      </c>
      <c r="E84" s="14" t="s">
        <v>2873</v>
      </c>
      <c r="F84" s="14" t="s">
        <v>3113</v>
      </c>
      <c r="G84" s="14" t="s">
        <v>676</v>
      </c>
      <c r="H84" s="14" t="s">
        <v>2874</v>
      </c>
      <c r="I84" s="14">
        <f ca="1">DATEDIF(Tabel6[[#This Row],[Date of Birth]],TODAY(),"Y")</f>
        <v>32</v>
      </c>
      <c r="J84" s="14" t="s">
        <v>2711</v>
      </c>
      <c r="K84" s="14" t="s">
        <v>3379</v>
      </c>
      <c r="L84" s="14" t="s">
        <v>3332</v>
      </c>
    </row>
    <row r="85" spans="1:12" hidden="1" x14ac:dyDescent="0.35">
      <c r="A85" s="14">
        <f>INDEX(Tabel1[Employee Number],MATCH(Tabel6[[#This Row],[Family Card Number (KK)]],Tabel1[Family Card Number (KK)],0))</f>
        <v>201843391</v>
      </c>
      <c r="B85" s="14" t="s">
        <v>528</v>
      </c>
      <c r="C85" t="str">
        <f>INDEX(Tabel1[Full Name],MATCH(Tabel6[[#This Row],[Employee Number]],Tabel1[Employee Number],0))</f>
        <v>Bayu Saputra</v>
      </c>
      <c r="D85" s="13" t="s">
        <v>3201</v>
      </c>
      <c r="E85" s="14" t="s">
        <v>2875</v>
      </c>
      <c r="F85" s="14" t="s">
        <v>2704</v>
      </c>
      <c r="G85" s="14" t="s">
        <v>648</v>
      </c>
      <c r="H85" s="14" t="s">
        <v>2876</v>
      </c>
      <c r="I85" s="14">
        <f ca="1">DATEDIF(Tabel6[[#This Row],[Date of Birth]],TODAY(),"Y")</f>
        <v>2</v>
      </c>
      <c r="J85" s="14" t="s">
        <v>2746</v>
      </c>
      <c r="K85" s="14" t="s">
        <v>3379</v>
      </c>
      <c r="L85" s="14" t="s">
        <v>3333</v>
      </c>
    </row>
    <row r="86" spans="1:12" hidden="1" x14ac:dyDescent="0.35">
      <c r="A86" s="14">
        <f>INDEX(Tabel1[Employee Number],MATCH(Tabel6[[#This Row],[Family Card Number (KK)]],Tabel1[Family Card Number (KK)],0))</f>
        <v>202043929</v>
      </c>
      <c r="B86" s="14" t="s">
        <v>530</v>
      </c>
      <c r="C86" t="str">
        <f>INDEX(Tabel1[Full Name],MATCH(Tabel6[[#This Row],[Employee Number]],Tabel1[Employee Number],0))</f>
        <v>Aulia Permata</v>
      </c>
      <c r="D86" s="13" t="s">
        <v>3202</v>
      </c>
      <c r="E86" s="14" t="s">
        <v>2877</v>
      </c>
      <c r="F86" s="14" t="s">
        <v>3114</v>
      </c>
      <c r="G86" s="14" t="s">
        <v>648</v>
      </c>
      <c r="H86" s="14" t="s">
        <v>2878</v>
      </c>
      <c r="I86" s="14">
        <f ca="1">DATEDIF(Tabel6[[#This Row],[Date of Birth]],TODAY(),"Y")</f>
        <v>41</v>
      </c>
      <c r="J86" s="14" t="s">
        <v>2703</v>
      </c>
      <c r="K86" s="14" t="s">
        <v>3379</v>
      </c>
      <c r="L86" s="14" t="s">
        <v>3334</v>
      </c>
    </row>
    <row r="87" spans="1:12" hidden="1" x14ac:dyDescent="0.35">
      <c r="A87" s="14">
        <f>INDEX(Tabel1[Employee Number],MATCH(Tabel6[[#This Row],[Family Card Number (KK)]],Tabel1[Family Card Number (KK)],0))</f>
        <v>202244911</v>
      </c>
      <c r="B87" s="14" t="s">
        <v>531</v>
      </c>
      <c r="C87" t="str">
        <f>INDEX(Tabel1[Full Name],MATCH(Tabel6[[#This Row],[Employee Number]],Tabel1[Employee Number],0))</f>
        <v>Monica Putri Ayu</v>
      </c>
      <c r="D87" s="13" t="s">
        <v>3203</v>
      </c>
      <c r="E87" s="14" t="s">
        <v>2879</v>
      </c>
      <c r="F87" s="14" t="s">
        <v>3114</v>
      </c>
      <c r="G87" s="14" t="s">
        <v>648</v>
      </c>
      <c r="H87" s="14" t="s">
        <v>2880</v>
      </c>
      <c r="I87" s="14">
        <f ca="1">DATEDIF(Tabel6[[#This Row],[Date of Birth]],TODAY(),"Y")</f>
        <v>44</v>
      </c>
      <c r="J87" s="14" t="s">
        <v>2736</v>
      </c>
      <c r="K87" s="14" t="s">
        <v>3379</v>
      </c>
      <c r="L87" s="14" t="s">
        <v>3335</v>
      </c>
    </row>
    <row r="88" spans="1:12" x14ac:dyDescent="0.35">
      <c r="A88" s="14">
        <f>INDEX(Tabel1[Employee Number],MATCH(Tabel6[[#This Row],[Family Card Number (KK)]],Tabel1[Family Card Number (KK)],0))</f>
        <v>201943597</v>
      </c>
      <c r="B88" s="14" t="s">
        <v>627</v>
      </c>
      <c r="C88" t="str">
        <f>INDEX(Tabel1[Full Name],MATCH(Tabel6[[#This Row],[Employee Number]],Tabel1[Employee Number],0))</f>
        <v>Rizky Santoso</v>
      </c>
      <c r="D88" s="13" t="s">
        <v>3204</v>
      </c>
      <c r="E88" s="14" t="s">
        <v>2881</v>
      </c>
      <c r="F88" s="14" t="s">
        <v>3113</v>
      </c>
      <c r="G88" s="14" t="s">
        <v>676</v>
      </c>
      <c r="H88" s="14" t="s">
        <v>2882</v>
      </c>
      <c r="I88" s="14">
        <f ca="1">DATEDIF(Tabel6[[#This Row],[Date of Birth]],TODAY(),"Y")</f>
        <v>29</v>
      </c>
      <c r="J88" s="14" t="s">
        <v>2711</v>
      </c>
      <c r="K88" s="14" t="s">
        <v>3379</v>
      </c>
      <c r="L88" s="14" t="s">
        <v>3336</v>
      </c>
    </row>
    <row r="89" spans="1:12" x14ac:dyDescent="0.35">
      <c r="A89" s="14">
        <f>INDEX(Tabel1[Employee Number],MATCH(Tabel6[[#This Row],[Family Card Number (KK)]],Tabel1[Family Card Number (KK)],0))</f>
        <v>201943597</v>
      </c>
      <c r="B89" s="14" t="s">
        <v>627</v>
      </c>
      <c r="C89" t="str">
        <f>INDEX(Tabel1[Full Name],MATCH(Tabel6[[#This Row],[Employee Number]],Tabel1[Employee Number],0))</f>
        <v>Rizky Santoso</v>
      </c>
      <c r="D89" s="13" t="s">
        <v>3205</v>
      </c>
      <c r="E89" s="14" t="s">
        <v>2883</v>
      </c>
      <c r="F89" s="14" t="s">
        <v>2704</v>
      </c>
      <c r="G89" s="14" t="s">
        <v>676</v>
      </c>
      <c r="H89" s="14" t="s">
        <v>2884</v>
      </c>
      <c r="I89" s="14">
        <f ca="1">DATEDIF(Tabel6[[#This Row],[Date of Birth]],TODAY(),"Y")</f>
        <v>9</v>
      </c>
      <c r="J89" s="14" t="s">
        <v>2707</v>
      </c>
      <c r="K89" s="14" t="s">
        <v>3379</v>
      </c>
      <c r="L89" s="14" t="s">
        <v>3337</v>
      </c>
    </row>
    <row r="90" spans="1:12" x14ac:dyDescent="0.35">
      <c r="A90" s="14">
        <f>INDEX(Tabel1[Employee Number],MATCH(Tabel6[[#This Row],[Family Card Number (KK)]],Tabel1[Family Card Number (KK)],0))</f>
        <v>202044146</v>
      </c>
      <c r="B90" s="14" t="s">
        <v>537</v>
      </c>
      <c r="C90" t="str">
        <f>INDEX(Tabel1[Full Name],MATCH(Tabel6[[#This Row],[Employee Number]],Tabel1[Employee Number],0))</f>
        <v>Dedi Hidayat</v>
      </c>
      <c r="D90" s="13" t="s">
        <v>3206</v>
      </c>
      <c r="E90" s="14" t="s">
        <v>2885</v>
      </c>
      <c r="F90" s="14" t="s">
        <v>3113</v>
      </c>
      <c r="G90" s="14" t="s">
        <v>676</v>
      </c>
      <c r="H90" s="14" t="s">
        <v>2886</v>
      </c>
      <c r="I90" s="14">
        <f ca="1">DATEDIF(Tabel6[[#This Row],[Date of Birth]],TODAY(),"Y")</f>
        <v>43</v>
      </c>
      <c r="J90" s="14" t="s">
        <v>2803</v>
      </c>
      <c r="K90" s="14" t="s">
        <v>3379</v>
      </c>
      <c r="L90" s="14" t="s">
        <v>3338</v>
      </c>
    </row>
    <row r="91" spans="1:12" hidden="1" x14ac:dyDescent="0.35">
      <c r="A91" s="14">
        <f>INDEX(Tabel1[Employee Number],MATCH(Tabel6[[#This Row],[Family Card Number (KK)]],Tabel1[Family Card Number (KK)],0))</f>
        <v>202044146</v>
      </c>
      <c r="B91" s="14" t="s">
        <v>537</v>
      </c>
      <c r="C91" t="str">
        <f>INDEX(Tabel1[Full Name],MATCH(Tabel6[[#This Row],[Employee Number]],Tabel1[Employee Number],0))</f>
        <v>Dedi Hidayat</v>
      </c>
      <c r="D91" s="13" t="s">
        <v>3207</v>
      </c>
      <c r="E91" s="14" t="s">
        <v>2887</v>
      </c>
      <c r="F91" s="14" t="s">
        <v>2704</v>
      </c>
      <c r="G91" s="14" t="s">
        <v>648</v>
      </c>
      <c r="H91" s="14" t="s">
        <v>2888</v>
      </c>
      <c r="I91" s="14">
        <f ca="1">DATEDIF(Tabel6[[#This Row],[Date of Birth]],TODAY(),"Y")</f>
        <v>10</v>
      </c>
      <c r="J91" s="14" t="s">
        <v>2707</v>
      </c>
      <c r="K91" s="14" t="s">
        <v>3379</v>
      </c>
      <c r="L91" s="14" t="s">
        <v>3339</v>
      </c>
    </row>
    <row r="92" spans="1:12" hidden="1" x14ac:dyDescent="0.35">
      <c r="A92" s="14">
        <f>INDEX(Tabel1[Employee Number],MATCH(Tabel6[[#This Row],[Family Card Number (KK)]],Tabel1[Family Card Number (KK)],0))</f>
        <v>202044146</v>
      </c>
      <c r="B92" s="14" t="s">
        <v>537</v>
      </c>
      <c r="C92" t="str">
        <f>INDEX(Tabel1[Full Name],MATCH(Tabel6[[#This Row],[Employee Number]],Tabel1[Employee Number],0))</f>
        <v>Dedi Hidayat</v>
      </c>
      <c r="D92" s="13" t="s">
        <v>3208</v>
      </c>
      <c r="E92" s="14" t="s">
        <v>2889</v>
      </c>
      <c r="F92" s="14" t="s">
        <v>2704</v>
      </c>
      <c r="G92" s="14" t="s">
        <v>648</v>
      </c>
      <c r="H92" s="14" t="s">
        <v>2890</v>
      </c>
      <c r="I92" s="14">
        <f ca="1">DATEDIF(Tabel6[[#This Row],[Date of Birth]],TODAY(),"Y")</f>
        <v>5</v>
      </c>
      <c r="J92" s="14" t="s">
        <v>2745</v>
      </c>
      <c r="K92" s="14" t="s">
        <v>3379</v>
      </c>
      <c r="L92" s="14" t="s">
        <v>3340</v>
      </c>
    </row>
    <row r="93" spans="1:12" x14ac:dyDescent="0.35">
      <c r="A93" s="14">
        <f>INDEX(Tabel1[Employee Number],MATCH(Tabel6[[#This Row],[Family Card Number (KK)]],Tabel1[Family Card Number (KK)],0))</f>
        <v>202144538</v>
      </c>
      <c r="B93" s="14" t="s">
        <v>539</v>
      </c>
      <c r="C93" t="str">
        <f>INDEX(Tabel1[Full Name],MATCH(Tabel6[[#This Row],[Employee Number]],Tabel1[Employee Number],0))</f>
        <v>Rizky Santoso</v>
      </c>
      <c r="D93" s="13" t="s">
        <v>3209</v>
      </c>
      <c r="E93" s="14" t="s">
        <v>2891</v>
      </c>
      <c r="F93" s="14" t="s">
        <v>3113</v>
      </c>
      <c r="G93" s="14" t="s">
        <v>676</v>
      </c>
      <c r="H93" s="14" t="s">
        <v>2892</v>
      </c>
      <c r="I93" s="14">
        <f ca="1">DATEDIF(Tabel6[[#This Row],[Date of Birth]],TODAY(),"Y")</f>
        <v>37</v>
      </c>
      <c r="J93" s="14" t="s">
        <v>2711</v>
      </c>
      <c r="K93" s="14" t="s">
        <v>3379</v>
      </c>
      <c r="L93" s="14" t="s">
        <v>3341</v>
      </c>
    </row>
    <row r="94" spans="1:12" x14ac:dyDescent="0.35">
      <c r="A94" s="14">
        <f>INDEX(Tabel1[Employee Number],MATCH(Tabel6[[#This Row],[Family Card Number (KK)]],Tabel1[Family Card Number (KK)],0))</f>
        <v>202144538</v>
      </c>
      <c r="B94" s="14" t="s">
        <v>539</v>
      </c>
      <c r="C94" t="str">
        <f>INDEX(Tabel1[Full Name],MATCH(Tabel6[[#This Row],[Employee Number]],Tabel1[Employee Number],0))</f>
        <v>Rizky Santoso</v>
      </c>
      <c r="D94" s="13" t="s">
        <v>3210</v>
      </c>
      <c r="E94" s="14" t="s">
        <v>2893</v>
      </c>
      <c r="F94" s="14" t="s">
        <v>2704</v>
      </c>
      <c r="G94" s="14" t="s">
        <v>676</v>
      </c>
      <c r="H94" s="14" t="s">
        <v>2894</v>
      </c>
      <c r="I94" s="14">
        <f ca="1">DATEDIF(Tabel6[[#This Row],[Date of Birth]],TODAY(),"Y")</f>
        <v>15</v>
      </c>
      <c r="J94" s="14" t="s">
        <v>2727</v>
      </c>
      <c r="K94" s="14" t="s">
        <v>3379</v>
      </c>
      <c r="L94" s="14" t="s">
        <v>3342</v>
      </c>
    </row>
    <row r="95" spans="1:12" x14ac:dyDescent="0.35">
      <c r="A95" s="14">
        <f>INDEX(Tabel1[Employee Number],MATCH(Tabel6[[#This Row],[Family Card Number (KK)]],Tabel1[Family Card Number (KK)],0))</f>
        <v>202144538</v>
      </c>
      <c r="B95" s="14" t="s">
        <v>539</v>
      </c>
      <c r="C95" t="str">
        <f>INDEX(Tabel1[Full Name],MATCH(Tabel6[[#This Row],[Employee Number]],Tabel1[Employee Number],0))</f>
        <v>Rizky Santoso</v>
      </c>
      <c r="D95" s="13" t="s">
        <v>3211</v>
      </c>
      <c r="E95" s="14" t="s">
        <v>2895</v>
      </c>
      <c r="F95" s="14" t="s">
        <v>2704</v>
      </c>
      <c r="G95" s="14" t="s">
        <v>676</v>
      </c>
      <c r="H95" s="14" t="s">
        <v>2896</v>
      </c>
      <c r="I95" s="14">
        <f ca="1">DATEDIF(Tabel6[[#This Row],[Date of Birth]],TODAY(),"Y")</f>
        <v>11</v>
      </c>
      <c r="J95" s="14" t="s">
        <v>2707</v>
      </c>
      <c r="K95" s="14" t="s">
        <v>3379</v>
      </c>
      <c r="L95" s="14" t="s">
        <v>3343</v>
      </c>
    </row>
    <row r="96" spans="1:12" hidden="1" x14ac:dyDescent="0.35">
      <c r="A96" s="14">
        <f>INDEX(Tabel1[Employee Number],MATCH(Tabel6[[#This Row],[Family Card Number (KK)]],Tabel1[Family Card Number (KK)],0))</f>
        <v>202244562</v>
      </c>
      <c r="B96" s="14" t="s">
        <v>397</v>
      </c>
      <c r="C96" t="str">
        <f>INDEX(Tabel1[Full Name],MATCH(Tabel6[[#This Row],[Employee Number]],Tabel1[Employee Number],0))</f>
        <v>Indah Permata</v>
      </c>
      <c r="D96" s="13" t="s">
        <v>3212</v>
      </c>
      <c r="E96" s="14" t="s">
        <v>2897</v>
      </c>
      <c r="F96" s="14" t="s">
        <v>3114</v>
      </c>
      <c r="G96" s="14" t="s">
        <v>648</v>
      </c>
      <c r="H96" s="14" t="s">
        <v>2898</v>
      </c>
      <c r="I96" s="14">
        <f ca="1">DATEDIF(Tabel6[[#This Row],[Date of Birth]],TODAY(),"Y")</f>
        <v>40</v>
      </c>
      <c r="J96" s="14" t="s">
        <v>2703</v>
      </c>
      <c r="K96" s="14" t="s">
        <v>3379</v>
      </c>
      <c r="L96" s="14" t="s">
        <v>3344</v>
      </c>
    </row>
    <row r="97" spans="1:12" x14ac:dyDescent="0.35">
      <c r="A97" s="14">
        <f>INDEX(Tabel1[Employee Number],MATCH(Tabel6[[#This Row],[Family Card Number (KK)]],Tabel1[Family Card Number (KK)],0))</f>
        <v>201943744</v>
      </c>
      <c r="B97" s="14" t="s">
        <v>545</v>
      </c>
      <c r="C97" t="str">
        <f>INDEX(Tabel1[Full Name],MATCH(Tabel6[[#This Row],[Employee Number]],Tabel1[Employee Number],0))</f>
        <v>Yusuf Saputra</v>
      </c>
      <c r="D97" s="13" t="s">
        <v>3213</v>
      </c>
      <c r="E97" s="14" t="s">
        <v>2899</v>
      </c>
      <c r="F97" s="14" t="s">
        <v>3113</v>
      </c>
      <c r="G97" s="14" t="s">
        <v>676</v>
      </c>
      <c r="H97" s="14" t="s">
        <v>2900</v>
      </c>
      <c r="I97" s="14">
        <f ca="1">DATEDIF(Tabel6[[#This Row],[Date of Birth]],TODAY(),"Y")</f>
        <v>51</v>
      </c>
      <c r="J97" s="14" t="s">
        <v>2736</v>
      </c>
      <c r="K97" s="14" t="s">
        <v>3379</v>
      </c>
      <c r="L97" s="14" t="s">
        <v>3345</v>
      </c>
    </row>
    <row r="98" spans="1:12" hidden="1" x14ac:dyDescent="0.35">
      <c r="A98" s="14">
        <f>INDEX(Tabel1[Employee Number],MATCH(Tabel6[[#This Row],[Family Card Number (KK)]],Tabel1[Family Card Number (KK)],0))</f>
        <v>201943744</v>
      </c>
      <c r="B98" s="14" t="s">
        <v>545</v>
      </c>
      <c r="C98" t="str">
        <f>INDEX(Tabel1[Full Name],MATCH(Tabel6[[#This Row],[Employee Number]],Tabel1[Employee Number],0))</f>
        <v>Yusuf Saputra</v>
      </c>
      <c r="D98" s="13" t="s">
        <v>3214</v>
      </c>
      <c r="E98" s="14" t="s">
        <v>2901</v>
      </c>
      <c r="F98" s="14" t="s">
        <v>2704</v>
      </c>
      <c r="G98" s="14" t="s">
        <v>648</v>
      </c>
      <c r="H98" s="14" t="s">
        <v>2902</v>
      </c>
      <c r="I98" s="14">
        <f ca="1">DATEDIF(Tabel6[[#This Row],[Date of Birth]],TODAY(),"Y")</f>
        <v>17</v>
      </c>
      <c r="J98" s="14" t="s">
        <v>2722</v>
      </c>
      <c r="K98" s="14" t="s">
        <v>3379</v>
      </c>
      <c r="L98" s="14" t="s">
        <v>3346</v>
      </c>
    </row>
    <row r="99" spans="1:12" x14ac:dyDescent="0.35">
      <c r="A99" s="14">
        <f>INDEX(Tabel1[Employee Number],MATCH(Tabel6[[#This Row],[Family Card Number (KK)]],Tabel1[Family Card Number (KK)],0))</f>
        <v>202345114</v>
      </c>
      <c r="B99" s="14" t="s">
        <v>548</v>
      </c>
      <c r="C99" t="str">
        <f>INDEX(Tabel1[Full Name],MATCH(Tabel6[[#This Row],[Employee Number]],Tabel1[Employee Number],0))</f>
        <v>Rahmat Wijaya</v>
      </c>
      <c r="D99" s="13" t="s">
        <v>3215</v>
      </c>
      <c r="E99" s="14" t="s">
        <v>2907</v>
      </c>
      <c r="F99" s="14" t="s">
        <v>3113</v>
      </c>
      <c r="G99" s="14" t="s">
        <v>676</v>
      </c>
      <c r="H99" s="14" t="s">
        <v>2908</v>
      </c>
      <c r="I99" s="14">
        <f ca="1">DATEDIF(Tabel6[[#This Row],[Date of Birth]],TODAY(),"Y")</f>
        <v>42</v>
      </c>
      <c r="J99" s="14" t="s">
        <v>2711</v>
      </c>
      <c r="K99" s="14" t="s">
        <v>3379</v>
      </c>
      <c r="L99" s="14" t="s">
        <v>3347</v>
      </c>
    </row>
    <row r="100" spans="1:12" hidden="1" x14ac:dyDescent="0.35">
      <c r="A100" s="14">
        <f>INDEX(Tabel1[Employee Number],MATCH(Tabel6[[#This Row],[Family Card Number (KK)]],Tabel1[Family Card Number (KK)],0))</f>
        <v>202345114</v>
      </c>
      <c r="B100" s="14" t="s">
        <v>548</v>
      </c>
      <c r="C100" t="str">
        <f>INDEX(Tabel1[Full Name],MATCH(Tabel6[[#This Row],[Employee Number]],Tabel1[Employee Number],0))</f>
        <v>Rahmat Wijaya</v>
      </c>
      <c r="D100" s="13" t="s">
        <v>3216</v>
      </c>
      <c r="E100" s="14" t="s">
        <v>2909</v>
      </c>
      <c r="F100" s="14" t="s">
        <v>2704</v>
      </c>
      <c r="G100" s="14" t="s">
        <v>648</v>
      </c>
      <c r="H100" s="14" t="s">
        <v>2910</v>
      </c>
      <c r="I100" s="14">
        <f ca="1">DATEDIF(Tabel6[[#This Row],[Date of Birth]],TODAY(),"Y")</f>
        <v>16</v>
      </c>
      <c r="J100" s="14" t="s">
        <v>2722</v>
      </c>
      <c r="K100" s="14" t="s">
        <v>3379</v>
      </c>
      <c r="L100" s="14" t="s">
        <v>3348</v>
      </c>
    </row>
    <row r="101" spans="1:12" hidden="1" x14ac:dyDescent="0.35">
      <c r="A101" s="14">
        <f>INDEX(Tabel1[Employee Number],MATCH(Tabel6[[#This Row],[Family Card Number (KK)]],Tabel1[Family Card Number (KK)],0))</f>
        <v>202345114</v>
      </c>
      <c r="B101" s="14" t="s">
        <v>548</v>
      </c>
      <c r="C101" t="str">
        <f>INDEX(Tabel1[Full Name],MATCH(Tabel6[[#This Row],[Employee Number]],Tabel1[Employee Number],0))</f>
        <v>Rahmat Wijaya</v>
      </c>
      <c r="D101" s="13" t="s">
        <v>3217</v>
      </c>
      <c r="E101" s="14" t="s">
        <v>2911</v>
      </c>
      <c r="F101" s="14" t="s">
        <v>2704</v>
      </c>
      <c r="G101" s="14" t="s">
        <v>648</v>
      </c>
      <c r="H101" s="14" t="s">
        <v>2912</v>
      </c>
      <c r="I101" s="14">
        <f ca="1">DATEDIF(Tabel6[[#This Row],[Date of Birth]],TODAY(),"Y")</f>
        <v>12</v>
      </c>
      <c r="J101" s="14" t="s">
        <v>2707</v>
      </c>
      <c r="K101" s="14" t="s">
        <v>3379</v>
      </c>
      <c r="L101" s="14" t="s">
        <v>3349</v>
      </c>
    </row>
    <row r="102" spans="1:12" x14ac:dyDescent="0.35">
      <c r="A102" s="14">
        <f>INDEX(Tabel1[Employee Number],MATCH(Tabel6[[#This Row],[Family Card Number (KK)]],Tabel1[Family Card Number (KK)],0))</f>
        <v>202144365</v>
      </c>
      <c r="B102" s="14" t="s">
        <v>552</v>
      </c>
      <c r="C102" t="str">
        <f>INDEX(Tabel1[Full Name],MATCH(Tabel6[[#This Row],[Employee Number]],Tabel1[Employee Number],0))</f>
        <v>Aulia Pratama</v>
      </c>
      <c r="D102" s="13" t="s">
        <v>3218</v>
      </c>
      <c r="E102" s="14" t="s">
        <v>2913</v>
      </c>
      <c r="F102" s="14" t="s">
        <v>3113</v>
      </c>
      <c r="G102" s="14" t="s">
        <v>676</v>
      </c>
      <c r="H102" s="14" t="s">
        <v>2914</v>
      </c>
      <c r="I102" s="14">
        <f ca="1">DATEDIF(Tabel6[[#This Row],[Date of Birth]],TODAY(),"Y")</f>
        <v>27</v>
      </c>
      <c r="J102" s="14" t="s">
        <v>2711</v>
      </c>
      <c r="K102" s="14" t="s">
        <v>3379</v>
      </c>
      <c r="L102" s="14" t="s">
        <v>3350</v>
      </c>
    </row>
    <row r="103" spans="1:12" hidden="1" x14ac:dyDescent="0.35">
      <c r="A103" s="14">
        <f>INDEX(Tabel1[Employee Number],MATCH(Tabel6[[#This Row],[Family Card Number (KK)]],Tabel1[Family Card Number (KK)],0))</f>
        <v>202144365</v>
      </c>
      <c r="B103" s="14" t="s">
        <v>552</v>
      </c>
      <c r="C103" t="str">
        <f>INDEX(Tabel1[Full Name],MATCH(Tabel6[[#This Row],[Employee Number]],Tabel1[Employee Number],0))</f>
        <v>Aulia Pratama</v>
      </c>
      <c r="D103" s="13" t="s">
        <v>3219</v>
      </c>
      <c r="E103" s="14" t="s">
        <v>2917</v>
      </c>
      <c r="F103" s="14" t="s">
        <v>3114</v>
      </c>
      <c r="G103" s="14" t="s">
        <v>648</v>
      </c>
      <c r="H103" s="14" t="s">
        <v>2918</v>
      </c>
      <c r="I103" s="14">
        <f ca="1">DATEDIF(Tabel6[[#This Row],[Date of Birth]],TODAY(),"Y")</f>
        <v>42</v>
      </c>
      <c r="J103" s="14" t="s">
        <v>2716</v>
      </c>
      <c r="K103" s="14" t="s">
        <v>3379</v>
      </c>
      <c r="L103" s="14" t="s">
        <v>3351</v>
      </c>
    </row>
    <row r="104" spans="1:12" x14ac:dyDescent="0.35">
      <c r="A104" s="14">
        <f>INDEX(Tabel1[Employee Number],MATCH(Tabel6[[#This Row],[Family Card Number (KK)]],Tabel1[Family Card Number (KK)],0))</f>
        <v>202144365</v>
      </c>
      <c r="B104" s="14" t="s">
        <v>552</v>
      </c>
      <c r="C104" t="str">
        <f>INDEX(Tabel1[Full Name],MATCH(Tabel6[[#This Row],[Employee Number]],Tabel1[Employee Number],0))</f>
        <v>Aulia Pratama</v>
      </c>
      <c r="D104" s="13" t="s">
        <v>3220</v>
      </c>
      <c r="E104" s="14" t="s">
        <v>2915</v>
      </c>
      <c r="F104" s="14" t="s">
        <v>2704</v>
      </c>
      <c r="G104" s="14" t="s">
        <v>676</v>
      </c>
      <c r="H104" s="14" t="s">
        <v>2916</v>
      </c>
      <c r="I104" s="14">
        <f ca="1">DATEDIF(Tabel6[[#This Row],[Date of Birth]],TODAY(),"Y")</f>
        <v>3</v>
      </c>
      <c r="J104" s="14" t="s">
        <v>2746</v>
      </c>
      <c r="K104" s="14" t="s">
        <v>3379</v>
      </c>
      <c r="L104" s="14" t="s">
        <v>3352</v>
      </c>
    </row>
    <row r="105" spans="1:12" x14ac:dyDescent="0.35">
      <c r="A105" s="14">
        <f>INDEX(Tabel1[Employee Number],MATCH(Tabel6[[#This Row],[Family Card Number (KK)]],Tabel1[Family Card Number (KK)],0))</f>
        <v>202043848</v>
      </c>
      <c r="B105" s="14" t="s">
        <v>559</v>
      </c>
      <c r="C105" t="str">
        <f>INDEX(Tabel1[Full Name],MATCH(Tabel6[[#This Row],[Employee Number]],Tabel1[Employee Number],0))</f>
        <v>Fajar Hidayat</v>
      </c>
      <c r="D105" s="13" t="s">
        <v>3221</v>
      </c>
      <c r="E105" s="14" t="s">
        <v>2919</v>
      </c>
      <c r="F105" s="14" t="s">
        <v>3113</v>
      </c>
      <c r="G105" s="14" t="s">
        <v>676</v>
      </c>
      <c r="H105" s="14" t="s">
        <v>2920</v>
      </c>
      <c r="I105" s="14">
        <f ca="1">DATEDIF(Tabel6[[#This Row],[Date of Birth]],TODAY(),"Y")</f>
        <v>52</v>
      </c>
      <c r="J105" s="14" t="s">
        <v>2711</v>
      </c>
      <c r="K105" s="14" t="s">
        <v>3379</v>
      </c>
      <c r="L105" s="14" t="s">
        <v>3353</v>
      </c>
    </row>
    <row r="106" spans="1:12" hidden="1" x14ac:dyDescent="0.35">
      <c r="A106" s="14">
        <f>INDEX(Tabel1[Employee Number],MATCH(Tabel6[[#This Row],[Family Card Number (KK)]],Tabel1[Family Card Number (KK)],0))</f>
        <v>202043848</v>
      </c>
      <c r="B106" s="14" t="s">
        <v>559</v>
      </c>
      <c r="C106" t="str">
        <f>INDEX(Tabel1[Full Name],MATCH(Tabel6[[#This Row],[Employee Number]],Tabel1[Employee Number],0))</f>
        <v>Fajar Hidayat</v>
      </c>
      <c r="D106" s="13" t="s">
        <v>3222</v>
      </c>
      <c r="E106" s="14" t="s">
        <v>2921</v>
      </c>
      <c r="F106" s="14" t="s">
        <v>2704</v>
      </c>
      <c r="G106" s="14" t="s">
        <v>648</v>
      </c>
      <c r="H106" s="14" t="s">
        <v>2922</v>
      </c>
      <c r="I106" s="14">
        <f ca="1">DATEDIF(Tabel6[[#This Row],[Date of Birth]],TODAY(),"Y")</f>
        <v>13</v>
      </c>
      <c r="J106" s="14" t="s">
        <v>2727</v>
      </c>
      <c r="K106" s="14" t="s">
        <v>3379</v>
      </c>
      <c r="L106" s="14" t="s">
        <v>3354</v>
      </c>
    </row>
    <row r="107" spans="1:12" hidden="1" x14ac:dyDescent="0.35">
      <c r="A107" s="14">
        <f>INDEX(Tabel1[Employee Number],MATCH(Tabel6[[#This Row],[Family Card Number (KK)]],Tabel1[Family Card Number (KK)],0))</f>
        <v>201642732</v>
      </c>
      <c r="B107" s="14" t="s">
        <v>569</v>
      </c>
      <c r="C107" t="str">
        <f>INDEX(Tabel1[Full Name],MATCH(Tabel6[[#This Row],[Employee Number]],Tabel1[Employee Number],0))</f>
        <v>Junaedi</v>
      </c>
      <c r="D107" s="13" t="s">
        <v>3223</v>
      </c>
      <c r="E107" s="14" t="s">
        <v>2923</v>
      </c>
      <c r="F107" s="14" t="s">
        <v>2704</v>
      </c>
      <c r="G107" s="14" t="s">
        <v>648</v>
      </c>
      <c r="H107" s="14" t="s">
        <v>2924</v>
      </c>
      <c r="I107" s="14">
        <f ca="1">DATEDIF(Tabel6[[#This Row],[Date of Birth]],TODAY(),"Y")</f>
        <v>15</v>
      </c>
      <c r="J107" s="14" t="s">
        <v>2727</v>
      </c>
      <c r="K107" s="14" t="s">
        <v>3379</v>
      </c>
      <c r="L107" s="14" t="s">
        <v>3355</v>
      </c>
    </row>
    <row r="108" spans="1:12" x14ac:dyDescent="0.35">
      <c r="A108" s="14">
        <f>INDEX(Tabel1[Employee Number],MATCH(Tabel6[[#This Row],[Family Card Number (KK)]],Tabel1[Family Card Number (KK)],0))</f>
        <v>201642732</v>
      </c>
      <c r="B108" s="14" t="s">
        <v>569</v>
      </c>
      <c r="C108" t="str">
        <f>INDEX(Tabel1[Full Name],MATCH(Tabel6[[#This Row],[Employee Number]],Tabel1[Employee Number],0))</f>
        <v>Junaedi</v>
      </c>
      <c r="D108" s="13" t="s">
        <v>3224</v>
      </c>
      <c r="E108" s="14" t="s">
        <v>2925</v>
      </c>
      <c r="F108" s="14" t="s">
        <v>2704</v>
      </c>
      <c r="G108" s="14" t="s">
        <v>676</v>
      </c>
      <c r="H108" s="14" t="s">
        <v>2926</v>
      </c>
      <c r="I108" s="14">
        <f ca="1">DATEDIF(Tabel6[[#This Row],[Date of Birth]],TODAY(),"Y")</f>
        <v>13</v>
      </c>
      <c r="J108" s="14" t="s">
        <v>2727</v>
      </c>
      <c r="K108" s="14" t="s">
        <v>3379</v>
      </c>
      <c r="L108" s="14" t="s">
        <v>3356</v>
      </c>
    </row>
    <row r="109" spans="1:12" hidden="1" x14ac:dyDescent="0.35">
      <c r="A109" s="14">
        <f>INDEX(Tabel1[Employee Number],MATCH(Tabel6[[#This Row],[Family Card Number (KK)]],Tabel1[Family Card Number (KK)],0))</f>
        <v>202043906</v>
      </c>
      <c r="B109" s="14" t="s">
        <v>577</v>
      </c>
      <c r="C109" t="str">
        <f>INDEX(Tabel1[Full Name],MATCH(Tabel6[[#This Row],[Employee Number]],Tabel1[Employee Number],0))</f>
        <v>Yulia Lestari</v>
      </c>
      <c r="D109" s="13" t="s">
        <v>3225</v>
      </c>
      <c r="E109" s="14" t="s">
        <v>2927</v>
      </c>
      <c r="F109" s="14" t="s">
        <v>3114</v>
      </c>
      <c r="G109" s="14" t="s">
        <v>648</v>
      </c>
      <c r="H109" s="14" t="s">
        <v>2928</v>
      </c>
      <c r="I109" s="14">
        <f ca="1">DATEDIF(Tabel6[[#This Row],[Date of Birth]],TODAY(),"Y")</f>
        <v>41</v>
      </c>
      <c r="J109" s="14" t="s">
        <v>2716</v>
      </c>
      <c r="K109" s="14" t="s">
        <v>3379</v>
      </c>
      <c r="L109" s="14" t="s">
        <v>3357</v>
      </c>
    </row>
    <row r="110" spans="1:12" x14ac:dyDescent="0.35">
      <c r="A110" s="14">
        <f>INDEX(Tabel1[Employee Number],MATCH(Tabel6[[#This Row],[Family Card Number (KK)]],Tabel1[Family Card Number (KK)],0))</f>
        <v>202043868</v>
      </c>
      <c r="B110" s="14" t="s">
        <v>578</v>
      </c>
      <c r="C110" t="str">
        <f>INDEX(Tabel1[Full Name],MATCH(Tabel6[[#This Row],[Employee Number]],Tabel1[Employee Number],0))</f>
        <v>Dea Karunisa</v>
      </c>
      <c r="D110" s="13" t="s">
        <v>3226</v>
      </c>
      <c r="E110" s="14" t="s">
        <v>2929</v>
      </c>
      <c r="F110" s="14" t="s">
        <v>3113</v>
      </c>
      <c r="G110" s="14" t="s">
        <v>676</v>
      </c>
      <c r="H110" s="14" t="s">
        <v>2930</v>
      </c>
      <c r="I110" s="14">
        <f ca="1">DATEDIF(Tabel6[[#This Row],[Date of Birth]],TODAY(),"Y")</f>
        <v>45</v>
      </c>
      <c r="J110" s="14" t="s">
        <v>2736</v>
      </c>
      <c r="K110" s="14" t="s">
        <v>3379</v>
      </c>
      <c r="L110" s="14" t="s">
        <v>3358</v>
      </c>
    </row>
    <row r="111" spans="1:12" hidden="1" x14ac:dyDescent="0.35">
      <c r="A111" s="14">
        <f>INDEX(Tabel1[Employee Number],MATCH(Tabel6[[#This Row],[Family Card Number (KK)]],Tabel1[Family Card Number (KK)],0))</f>
        <v>202043868</v>
      </c>
      <c r="B111" s="14" t="s">
        <v>578</v>
      </c>
      <c r="C111" t="str">
        <f>INDEX(Tabel1[Full Name],MATCH(Tabel6[[#This Row],[Employee Number]],Tabel1[Employee Number],0))</f>
        <v>Dea Karunisa</v>
      </c>
      <c r="D111" s="13" t="s">
        <v>3227</v>
      </c>
      <c r="E111" s="14" t="s">
        <v>2931</v>
      </c>
      <c r="F111" s="14" t="s">
        <v>2704</v>
      </c>
      <c r="G111" s="14" t="s">
        <v>648</v>
      </c>
      <c r="H111" s="14" t="s">
        <v>2932</v>
      </c>
      <c r="I111" s="14">
        <f ca="1">DATEDIF(Tabel6[[#This Row],[Date of Birth]],TODAY(),"Y")</f>
        <v>13</v>
      </c>
      <c r="J111" s="14" t="s">
        <v>2727</v>
      </c>
      <c r="K111" s="14" t="s">
        <v>3379</v>
      </c>
      <c r="L111" s="14" t="s">
        <v>3359</v>
      </c>
    </row>
    <row r="112" spans="1:12" hidden="1" x14ac:dyDescent="0.35">
      <c r="A112" s="14">
        <f>INDEX(Tabel1[Employee Number],MATCH(Tabel6[[#This Row],[Family Card Number (KK)]],Tabel1[Family Card Number (KK)],0))</f>
        <v>201742985</v>
      </c>
      <c r="B112" s="14" t="s">
        <v>580</v>
      </c>
      <c r="C112" t="str">
        <f>INDEX(Tabel1[Full Name],MATCH(Tabel6[[#This Row],[Employee Number]],Tabel1[Employee Number],0))</f>
        <v>Aulia Lestari</v>
      </c>
      <c r="D112" s="13" t="s">
        <v>3228</v>
      </c>
      <c r="E112" s="14" t="s">
        <v>2933</v>
      </c>
      <c r="F112" s="14" t="s">
        <v>3114</v>
      </c>
      <c r="G112" s="14" t="s">
        <v>648</v>
      </c>
      <c r="H112" s="14" t="s">
        <v>2934</v>
      </c>
      <c r="I112" s="14">
        <f ca="1">DATEDIF(Tabel6[[#This Row],[Date of Birth]],TODAY(),"Y")</f>
        <v>24</v>
      </c>
      <c r="J112" s="14" t="s">
        <v>2703</v>
      </c>
      <c r="K112" s="14" t="s">
        <v>3379</v>
      </c>
      <c r="L112" s="14" t="s">
        <v>3360</v>
      </c>
    </row>
    <row r="113" spans="1:12" hidden="1" x14ac:dyDescent="0.35">
      <c r="A113" s="14">
        <f>INDEX(Tabel1[Employee Number],MATCH(Tabel6[[#This Row],[Family Card Number (KK)]],Tabel1[Family Card Number (KK)],0))</f>
        <v>201642522</v>
      </c>
      <c r="B113" s="14" t="s">
        <v>583</v>
      </c>
      <c r="C113" t="str">
        <f>INDEX(Tabel1[Full Name],MATCH(Tabel6[[#This Row],[Employee Number]],Tabel1[Employee Number],0))</f>
        <v>Lina Kurniawan</v>
      </c>
      <c r="D113" s="13" t="s">
        <v>3229</v>
      </c>
      <c r="E113" s="14" t="s">
        <v>2935</v>
      </c>
      <c r="F113" s="14" t="s">
        <v>3114</v>
      </c>
      <c r="G113" s="14" t="s">
        <v>648</v>
      </c>
      <c r="H113" s="14" t="s">
        <v>2936</v>
      </c>
      <c r="I113" s="14">
        <f ca="1">DATEDIF(Tabel6[[#This Row],[Date of Birth]],TODAY(),"Y")</f>
        <v>26</v>
      </c>
      <c r="J113" s="14" t="s">
        <v>3857</v>
      </c>
      <c r="K113" s="14" t="s">
        <v>3379</v>
      </c>
      <c r="L113" s="14" t="s">
        <v>3361</v>
      </c>
    </row>
    <row r="114" spans="1:12" x14ac:dyDescent="0.35">
      <c r="A114" s="14">
        <f>INDEX(Tabel1[Employee Number],MATCH(Tabel6[[#This Row],[Family Card Number (KK)]],Tabel1[Family Card Number (KK)],0))</f>
        <v>201642522</v>
      </c>
      <c r="B114" s="14" t="s">
        <v>583</v>
      </c>
      <c r="C114" t="str">
        <f>INDEX(Tabel1[Full Name],MATCH(Tabel6[[#This Row],[Employee Number]],Tabel1[Employee Number],0))</f>
        <v>Lina Kurniawan</v>
      </c>
      <c r="D114" s="13" t="s">
        <v>3230</v>
      </c>
      <c r="E114" s="14" t="s">
        <v>2937</v>
      </c>
      <c r="F114" s="14" t="s">
        <v>2704</v>
      </c>
      <c r="G114" s="14" t="s">
        <v>676</v>
      </c>
      <c r="H114" s="14" t="s">
        <v>2938</v>
      </c>
      <c r="I114" s="14">
        <f ca="1">DATEDIF(Tabel6[[#This Row],[Date of Birth]],TODAY(),"Y")</f>
        <v>8</v>
      </c>
      <c r="J114" s="14" t="s">
        <v>2707</v>
      </c>
      <c r="K114" s="14" t="s">
        <v>3379</v>
      </c>
      <c r="L114" s="14" t="s">
        <v>3362</v>
      </c>
    </row>
    <row r="115" spans="1:12" x14ac:dyDescent="0.35">
      <c r="A115" s="14">
        <f>INDEX(Tabel1[Employee Number],MATCH(Tabel6[[#This Row],[Family Card Number (KK)]],Tabel1[Family Card Number (KK)],0))</f>
        <v>201542229</v>
      </c>
      <c r="B115" s="14" t="s">
        <v>585</v>
      </c>
      <c r="C115" t="str">
        <f>INDEX(Tabel1[Full Name],MATCH(Tabel6[[#This Row],[Employee Number]],Tabel1[Employee Number],0))</f>
        <v>Budi Saputra</v>
      </c>
      <c r="D115" s="13" t="s">
        <v>3231</v>
      </c>
      <c r="E115" s="14" t="s">
        <v>2939</v>
      </c>
      <c r="F115" s="14" t="s">
        <v>3113</v>
      </c>
      <c r="G115" s="14" t="s">
        <v>676</v>
      </c>
      <c r="H115" s="14" t="s">
        <v>2940</v>
      </c>
      <c r="I115" s="14">
        <f ca="1">DATEDIF(Tabel6[[#This Row],[Date of Birth]],TODAY(),"Y")</f>
        <v>37</v>
      </c>
      <c r="J115" s="14" t="s">
        <v>2736</v>
      </c>
      <c r="K115" s="14" t="s">
        <v>3379</v>
      </c>
      <c r="L115" s="14" t="s">
        <v>3363</v>
      </c>
    </row>
    <row r="116" spans="1:12" x14ac:dyDescent="0.35">
      <c r="A116" s="14">
        <f>INDEX(Tabel1[Employee Number],MATCH(Tabel6[[#This Row],[Family Card Number (KK)]],Tabel1[Family Card Number (KK)],0))</f>
        <v>201542229</v>
      </c>
      <c r="B116" s="14" t="s">
        <v>585</v>
      </c>
      <c r="C116" t="str">
        <f>INDEX(Tabel1[Full Name],MATCH(Tabel6[[#This Row],[Employee Number]],Tabel1[Employee Number],0))</f>
        <v>Budi Saputra</v>
      </c>
      <c r="D116" s="13" t="s">
        <v>3232</v>
      </c>
      <c r="E116" s="14" t="s">
        <v>2941</v>
      </c>
      <c r="F116" s="14" t="s">
        <v>2704</v>
      </c>
      <c r="G116" s="14" t="s">
        <v>676</v>
      </c>
      <c r="H116" s="14" t="s">
        <v>2942</v>
      </c>
      <c r="I116" s="14">
        <f ca="1">DATEDIF(Tabel6[[#This Row],[Date of Birth]],TODAY(),"Y")</f>
        <v>10</v>
      </c>
      <c r="J116" s="14" t="s">
        <v>2707</v>
      </c>
      <c r="K116" s="14" t="s">
        <v>3379</v>
      </c>
      <c r="L116" s="14" t="s">
        <v>3364</v>
      </c>
    </row>
    <row r="117" spans="1:12" hidden="1" x14ac:dyDescent="0.35">
      <c r="A117" s="14">
        <f>INDEX(Tabel1[Employee Number],MATCH(Tabel6[[#This Row],[Family Card Number (KK)]],Tabel1[Family Card Number (KK)],0))</f>
        <v>201542229</v>
      </c>
      <c r="B117" s="14" t="s">
        <v>585</v>
      </c>
      <c r="C117" t="str">
        <f>INDEX(Tabel1[Full Name],MATCH(Tabel6[[#This Row],[Employee Number]],Tabel1[Employee Number],0))</f>
        <v>Budi Saputra</v>
      </c>
      <c r="D117" s="13" t="s">
        <v>3233</v>
      </c>
      <c r="E117" s="14" t="s">
        <v>2943</v>
      </c>
      <c r="F117" s="14" t="s">
        <v>2704</v>
      </c>
      <c r="G117" s="14" t="s">
        <v>648</v>
      </c>
      <c r="H117" s="14" t="s">
        <v>2944</v>
      </c>
      <c r="I117" s="14">
        <f ca="1">DATEDIF(Tabel6[[#This Row],[Date of Birth]],TODAY(),"Y")</f>
        <v>8</v>
      </c>
      <c r="J117" s="14" t="s">
        <v>2707</v>
      </c>
      <c r="K117" s="14" t="s">
        <v>3379</v>
      </c>
      <c r="L117" s="14" t="s">
        <v>3365</v>
      </c>
    </row>
    <row r="118" spans="1:12" x14ac:dyDescent="0.35">
      <c r="A118" s="14">
        <f>INDEX(Tabel1[Employee Number],MATCH(Tabel6[[#This Row],[Family Card Number (KK)]],Tabel1[Family Card Number (KK)],0))</f>
        <v>201843238</v>
      </c>
      <c r="B118" s="14" t="s">
        <v>588</v>
      </c>
      <c r="C118" t="str">
        <f>INDEX(Tabel1[Full Name],MATCH(Tabel6[[#This Row],[Employee Number]],Tabel1[Employee Number],0))</f>
        <v>Yusuf Pangestu</v>
      </c>
      <c r="D118" s="13" t="s">
        <v>3234</v>
      </c>
      <c r="E118" s="14" t="s">
        <v>2945</v>
      </c>
      <c r="F118" s="14" t="s">
        <v>2704</v>
      </c>
      <c r="G118" s="14" t="s">
        <v>676</v>
      </c>
      <c r="H118" s="14" t="s">
        <v>2946</v>
      </c>
      <c r="I118" s="14">
        <f ca="1">DATEDIF(Tabel6[[#This Row],[Date of Birth]],TODAY(),"Y")</f>
        <v>17</v>
      </c>
      <c r="J118" s="14" t="s">
        <v>2722</v>
      </c>
      <c r="K118" s="14" t="s">
        <v>3379</v>
      </c>
      <c r="L118" s="14" t="s">
        <v>3366</v>
      </c>
    </row>
    <row r="119" spans="1:12" hidden="1" x14ac:dyDescent="0.35">
      <c r="A119" s="14">
        <f>INDEX(Tabel1[Employee Number],MATCH(Tabel6[[#This Row],[Family Card Number (KK)]],Tabel1[Family Card Number (KK)],0))</f>
        <v>202043964</v>
      </c>
      <c r="B119" s="14" t="s">
        <v>596</v>
      </c>
      <c r="C119" t="str">
        <f>INDEX(Tabel1[Full Name],MATCH(Tabel6[[#This Row],[Employee Number]],Tabel1[Employee Number],0))</f>
        <v>Nadia Sari</v>
      </c>
      <c r="D119" s="13" t="s">
        <v>3235</v>
      </c>
      <c r="E119" s="14" t="s">
        <v>2947</v>
      </c>
      <c r="F119" s="14" t="s">
        <v>3114</v>
      </c>
      <c r="G119" s="14" t="s">
        <v>648</v>
      </c>
      <c r="H119" s="14" t="s">
        <v>2948</v>
      </c>
      <c r="I119" s="14">
        <f ca="1">DATEDIF(Tabel6[[#This Row],[Date of Birth]],TODAY(),"Y")</f>
        <v>30</v>
      </c>
      <c r="J119" s="14" t="s">
        <v>2703</v>
      </c>
      <c r="K119" s="14" t="s">
        <v>3379</v>
      </c>
      <c r="L119" s="14" t="s">
        <v>3367</v>
      </c>
    </row>
    <row r="120" spans="1:12" hidden="1" x14ac:dyDescent="0.35">
      <c r="A120" s="14">
        <f>INDEX(Tabel1[Employee Number],MATCH(Tabel6[[#This Row],[Family Card Number (KK)]],Tabel1[Family Card Number (KK)],0))</f>
        <v>202043964</v>
      </c>
      <c r="B120" s="14" t="s">
        <v>596</v>
      </c>
      <c r="C120" t="str">
        <f>INDEX(Tabel1[Full Name],MATCH(Tabel6[[#This Row],[Employee Number]],Tabel1[Employee Number],0))</f>
        <v>Nadia Sari</v>
      </c>
      <c r="D120" s="13" t="s">
        <v>3236</v>
      </c>
      <c r="E120" s="14" t="s">
        <v>2949</v>
      </c>
      <c r="F120" s="14" t="s">
        <v>2704</v>
      </c>
      <c r="G120" s="14" t="s">
        <v>648</v>
      </c>
      <c r="H120" s="14" t="s">
        <v>2950</v>
      </c>
      <c r="I120" s="14">
        <f ca="1">DATEDIF(Tabel6[[#This Row],[Date of Birth]],TODAY(),"Y")</f>
        <v>6</v>
      </c>
      <c r="J120" s="14" t="s">
        <v>2745</v>
      </c>
      <c r="K120" s="14" t="s">
        <v>3379</v>
      </c>
      <c r="L120" s="14" t="s">
        <v>3368</v>
      </c>
    </row>
    <row r="121" spans="1:12" x14ac:dyDescent="0.35">
      <c r="A121" s="14">
        <f>INDEX(Tabel1[Employee Number],MATCH(Tabel6[[#This Row],[Family Card Number (KK)]],Tabel1[Family Card Number (KK)],0))</f>
        <v>201642722</v>
      </c>
      <c r="B121" s="14" t="s">
        <v>602</v>
      </c>
      <c r="C121" t="str">
        <f>INDEX(Tabel1[Full Name],MATCH(Tabel6[[#This Row],[Employee Number]],Tabel1[Employee Number],0))</f>
        <v>Andi Santoso</v>
      </c>
      <c r="D121" s="13" t="s">
        <v>3237</v>
      </c>
      <c r="E121" s="14" t="s">
        <v>2951</v>
      </c>
      <c r="F121" s="14" t="s">
        <v>3113</v>
      </c>
      <c r="G121" s="14" t="s">
        <v>676</v>
      </c>
      <c r="H121" s="14" t="s">
        <v>2952</v>
      </c>
      <c r="I121" s="14">
        <f ca="1">DATEDIF(Tabel6[[#This Row],[Date of Birth]],TODAY(),"Y")</f>
        <v>47</v>
      </c>
      <c r="J121" s="14" t="s">
        <v>2803</v>
      </c>
      <c r="K121" s="14" t="s">
        <v>3379</v>
      </c>
      <c r="L121" s="14" t="s">
        <v>3369</v>
      </c>
    </row>
    <row r="122" spans="1:12" hidden="1" x14ac:dyDescent="0.35">
      <c r="A122" s="14">
        <f>INDEX(Tabel1[Employee Number],MATCH(Tabel6[[#This Row],[Family Card Number (KK)]],Tabel1[Family Card Number (KK)],0))</f>
        <v>201642722</v>
      </c>
      <c r="B122" s="14" t="s">
        <v>602</v>
      </c>
      <c r="C122" t="str">
        <f>INDEX(Tabel1[Full Name],MATCH(Tabel6[[#This Row],[Employee Number]],Tabel1[Employee Number],0))</f>
        <v>Andi Santoso</v>
      </c>
      <c r="D122" s="13" t="s">
        <v>3238</v>
      </c>
      <c r="E122" s="14" t="s">
        <v>2953</v>
      </c>
      <c r="F122" s="14" t="s">
        <v>2704</v>
      </c>
      <c r="G122" s="14" t="s">
        <v>648</v>
      </c>
      <c r="H122" s="14" t="s">
        <v>2954</v>
      </c>
      <c r="I122" s="14">
        <f ca="1">DATEDIF(Tabel6[[#This Row],[Date of Birth]],TODAY(),"Y")</f>
        <v>14</v>
      </c>
      <c r="J122" s="14" t="s">
        <v>2727</v>
      </c>
      <c r="K122" s="14" t="s">
        <v>3379</v>
      </c>
      <c r="L122" s="14" t="s">
        <v>3370</v>
      </c>
    </row>
    <row r="123" spans="1:12" x14ac:dyDescent="0.35">
      <c r="A123" s="14">
        <f>INDEX(Tabel1[Employee Number],MATCH(Tabel6[[#This Row],[Family Card Number (KK)]],Tabel1[Family Card Number (KK)],0))</f>
        <v>201642722</v>
      </c>
      <c r="B123" s="14" t="s">
        <v>602</v>
      </c>
      <c r="C123" t="str">
        <f>INDEX(Tabel1[Full Name],MATCH(Tabel6[[#This Row],[Employee Number]],Tabel1[Employee Number],0))</f>
        <v>Andi Santoso</v>
      </c>
      <c r="D123" s="13" t="s">
        <v>3239</v>
      </c>
      <c r="E123" s="14" t="s">
        <v>2955</v>
      </c>
      <c r="F123" s="14" t="s">
        <v>2704</v>
      </c>
      <c r="G123" s="14" t="s">
        <v>676</v>
      </c>
      <c r="H123" s="14" t="s">
        <v>2956</v>
      </c>
      <c r="I123" s="14">
        <f ca="1">DATEDIF(Tabel6[[#This Row],[Date of Birth]],TODAY(),"Y")</f>
        <v>9</v>
      </c>
      <c r="J123" s="14" t="s">
        <v>2707</v>
      </c>
      <c r="K123" s="14" t="s">
        <v>3379</v>
      </c>
      <c r="L123" s="14" t="s">
        <v>3371</v>
      </c>
    </row>
    <row r="124" spans="1:12" x14ac:dyDescent="0.35">
      <c r="A124" s="14">
        <f>INDEX(Tabel1[Employee Number],MATCH(Tabel6[[#This Row],[Family Card Number (KK)]],Tabel1[Family Card Number (KK)],0))</f>
        <v>202144394</v>
      </c>
      <c r="B124" s="14" t="s">
        <v>619</v>
      </c>
      <c r="C124" t="str">
        <f>INDEX(Tabel1[Full Name],MATCH(Tabel6[[#This Row],[Employee Number]],Tabel1[Employee Number],0))</f>
        <v>Farhan Sari</v>
      </c>
      <c r="D124" s="13" t="s">
        <v>3240</v>
      </c>
      <c r="E124" s="14" t="s">
        <v>2957</v>
      </c>
      <c r="F124" s="14" t="s">
        <v>3113</v>
      </c>
      <c r="G124" s="14" t="s">
        <v>676</v>
      </c>
      <c r="H124" s="14" t="s">
        <v>2958</v>
      </c>
      <c r="I124" s="14">
        <f ca="1">DATEDIF(Tabel6[[#This Row],[Date of Birth]],TODAY(),"Y")</f>
        <v>33</v>
      </c>
      <c r="J124" s="14" t="s">
        <v>2716</v>
      </c>
      <c r="K124" s="14" t="s">
        <v>3379</v>
      </c>
      <c r="L124" s="14" t="s">
        <v>3372</v>
      </c>
    </row>
    <row r="125" spans="1:12" hidden="1" x14ac:dyDescent="0.35">
      <c r="A125" s="14">
        <f>INDEX(Tabel1[Employee Number],MATCH(Tabel6[[#This Row],[Family Card Number (KK)]],Tabel1[Family Card Number (KK)],0))</f>
        <v>202144394</v>
      </c>
      <c r="B125" s="14" t="s">
        <v>619</v>
      </c>
      <c r="C125" t="str">
        <f>INDEX(Tabel1[Full Name],MATCH(Tabel6[[#This Row],[Employee Number]],Tabel1[Employee Number],0))</f>
        <v>Farhan Sari</v>
      </c>
      <c r="D125" s="13" t="s">
        <v>3241</v>
      </c>
      <c r="E125" s="14" t="s">
        <v>2959</v>
      </c>
      <c r="F125" s="14" t="s">
        <v>2704</v>
      </c>
      <c r="G125" s="14" t="s">
        <v>648</v>
      </c>
      <c r="H125" s="14" t="s">
        <v>2960</v>
      </c>
      <c r="I125" s="14">
        <f ca="1">DATEDIF(Tabel6[[#This Row],[Date of Birth]],TODAY(),"Y")</f>
        <v>12</v>
      </c>
      <c r="J125" s="14" t="s">
        <v>2707</v>
      </c>
      <c r="K125" s="14" t="s">
        <v>3379</v>
      </c>
      <c r="L125" s="14" t="s">
        <v>3373</v>
      </c>
    </row>
    <row r="126" spans="1:12" x14ac:dyDescent="0.35">
      <c r="A126" s="14">
        <f>INDEX(Tabel1[Employee Number],MATCH(Tabel6[[#This Row],[Family Card Number (KK)]],Tabel1[Family Card Number (KK)],0))</f>
        <v>202144394</v>
      </c>
      <c r="B126" s="14" t="s">
        <v>619</v>
      </c>
      <c r="C126" t="str">
        <f>INDEX(Tabel1[Full Name],MATCH(Tabel6[[#This Row],[Employee Number]],Tabel1[Employee Number],0))</f>
        <v>Farhan Sari</v>
      </c>
      <c r="D126" s="13" t="s">
        <v>3242</v>
      </c>
      <c r="E126" s="14" t="s">
        <v>2961</v>
      </c>
      <c r="F126" s="14" t="s">
        <v>2704</v>
      </c>
      <c r="G126" s="14" t="s">
        <v>676</v>
      </c>
      <c r="H126" s="14" t="s">
        <v>2962</v>
      </c>
      <c r="I126" s="14">
        <f ca="1">DATEDIF(Tabel6[[#This Row],[Date of Birth]],TODAY(),"Y")</f>
        <v>8</v>
      </c>
      <c r="J126" s="14" t="s">
        <v>2707</v>
      </c>
      <c r="K126" s="14" t="s">
        <v>3379</v>
      </c>
      <c r="L126" s="14" t="s">
        <v>3374</v>
      </c>
    </row>
    <row r="127" spans="1:12" hidden="1" x14ac:dyDescent="0.35">
      <c r="A127" s="14">
        <f>INDEX(Tabel1[Employee Number],MATCH(Tabel6[[#This Row],[Family Card Number (KK)]],Tabel1[Family Card Number (KK)],0))</f>
        <v>202044158</v>
      </c>
      <c r="B127" s="14" t="s">
        <v>562</v>
      </c>
      <c r="C127" t="str">
        <f>INDEX(Tabel1[Full Name],MATCH(Tabel6[[#This Row],[Employee Number]],Tabel1[Employee Number],0))</f>
        <v>Indah Wijaya</v>
      </c>
      <c r="D127" s="13" t="s">
        <v>3243</v>
      </c>
      <c r="E127" s="14" t="s">
        <v>2963</v>
      </c>
      <c r="F127" s="14" t="s">
        <v>3114</v>
      </c>
      <c r="G127" s="14" t="s">
        <v>648</v>
      </c>
      <c r="H127" s="14" t="s">
        <v>2964</v>
      </c>
      <c r="I127" s="14">
        <f ca="1">DATEDIF(Tabel6[[#This Row],[Date of Birth]],TODAY(),"Y")</f>
        <v>31</v>
      </c>
      <c r="J127" s="14" t="s">
        <v>2736</v>
      </c>
      <c r="K127" s="14" t="s">
        <v>3379</v>
      </c>
      <c r="L127" s="14" t="s">
        <v>3375</v>
      </c>
    </row>
    <row r="128" spans="1:12" hidden="1" x14ac:dyDescent="0.35">
      <c r="A128" s="14">
        <f>INDEX(Tabel1[Employee Number],MATCH(Tabel6[[#This Row],[Family Card Number (KK)]],Tabel1[Family Card Number (KK)],0))</f>
        <v>202044158</v>
      </c>
      <c r="B128" s="14" t="s">
        <v>562</v>
      </c>
      <c r="C128" t="str">
        <f>INDEX(Tabel1[Full Name],MATCH(Tabel6[[#This Row],[Employee Number]],Tabel1[Employee Number],0))</f>
        <v>Indah Wijaya</v>
      </c>
      <c r="D128" s="13" t="s">
        <v>3244</v>
      </c>
      <c r="E128" s="14" t="s">
        <v>2965</v>
      </c>
      <c r="F128" s="14" t="s">
        <v>2704</v>
      </c>
      <c r="G128" s="14" t="s">
        <v>648</v>
      </c>
      <c r="H128" s="14" t="s">
        <v>2966</v>
      </c>
      <c r="I128" s="14">
        <f ca="1">DATEDIF(Tabel6[[#This Row],[Date of Birth]],TODAY(),"Y")</f>
        <v>1</v>
      </c>
      <c r="J128" s="14" t="s">
        <v>2746</v>
      </c>
      <c r="K128" s="14" t="s">
        <v>3379</v>
      </c>
      <c r="L128" s="14" t="s">
        <v>3376</v>
      </c>
    </row>
    <row r="129" spans="1:12" hidden="1" x14ac:dyDescent="0.35">
      <c r="A129" s="14">
        <f>INDEX(Tabel1[Employee Number],MATCH(Tabel6[[#This Row],[Family Card Number (KK)]],Tabel1[Family Card Number (KK)],0))</f>
        <v>201943644</v>
      </c>
      <c r="B129" s="14" t="s">
        <v>631</v>
      </c>
      <c r="C129" t="str">
        <f>INDEX(Tabel1[Full Name],MATCH(Tabel6[[#This Row],[Employee Number]],Tabel1[Employee Number],0))</f>
        <v>Bayu Maulana</v>
      </c>
      <c r="D129" s="13" t="s">
        <v>3245</v>
      </c>
      <c r="E129" s="14" t="s">
        <v>2967</v>
      </c>
      <c r="F129" s="14" t="s">
        <v>3114</v>
      </c>
      <c r="G129" s="14" t="s">
        <v>648</v>
      </c>
      <c r="H129" s="14" t="s">
        <v>2968</v>
      </c>
      <c r="I129" s="14">
        <f ca="1">DATEDIF(Tabel6[[#This Row],[Date of Birth]],TODAY(),"Y")</f>
        <v>40</v>
      </c>
      <c r="J129" s="14" t="s">
        <v>3857</v>
      </c>
      <c r="K129" s="14" t="s">
        <v>3379</v>
      </c>
      <c r="L129" s="14" t="s">
        <v>3377</v>
      </c>
    </row>
    <row r="130" spans="1:12" hidden="1" x14ac:dyDescent="0.35">
      <c r="A130" s="14">
        <f>INDEX(Tabel1[Employee Number],MATCH(Tabel6[[#This Row],[Family Card Number (KK)]],Tabel1[Family Card Number (KK)],0))</f>
        <v>201642575</v>
      </c>
      <c r="B130" s="14" t="s">
        <v>637</v>
      </c>
      <c r="C130" t="str">
        <f>INDEX(Tabel1[Full Name],MATCH(Tabel6[[#This Row],[Employee Number]],Tabel1[Employee Number],0))</f>
        <v>Indah Permata</v>
      </c>
      <c r="D130" s="13" t="s">
        <v>3246</v>
      </c>
      <c r="E130" s="14" t="s">
        <v>2969</v>
      </c>
      <c r="F130" s="14" t="s">
        <v>3114</v>
      </c>
      <c r="G130" s="14" t="s">
        <v>648</v>
      </c>
      <c r="H130" s="14" t="s">
        <v>2970</v>
      </c>
      <c r="I130" s="14">
        <f ca="1">DATEDIF(Tabel6[[#This Row],[Date of Birth]],TODAY(),"Y")</f>
        <v>40</v>
      </c>
      <c r="J130" s="14" t="s">
        <v>3857</v>
      </c>
      <c r="K130" s="14" t="s">
        <v>3379</v>
      </c>
      <c r="L130" s="14" t="s">
        <v>3377</v>
      </c>
    </row>
    <row r="131" spans="1:12" x14ac:dyDescent="0.35">
      <c r="A131" s="14">
        <f>INDEX(Tabel1[Employee Number],MATCH(Tabel6[[#This Row],[Family Card Number (KK)]],Tabel1[Family Card Number (KK)],0))</f>
        <v>202043910</v>
      </c>
      <c r="B131" s="14" t="s">
        <v>639</v>
      </c>
      <c r="C131" t="str">
        <f>INDEX(Tabel1[Full Name],MATCH(Tabel6[[#This Row],[Employee Number]],Tabel1[Employee Number],0))</f>
        <v>Rudi Utami</v>
      </c>
      <c r="D131" s="13" t="s">
        <v>3247</v>
      </c>
      <c r="E131" s="14" t="s">
        <v>2971</v>
      </c>
      <c r="F131" s="14" t="s">
        <v>3113</v>
      </c>
      <c r="G131" s="14" t="s">
        <v>676</v>
      </c>
      <c r="H131" s="14" t="s">
        <v>2972</v>
      </c>
      <c r="I131" s="14">
        <f ca="1">DATEDIF(Tabel6[[#This Row],[Date of Birth]],TODAY(),"Y")</f>
        <v>31</v>
      </c>
      <c r="J131" s="14" t="s">
        <v>2716</v>
      </c>
      <c r="K131" s="14" t="s">
        <v>3379</v>
      </c>
      <c r="L131" s="14" t="s">
        <v>3377</v>
      </c>
    </row>
    <row r="132" spans="1:12" hidden="1" x14ac:dyDescent="0.35">
      <c r="A132" s="14">
        <f>INDEX(Tabel1[Employee Number],MATCH(Tabel6[[#This Row],[Family Card Number (KK)]],Tabel1[Family Card Number (KK)],0))</f>
        <v>202043910</v>
      </c>
      <c r="B132" s="14" t="s">
        <v>639</v>
      </c>
      <c r="C132" t="str">
        <f>INDEX(Tabel1[Full Name],MATCH(Tabel6[[#This Row],[Employee Number]],Tabel1[Employee Number],0))</f>
        <v>Rudi Utami</v>
      </c>
      <c r="D132" s="13" t="s">
        <v>3248</v>
      </c>
      <c r="E132" s="14" t="s">
        <v>2973</v>
      </c>
      <c r="F132" s="14" t="s">
        <v>2704</v>
      </c>
      <c r="G132" s="14" t="s">
        <v>648</v>
      </c>
      <c r="H132" s="14" t="s">
        <v>2974</v>
      </c>
      <c r="I132" s="14">
        <f ca="1">DATEDIF(Tabel6[[#This Row],[Date of Birth]],TODAY(),"Y")</f>
        <v>5</v>
      </c>
      <c r="J132" s="14" t="s">
        <v>2745</v>
      </c>
      <c r="K132" s="14" t="s">
        <v>3379</v>
      </c>
      <c r="L132" s="14" t="s">
        <v>3377</v>
      </c>
    </row>
    <row r="133" spans="1:12" hidden="1" x14ac:dyDescent="0.35">
      <c r="A133" s="14">
        <f>INDEX(Tabel1[Employee Number],MATCH(Tabel6[[#This Row],[Family Card Number (KK)]],Tabel1[Family Card Number (KK)],0))</f>
        <v>202043910</v>
      </c>
      <c r="B133" s="14" t="s">
        <v>639</v>
      </c>
      <c r="C133" t="str">
        <f>INDEX(Tabel1[Full Name],MATCH(Tabel6[[#This Row],[Employee Number]],Tabel1[Employee Number],0))</f>
        <v>Rudi Utami</v>
      </c>
      <c r="D133" s="13" t="s">
        <v>3249</v>
      </c>
      <c r="E133" s="14" t="s">
        <v>2975</v>
      </c>
      <c r="F133" s="14" t="s">
        <v>2704</v>
      </c>
      <c r="G133" s="14" t="s">
        <v>648</v>
      </c>
      <c r="H133" s="14" t="s">
        <v>2976</v>
      </c>
      <c r="I133" s="14">
        <f ca="1">DATEDIF(Tabel6[[#This Row],[Date of Birth]],TODAY(),"Y")</f>
        <v>1</v>
      </c>
      <c r="J133" s="14" t="s">
        <v>2746</v>
      </c>
      <c r="K133" s="14" t="s">
        <v>3379</v>
      </c>
      <c r="L133" s="14" t="s">
        <v>3377</v>
      </c>
    </row>
  </sheetData>
  <dataValidations count="1">
    <dataValidation type="list" allowBlank="1" showInputMessage="1" showErrorMessage="1" sqref="K2:K133 F2:G133" xr:uid="{D13C1022-7262-43CA-AC91-D58ADB97118A}">
      <formula1>#REF!</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C1DF-33DA-4647-B33C-65D33698928D}">
  <dimension ref="A1:S103"/>
  <sheetViews>
    <sheetView zoomScale="50" zoomScaleNormal="50" workbookViewId="0">
      <selection activeCell="H102" sqref="H102"/>
    </sheetView>
  </sheetViews>
  <sheetFormatPr defaultRowHeight="14.5" x14ac:dyDescent="0.35"/>
  <cols>
    <col min="1" max="1" width="22.6328125" bestFit="1" customWidth="1"/>
    <col min="2" max="2" width="11.1796875" bestFit="1" customWidth="1"/>
    <col min="4" max="4" width="23.1796875" bestFit="1" customWidth="1"/>
    <col min="5" max="5" width="33.90625" bestFit="1" customWidth="1"/>
    <col min="6" max="6" width="33" bestFit="1" customWidth="1"/>
    <col min="7" max="7" width="24.453125" bestFit="1" customWidth="1"/>
    <col min="8" max="8" width="41.1796875" bestFit="1" customWidth="1"/>
    <col min="9" max="9" width="12.90625" customWidth="1"/>
    <col min="10" max="10" width="20.26953125" bestFit="1" customWidth="1"/>
    <col min="11" max="11" width="26.26953125" bestFit="1" customWidth="1"/>
    <col min="12" max="12" width="10.6328125" bestFit="1" customWidth="1"/>
    <col min="14" max="14" width="23.1796875" bestFit="1" customWidth="1"/>
    <col min="15" max="15" width="33.90625" bestFit="1" customWidth="1"/>
    <col min="17" max="17" width="17" bestFit="1" customWidth="1"/>
    <col min="18" max="18" width="33" bestFit="1" customWidth="1"/>
    <col min="19" max="19" width="21.36328125" bestFit="1" customWidth="1"/>
  </cols>
  <sheetData>
    <row r="1" spans="1:19" x14ac:dyDescent="0.35">
      <c r="A1" t="s">
        <v>4</v>
      </c>
      <c r="D1" t="s">
        <v>2992</v>
      </c>
      <c r="E1" t="s">
        <v>2993</v>
      </c>
      <c r="F1" t="s">
        <v>24</v>
      </c>
      <c r="G1" t="s">
        <v>3404</v>
      </c>
      <c r="H1" t="s">
        <v>3405</v>
      </c>
      <c r="J1" t="s">
        <v>18</v>
      </c>
      <c r="K1" t="s">
        <v>3385</v>
      </c>
      <c r="L1" t="s">
        <v>2979</v>
      </c>
      <c r="N1" t="s">
        <v>3112</v>
      </c>
      <c r="O1" t="s">
        <v>3386</v>
      </c>
      <c r="Q1" t="s">
        <v>3393</v>
      </c>
      <c r="R1" t="s">
        <v>3394</v>
      </c>
      <c r="S1" t="s">
        <v>3395</v>
      </c>
    </row>
    <row r="2" spans="1:19" x14ac:dyDescent="0.35">
      <c r="A2" t="s">
        <v>648</v>
      </c>
      <c r="D2" t="s">
        <v>681</v>
      </c>
      <c r="E2" t="s">
        <v>2995</v>
      </c>
      <c r="F2" t="s">
        <v>2640</v>
      </c>
      <c r="G2" t="s">
        <v>3951</v>
      </c>
      <c r="H2" t="s">
        <v>2666</v>
      </c>
      <c r="J2" t="s">
        <v>2978</v>
      </c>
      <c r="K2" t="s">
        <v>2990</v>
      </c>
      <c r="L2" t="s">
        <v>3724</v>
      </c>
      <c r="N2" t="s">
        <v>3113</v>
      </c>
      <c r="O2" t="s">
        <v>2703</v>
      </c>
      <c r="Q2" t="s">
        <v>2675</v>
      </c>
      <c r="R2" t="s">
        <v>3396</v>
      </c>
      <c r="S2" t="s">
        <v>2675</v>
      </c>
    </row>
    <row r="3" spans="1:19" x14ac:dyDescent="0.35">
      <c r="A3" t="s">
        <v>676</v>
      </c>
      <c r="D3" t="s">
        <v>681</v>
      </c>
      <c r="E3" t="s">
        <v>2988</v>
      </c>
      <c r="F3" t="s">
        <v>2681</v>
      </c>
      <c r="G3" t="s">
        <v>3950</v>
      </c>
      <c r="H3" t="s">
        <v>3416</v>
      </c>
      <c r="J3" t="s">
        <v>2978</v>
      </c>
      <c r="K3" t="s">
        <v>2991</v>
      </c>
      <c r="L3" t="s">
        <v>3724</v>
      </c>
      <c r="N3" t="s">
        <v>3113</v>
      </c>
      <c r="O3" t="s">
        <v>2711</v>
      </c>
      <c r="Q3" t="s">
        <v>2675</v>
      </c>
      <c r="R3" t="s">
        <v>3397</v>
      </c>
      <c r="S3" t="s">
        <v>2675</v>
      </c>
    </row>
    <row r="4" spans="1:19" x14ac:dyDescent="0.35">
      <c r="D4" t="s">
        <v>681</v>
      </c>
      <c r="E4" t="s">
        <v>2995</v>
      </c>
      <c r="F4" t="s">
        <v>2681</v>
      </c>
      <c r="G4" t="s">
        <v>3949</v>
      </c>
      <c r="H4" t="s">
        <v>3416</v>
      </c>
      <c r="J4" t="s">
        <v>2980</v>
      </c>
      <c r="K4" t="s">
        <v>2985</v>
      </c>
      <c r="L4" t="s">
        <v>3388</v>
      </c>
      <c r="N4" t="s">
        <v>3113</v>
      </c>
      <c r="O4" t="s">
        <v>2716</v>
      </c>
      <c r="Q4" t="s">
        <v>2675</v>
      </c>
      <c r="R4" t="s">
        <v>3398</v>
      </c>
      <c r="S4" t="s">
        <v>2675</v>
      </c>
    </row>
    <row r="5" spans="1:19" x14ac:dyDescent="0.35">
      <c r="A5" t="s">
        <v>8</v>
      </c>
      <c r="D5" t="s">
        <v>681</v>
      </c>
      <c r="E5" t="s">
        <v>2988</v>
      </c>
      <c r="F5" t="s">
        <v>2621</v>
      </c>
      <c r="G5" t="s">
        <v>3948</v>
      </c>
      <c r="H5" t="s">
        <v>3063</v>
      </c>
      <c r="J5" t="s">
        <v>2980</v>
      </c>
      <c r="K5" t="s">
        <v>2986</v>
      </c>
      <c r="L5" t="s">
        <v>3388</v>
      </c>
      <c r="N5" t="s">
        <v>3113</v>
      </c>
      <c r="O5" t="s">
        <v>2708</v>
      </c>
      <c r="Q5" t="s">
        <v>2675</v>
      </c>
      <c r="R5" t="s">
        <v>3383</v>
      </c>
      <c r="S5" t="s">
        <v>2675</v>
      </c>
    </row>
    <row r="6" spans="1:19" x14ac:dyDescent="0.35">
      <c r="A6" t="s">
        <v>791</v>
      </c>
      <c r="D6" t="s">
        <v>681</v>
      </c>
      <c r="E6" t="s">
        <v>2995</v>
      </c>
      <c r="F6" t="s">
        <v>2621</v>
      </c>
      <c r="G6" t="s">
        <v>3947</v>
      </c>
      <c r="H6" t="s">
        <v>3065</v>
      </c>
      <c r="J6" t="s">
        <v>2980</v>
      </c>
      <c r="K6" t="s">
        <v>2687</v>
      </c>
      <c r="L6" t="s">
        <v>3388</v>
      </c>
      <c r="N6" t="s">
        <v>3113</v>
      </c>
      <c r="O6" t="s">
        <v>2739</v>
      </c>
      <c r="Q6" t="s">
        <v>2675</v>
      </c>
      <c r="R6" t="s">
        <v>3403</v>
      </c>
      <c r="S6" t="s">
        <v>2675</v>
      </c>
    </row>
    <row r="7" spans="1:19" x14ac:dyDescent="0.35">
      <c r="A7" t="s">
        <v>3001</v>
      </c>
      <c r="D7" t="s">
        <v>681</v>
      </c>
      <c r="E7" t="s">
        <v>2988</v>
      </c>
      <c r="F7" t="s">
        <v>3073</v>
      </c>
      <c r="G7" t="s">
        <v>3946</v>
      </c>
      <c r="H7" t="s">
        <v>682</v>
      </c>
      <c r="J7" t="s">
        <v>2980</v>
      </c>
      <c r="K7" t="s">
        <v>2987</v>
      </c>
      <c r="L7" t="s">
        <v>3388</v>
      </c>
      <c r="N7" t="s">
        <v>3113</v>
      </c>
      <c r="O7" t="s">
        <v>2736</v>
      </c>
      <c r="Q7" t="s">
        <v>3399</v>
      </c>
      <c r="R7" t="s">
        <v>3384</v>
      </c>
      <c r="S7" t="s">
        <v>3399</v>
      </c>
    </row>
    <row r="8" spans="1:19" x14ac:dyDescent="0.35">
      <c r="A8" t="s">
        <v>3002</v>
      </c>
      <c r="D8" t="s">
        <v>681</v>
      </c>
      <c r="E8" t="s">
        <v>2995</v>
      </c>
      <c r="F8" t="s">
        <v>3073</v>
      </c>
      <c r="G8" t="s">
        <v>3945</v>
      </c>
      <c r="H8" t="s">
        <v>759</v>
      </c>
      <c r="J8" t="s">
        <v>2980</v>
      </c>
      <c r="K8" t="s">
        <v>2988</v>
      </c>
      <c r="L8" t="s">
        <v>3388</v>
      </c>
      <c r="N8" t="s">
        <v>3113</v>
      </c>
      <c r="O8" t="s">
        <v>2803</v>
      </c>
      <c r="Q8" t="s">
        <v>3399</v>
      </c>
      <c r="R8" t="s">
        <v>3400</v>
      </c>
      <c r="S8" t="s">
        <v>3399</v>
      </c>
    </row>
    <row r="9" spans="1:19" x14ac:dyDescent="0.35">
      <c r="A9" t="s">
        <v>3003</v>
      </c>
      <c r="D9" t="s">
        <v>681</v>
      </c>
      <c r="E9" t="s">
        <v>2988</v>
      </c>
      <c r="F9" t="s">
        <v>659</v>
      </c>
      <c r="G9" t="s">
        <v>3944</v>
      </c>
      <c r="H9" t="s">
        <v>3067</v>
      </c>
      <c r="J9" t="s">
        <v>2980</v>
      </c>
      <c r="K9" t="s">
        <v>2989</v>
      </c>
      <c r="L9" t="s">
        <v>3388</v>
      </c>
      <c r="N9" t="s">
        <v>3114</v>
      </c>
      <c r="O9" t="s">
        <v>2708</v>
      </c>
      <c r="Q9" t="s">
        <v>3399</v>
      </c>
      <c r="R9" t="s">
        <v>3401</v>
      </c>
      <c r="S9" t="s">
        <v>3399</v>
      </c>
    </row>
    <row r="10" spans="1:19" x14ac:dyDescent="0.35">
      <c r="A10" t="s">
        <v>3004</v>
      </c>
      <c r="D10" t="s">
        <v>681</v>
      </c>
      <c r="E10" t="s">
        <v>2988</v>
      </c>
      <c r="F10" t="s">
        <v>2624</v>
      </c>
      <c r="G10" t="s">
        <v>3943</v>
      </c>
      <c r="H10" t="s">
        <v>3064</v>
      </c>
      <c r="J10" t="s">
        <v>2981</v>
      </c>
      <c r="K10" t="s">
        <v>2643</v>
      </c>
      <c r="L10" t="s">
        <v>3389</v>
      </c>
      <c r="N10" t="s">
        <v>3114</v>
      </c>
      <c r="O10" t="s">
        <v>2736</v>
      </c>
      <c r="Q10" t="s">
        <v>3380</v>
      </c>
      <c r="R10" t="s">
        <v>2674</v>
      </c>
      <c r="S10" t="s">
        <v>3380</v>
      </c>
    </row>
    <row r="11" spans="1:19" x14ac:dyDescent="0.35">
      <c r="A11" t="s">
        <v>3005</v>
      </c>
      <c r="D11" t="s">
        <v>681</v>
      </c>
      <c r="E11" t="s">
        <v>2995</v>
      </c>
      <c r="F11" t="s">
        <v>2624</v>
      </c>
      <c r="G11" t="s">
        <v>3942</v>
      </c>
      <c r="H11" t="s">
        <v>3066</v>
      </c>
      <c r="J11" t="s">
        <v>2981</v>
      </c>
      <c r="K11" t="s">
        <v>2676</v>
      </c>
      <c r="L11" t="s">
        <v>3389</v>
      </c>
      <c r="N11" t="s">
        <v>3114</v>
      </c>
      <c r="O11" t="s">
        <v>2716</v>
      </c>
      <c r="Q11" t="s">
        <v>3380</v>
      </c>
      <c r="R11" t="s">
        <v>3381</v>
      </c>
      <c r="S11" t="s">
        <v>3380</v>
      </c>
    </row>
    <row r="12" spans="1:19" x14ac:dyDescent="0.35">
      <c r="D12" t="s">
        <v>3015</v>
      </c>
      <c r="E12" t="s">
        <v>3016</v>
      </c>
      <c r="F12" t="s">
        <v>3836</v>
      </c>
      <c r="G12" t="s">
        <v>3941</v>
      </c>
      <c r="H12" t="s">
        <v>3836</v>
      </c>
      <c r="J12" t="s">
        <v>2981</v>
      </c>
      <c r="K12" t="s">
        <v>2677</v>
      </c>
      <c r="L12" t="s">
        <v>3389</v>
      </c>
      <c r="N12" t="s">
        <v>3114</v>
      </c>
      <c r="O12" t="s">
        <v>2703</v>
      </c>
      <c r="Q12" t="s">
        <v>3380</v>
      </c>
      <c r="R12" t="s">
        <v>3382</v>
      </c>
      <c r="S12" t="s">
        <v>3380</v>
      </c>
    </row>
    <row r="13" spans="1:19" x14ac:dyDescent="0.35">
      <c r="A13" t="s">
        <v>10</v>
      </c>
      <c r="D13" t="s">
        <v>3015</v>
      </c>
      <c r="E13" t="s">
        <v>3016</v>
      </c>
      <c r="F13" t="s">
        <v>3838</v>
      </c>
      <c r="G13" t="s">
        <v>3940</v>
      </c>
      <c r="H13" t="s">
        <v>3838</v>
      </c>
      <c r="J13" t="s">
        <v>2981</v>
      </c>
      <c r="K13" t="s">
        <v>2679</v>
      </c>
      <c r="L13" t="s">
        <v>3389</v>
      </c>
      <c r="N13" t="s">
        <v>3114</v>
      </c>
      <c r="O13" t="s">
        <v>2739</v>
      </c>
      <c r="Q13" t="s">
        <v>3380</v>
      </c>
      <c r="R13" t="s">
        <v>3402</v>
      </c>
      <c r="S13" t="s">
        <v>3380</v>
      </c>
    </row>
    <row r="14" spans="1:19" x14ac:dyDescent="0.35">
      <c r="A14" t="s">
        <v>691</v>
      </c>
      <c r="D14" t="s">
        <v>3015</v>
      </c>
      <c r="E14" t="s">
        <v>3017</v>
      </c>
      <c r="F14" t="s">
        <v>2621</v>
      </c>
      <c r="G14" t="s">
        <v>3938</v>
      </c>
      <c r="H14" t="s">
        <v>3021</v>
      </c>
      <c r="J14" t="s">
        <v>2981</v>
      </c>
      <c r="K14" t="s">
        <v>2682</v>
      </c>
      <c r="L14" t="s">
        <v>3389</v>
      </c>
      <c r="N14" t="s">
        <v>2704</v>
      </c>
      <c r="O14" t="s">
        <v>2727</v>
      </c>
    </row>
    <row r="15" spans="1:19" x14ac:dyDescent="0.35">
      <c r="A15" t="s">
        <v>701</v>
      </c>
      <c r="D15" t="s">
        <v>3015</v>
      </c>
      <c r="E15" t="s">
        <v>3018</v>
      </c>
      <c r="F15" t="s">
        <v>2621</v>
      </c>
      <c r="G15" t="s">
        <v>3939</v>
      </c>
      <c r="H15" t="s">
        <v>3023</v>
      </c>
      <c r="J15" t="s">
        <v>2981</v>
      </c>
      <c r="K15" t="s">
        <v>2683</v>
      </c>
      <c r="L15" t="s">
        <v>3389</v>
      </c>
      <c r="N15" t="s">
        <v>2704</v>
      </c>
      <c r="O15" t="s">
        <v>2722</v>
      </c>
      <c r="Q15" t="s">
        <v>2992</v>
      </c>
      <c r="R15" t="s">
        <v>3962</v>
      </c>
      <c r="S15" t="s">
        <v>2993</v>
      </c>
    </row>
    <row r="16" spans="1:19" x14ac:dyDescent="0.35">
      <c r="A16" t="s">
        <v>677</v>
      </c>
      <c r="D16" t="s">
        <v>3015</v>
      </c>
      <c r="E16" t="s">
        <v>3019</v>
      </c>
      <c r="F16" t="s">
        <v>3073</v>
      </c>
      <c r="G16" t="s">
        <v>3937</v>
      </c>
      <c r="H16" t="s">
        <v>3019</v>
      </c>
      <c r="J16" t="s">
        <v>2981</v>
      </c>
      <c r="K16" t="s">
        <v>2684</v>
      </c>
      <c r="L16" t="s">
        <v>3389</v>
      </c>
      <c r="N16" t="s">
        <v>2704</v>
      </c>
      <c r="O16" t="s">
        <v>2707</v>
      </c>
      <c r="Q16" t="s">
        <v>2643</v>
      </c>
      <c r="R16" t="s">
        <v>3952</v>
      </c>
      <c r="S16" t="s">
        <v>2665</v>
      </c>
    </row>
    <row r="17" spans="1:19" x14ac:dyDescent="0.35">
      <c r="A17" t="s">
        <v>652</v>
      </c>
      <c r="D17" t="s">
        <v>3015</v>
      </c>
      <c r="E17" t="s">
        <v>3017</v>
      </c>
      <c r="F17" t="s">
        <v>659</v>
      </c>
      <c r="G17" t="s">
        <v>3935</v>
      </c>
      <c r="H17" t="s">
        <v>3020</v>
      </c>
      <c r="J17" t="s">
        <v>2981</v>
      </c>
      <c r="K17" t="s">
        <v>2685</v>
      </c>
      <c r="L17" t="s">
        <v>3389</v>
      </c>
      <c r="N17" t="s">
        <v>2704</v>
      </c>
      <c r="O17" t="s">
        <v>2746</v>
      </c>
      <c r="Q17" t="s">
        <v>2643</v>
      </c>
      <c r="R17" t="s">
        <v>3952</v>
      </c>
      <c r="S17" t="s">
        <v>2676</v>
      </c>
    </row>
    <row r="18" spans="1:19" x14ac:dyDescent="0.35">
      <c r="D18" t="s">
        <v>3015</v>
      </c>
      <c r="E18" t="s">
        <v>3018</v>
      </c>
      <c r="F18" t="s">
        <v>659</v>
      </c>
      <c r="G18" t="s">
        <v>3936</v>
      </c>
      <c r="H18" t="s">
        <v>3022</v>
      </c>
      <c r="J18" t="s">
        <v>2981</v>
      </c>
      <c r="K18" t="s">
        <v>2686</v>
      </c>
      <c r="L18" t="s">
        <v>3389</v>
      </c>
      <c r="N18" t="s">
        <v>2704</v>
      </c>
      <c r="O18" t="s">
        <v>2745</v>
      </c>
      <c r="Q18" t="s">
        <v>2643</v>
      </c>
      <c r="R18" t="s">
        <v>3952</v>
      </c>
      <c r="S18" t="s">
        <v>2994</v>
      </c>
    </row>
    <row r="19" spans="1:19" x14ac:dyDescent="0.35">
      <c r="D19" t="s">
        <v>739</v>
      </c>
      <c r="E19" t="s">
        <v>3000</v>
      </c>
      <c r="F19" t="s">
        <v>2640</v>
      </c>
      <c r="G19" t="s">
        <v>3934</v>
      </c>
      <c r="H19" t="s">
        <v>2639</v>
      </c>
      <c r="J19" t="s">
        <v>2981</v>
      </c>
      <c r="K19" t="s">
        <v>2687</v>
      </c>
      <c r="L19" t="s">
        <v>3389</v>
      </c>
      <c r="Q19" t="s">
        <v>739</v>
      </c>
      <c r="R19" t="s">
        <v>3953</v>
      </c>
      <c r="S19" t="s">
        <v>3000</v>
      </c>
    </row>
    <row r="20" spans="1:19" x14ac:dyDescent="0.35">
      <c r="A20" t="s">
        <v>15</v>
      </c>
      <c r="D20" t="s">
        <v>739</v>
      </c>
      <c r="E20" t="s">
        <v>3000</v>
      </c>
      <c r="F20" t="s">
        <v>2681</v>
      </c>
      <c r="G20" t="s">
        <v>3932</v>
      </c>
      <c r="H20" t="s">
        <v>3849</v>
      </c>
      <c r="J20" t="s">
        <v>2981</v>
      </c>
      <c r="K20" t="s">
        <v>2689</v>
      </c>
      <c r="L20" t="s">
        <v>3389</v>
      </c>
      <c r="N20" t="s">
        <v>3833</v>
      </c>
      <c r="O20" t="s">
        <v>24</v>
      </c>
      <c r="Q20" t="s">
        <v>681</v>
      </c>
      <c r="R20" t="s">
        <v>3954</v>
      </c>
      <c r="S20" t="s">
        <v>2988</v>
      </c>
    </row>
    <row r="21" spans="1:19" x14ac:dyDescent="0.35">
      <c r="A21" t="s">
        <v>2675</v>
      </c>
      <c r="D21" t="s">
        <v>739</v>
      </c>
      <c r="E21" t="s">
        <v>3000</v>
      </c>
      <c r="F21" t="s">
        <v>2621</v>
      </c>
      <c r="G21" t="s">
        <v>3933</v>
      </c>
      <c r="H21" t="s">
        <v>2635</v>
      </c>
      <c r="J21" t="s">
        <v>2981</v>
      </c>
      <c r="K21" t="s">
        <v>2691</v>
      </c>
      <c r="L21" t="s">
        <v>3389</v>
      </c>
      <c r="N21" t="s">
        <v>3834</v>
      </c>
      <c r="O21" t="s">
        <v>3014</v>
      </c>
      <c r="Q21" t="s">
        <v>681</v>
      </c>
      <c r="R21" t="s">
        <v>3954</v>
      </c>
      <c r="S21" t="s">
        <v>2995</v>
      </c>
    </row>
    <row r="22" spans="1:19" x14ac:dyDescent="0.35">
      <c r="A22" t="s">
        <v>3722</v>
      </c>
      <c r="D22" t="s">
        <v>739</v>
      </c>
      <c r="E22" t="s">
        <v>3000</v>
      </c>
      <c r="F22" t="s">
        <v>3073</v>
      </c>
      <c r="G22" t="s">
        <v>3931</v>
      </c>
      <c r="H22" t="s">
        <v>740</v>
      </c>
      <c r="J22" t="s">
        <v>2981</v>
      </c>
      <c r="K22" t="s">
        <v>2692</v>
      </c>
      <c r="L22" t="s">
        <v>3389</v>
      </c>
      <c r="N22" t="s">
        <v>3835</v>
      </c>
      <c r="O22" t="s">
        <v>3836</v>
      </c>
      <c r="Q22" t="s">
        <v>794</v>
      </c>
      <c r="R22" t="s">
        <v>3955</v>
      </c>
      <c r="S22" t="s">
        <v>2690</v>
      </c>
    </row>
    <row r="23" spans="1:19" x14ac:dyDescent="0.35">
      <c r="D23" t="s">
        <v>739</v>
      </c>
      <c r="E23" t="s">
        <v>3000</v>
      </c>
      <c r="F23" t="s">
        <v>3073</v>
      </c>
      <c r="G23" t="s">
        <v>3931</v>
      </c>
      <c r="H23" t="s">
        <v>2638</v>
      </c>
      <c r="J23" t="s">
        <v>2981</v>
      </c>
      <c r="K23" t="s">
        <v>2693</v>
      </c>
      <c r="L23" t="s">
        <v>3389</v>
      </c>
      <c r="N23" t="s">
        <v>3837</v>
      </c>
      <c r="O23" t="s">
        <v>3838</v>
      </c>
      <c r="Q23" t="s">
        <v>794</v>
      </c>
      <c r="R23" t="s">
        <v>3955</v>
      </c>
      <c r="S23" t="s">
        <v>2694</v>
      </c>
    </row>
    <row r="24" spans="1:19" x14ac:dyDescent="0.35">
      <c r="A24" t="s">
        <v>2670</v>
      </c>
      <c r="D24" t="s">
        <v>739</v>
      </c>
      <c r="E24" t="s">
        <v>3000</v>
      </c>
      <c r="F24" t="s">
        <v>3073</v>
      </c>
      <c r="G24" t="s">
        <v>3931</v>
      </c>
      <c r="H24" t="s">
        <v>841</v>
      </c>
      <c r="J24" t="s">
        <v>2981</v>
      </c>
      <c r="K24" t="s">
        <v>2988</v>
      </c>
      <c r="L24" t="s">
        <v>3389</v>
      </c>
      <c r="N24" t="s">
        <v>3839</v>
      </c>
      <c r="O24" t="s">
        <v>3387</v>
      </c>
      <c r="Q24" t="s">
        <v>794</v>
      </c>
      <c r="R24" t="s">
        <v>3955</v>
      </c>
      <c r="S24" t="s">
        <v>2688</v>
      </c>
    </row>
    <row r="25" spans="1:19" x14ac:dyDescent="0.35">
      <c r="A25" t="s">
        <v>3828</v>
      </c>
      <c r="D25" t="s">
        <v>739</v>
      </c>
      <c r="E25" t="s">
        <v>3000</v>
      </c>
      <c r="F25" t="s">
        <v>659</v>
      </c>
      <c r="G25" t="s">
        <v>3930</v>
      </c>
      <c r="H25" t="s">
        <v>1024</v>
      </c>
      <c r="J25" t="s">
        <v>2982</v>
      </c>
      <c r="K25" t="s">
        <v>2643</v>
      </c>
      <c r="L25" t="s">
        <v>3390</v>
      </c>
      <c r="N25" t="s">
        <v>3840</v>
      </c>
      <c r="O25" t="s">
        <v>2642</v>
      </c>
      <c r="Q25" t="s">
        <v>657</v>
      </c>
      <c r="R25" t="s">
        <v>3956</v>
      </c>
      <c r="S25" t="s">
        <v>2996</v>
      </c>
    </row>
    <row r="26" spans="1:19" x14ac:dyDescent="0.35">
      <c r="A26" t="s">
        <v>3829</v>
      </c>
      <c r="D26" t="s">
        <v>739</v>
      </c>
      <c r="E26" t="s">
        <v>3000</v>
      </c>
      <c r="F26" t="s">
        <v>659</v>
      </c>
      <c r="G26" t="s">
        <v>3930</v>
      </c>
      <c r="H26" t="s">
        <v>819</v>
      </c>
      <c r="J26" t="s">
        <v>2982</v>
      </c>
      <c r="K26" t="s">
        <v>2676</v>
      </c>
      <c r="L26" t="s">
        <v>3390</v>
      </c>
      <c r="N26" t="s">
        <v>3841</v>
      </c>
      <c r="O26" t="s">
        <v>2621</v>
      </c>
      <c r="Q26" t="s">
        <v>657</v>
      </c>
      <c r="R26" t="s">
        <v>3956</v>
      </c>
      <c r="S26" t="s">
        <v>2998</v>
      </c>
    </row>
    <row r="27" spans="1:19" x14ac:dyDescent="0.35">
      <c r="D27" t="s">
        <v>739</v>
      </c>
      <c r="E27" t="s">
        <v>3000</v>
      </c>
      <c r="F27" t="s">
        <v>659</v>
      </c>
      <c r="G27" t="s">
        <v>3930</v>
      </c>
      <c r="H27" t="s">
        <v>764</v>
      </c>
      <c r="J27" t="s">
        <v>2982</v>
      </c>
      <c r="K27" t="s">
        <v>2677</v>
      </c>
      <c r="L27" t="s">
        <v>3390</v>
      </c>
      <c r="N27" t="s">
        <v>3842</v>
      </c>
      <c r="O27" t="s">
        <v>2624</v>
      </c>
      <c r="Q27" t="s">
        <v>657</v>
      </c>
      <c r="R27" t="s">
        <v>3956</v>
      </c>
      <c r="S27" t="s">
        <v>2997</v>
      </c>
    </row>
    <row r="28" spans="1:19" x14ac:dyDescent="0.35">
      <c r="D28" t="s">
        <v>739</v>
      </c>
      <c r="E28" t="s">
        <v>3000</v>
      </c>
      <c r="F28" t="s">
        <v>2624</v>
      </c>
      <c r="G28" t="s">
        <v>3929</v>
      </c>
      <c r="H28" t="s">
        <v>3406</v>
      </c>
      <c r="J28" t="s">
        <v>2982</v>
      </c>
      <c r="K28" t="s">
        <v>2679</v>
      </c>
      <c r="L28" t="s">
        <v>3390</v>
      </c>
      <c r="N28" t="s">
        <v>3843</v>
      </c>
      <c r="O28" t="s">
        <v>706</v>
      </c>
      <c r="Q28" t="s">
        <v>732</v>
      </c>
      <c r="R28" t="s">
        <v>3957</v>
      </c>
      <c r="S28" t="s">
        <v>732</v>
      </c>
    </row>
    <row r="29" spans="1:19" x14ac:dyDescent="0.35">
      <c r="D29" t="s">
        <v>732</v>
      </c>
      <c r="E29" t="s">
        <v>732</v>
      </c>
      <c r="F29" t="s">
        <v>2621</v>
      </c>
      <c r="G29" t="s">
        <v>3928</v>
      </c>
      <c r="H29" t="s">
        <v>3091</v>
      </c>
      <c r="J29" t="s">
        <v>2982</v>
      </c>
      <c r="K29" t="s">
        <v>2682</v>
      </c>
      <c r="L29" t="s">
        <v>3390</v>
      </c>
      <c r="N29" t="s">
        <v>3844</v>
      </c>
      <c r="O29" t="s">
        <v>3072</v>
      </c>
      <c r="Q29" t="s">
        <v>714</v>
      </c>
      <c r="R29" t="s">
        <v>3958</v>
      </c>
      <c r="S29" t="s">
        <v>714</v>
      </c>
    </row>
    <row r="30" spans="1:19" x14ac:dyDescent="0.35">
      <c r="D30" t="s">
        <v>732</v>
      </c>
      <c r="E30" t="s">
        <v>732</v>
      </c>
      <c r="F30" t="s">
        <v>3073</v>
      </c>
      <c r="G30" t="s">
        <v>3927</v>
      </c>
      <c r="H30" t="s">
        <v>3093</v>
      </c>
      <c r="J30" t="s">
        <v>2982</v>
      </c>
      <c r="K30" t="s">
        <v>2683</v>
      </c>
      <c r="L30" t="s">
        <v>3390</v>
      </c>
      <c r="N30" t="s">
        <v>3845</v>
      </c>
      <c r="O30" t="s">
        <v>3073</v>
      </c>
      <c r="Q30" t="s">
        <v>2999</v>
      </c>
      <c r="R30" t="s">
        <v>3959</v>
      </c>
      <c r="S30" t="s">
        <v>1169</v>
      </c>
    </row>
    <row r="31" spans="1:19" x14ac:dyDescent="0.35">
      <c r="D31" t="s">
        <v>732</v>
      </c>
      <c r="E31" t="s">
        <v>732</v>
      </c>
      <c r="F31" t="s">
        <v>3072</v>
      </c>
      <c r="G31" t="s">
        <v>3926</v>
      </c>
      <c r="H31" t="s">
        <v>3850</v>
      </c>
      <c r="J31" t="s">
        <v>2982</v>
      </c>
      <c r="K31" t="s">
        <v>2684</v>
      </c>
      <c r="L31" t="s">
        <v>3390</v>
      </c>
      <c r="N31" t="s">
        <v>3846</v>
      </c>
      <c r="O31" t="s">
        <v>659</v>
      </c>
      <c r="Q31" t="s">
        <v>3015</v>
      </c>
      <c r="R31" t="s">
        <v>3960</v>
      </c>
      <c r="S31" t="s">
        <v>3016</v>
      </c>
    </row>
    <row r="32" spans="1:19" x14ac:dyDescent="0.35">
      <c r="D32" t="s">
        <v>732</v>
      </c>
      <c r="E32" t="s">
        <v>732</v>
      </c>
      <c r="F32" t="s">
        <v>3072</v>
      </c>
      <c r="G32" t="s">
        <v>3926</v>
      </c>
      <c r="H32" t="s">
        <v>3851</v>
      </c>
      <c r="J32" t="s">
        <v>2982</v>
      </c>
      <c r="K32" t="s">
        <v>2685</v>
      </c>
      <c r="L32" t="s">
        <v>3390</v>
      </c>
      <c r="N32" t="s">
        <v>3847</v>
      </c>
      <c r="O32" t="s">
        <v>2640</v>
      </c>
      <c r="Q32" t="s">
        <v>3015</v>
      </c>
      <c r="R32" t="s">
        <v>3960</v>
      </c>
      <c r="S32" t="s">
        <v>3017</v>
      </c>
    </row>
    <row r="33" spans="1:19" x14ac:dyDescent="0.35">
      <c r="D33" t="s">
        <v>732</v>
      </c>
      <c r="E33" t="s">
        <v>732</v>
      </c>
      <c r="F33" t="s">
        <v>3072</v>
      </c>
      <c r="G33" t="s">
        <v>3926</v>
      </c>
      <c r="H33" t="s">
        <v>3852</v>
      </c>
      <c r="J33" t="s">
        <v>2982</v>
      </c>
      <c r="K33" t="s">
        <v>2686</v>
      </c>
      <c r="L33" t="s">
        <v>3390</v>
      </c>
      <c r="N33" t="s">
        <v>3848</v>
      </c>
      <c r="O33" t="s">
        <v>670</v>
      </c>
      <c r="Q33" t="s">
        <v>3015</v>
      </c>
      <c r="R33" t="s">
        <v>3960</v>
      </c>
      <c r="S33" t="s">
        <v>3018</v>
      </c>
    </row>
    <row r="34" spans="1:19" x14ac:dyDescent="0.35">
      <c r="D34" t="s">
        <v>732</v>
      </c>
      <c r="E34" t="s">
        <v>732</v>
      </c>
      <c r="F34" t="s">
        <v>659</v>
      </c>
      <c r="G34" t="s">
        <v>3925</v>
      </c>
      <c r="H34" t="s">
        <v>3853</v>
      </c>
      <c r="J34" t="s">
        <v>2982</v>
      </c>
      <c r="K34" t="s">
        <v>2687</v>
      </c>
      <c r="L34" t="s">
        <v>3390</v>
      </c>
      <c r="N34" t="s">
        <v>3964</v>
      </c>
      <c r="O34" t="s">
        <v>2681</v>
      </c>
      <c r="Q34" t="s">
        <v>3015</v>
      </c>
      <c r="R34" t="s">
        <v>3960</v>
      </c>
      <c r="S34" t="s">
        <v>3019</v>
      </c>
    </row>
    <row r="35" spans="1:19" x14ac:dyDescent="0.35">
      <c r="D35" t="s">
        <v>732</v>
      </c>
      <c r="E35" t="s">
        <v>732</v>
      </c>
      <c r="F35" t="s">
        <v>2624</v>
      </c>
      <c r="G35" t="s">
        <v>3924</v>
      </c>
      <c r="H35" t="s">
        <v>3092</v>
      </c>
      <c r="J35" t="s">
        <v>2982</v>
      </c>
      <c r="K35" t="s">
        <v>2689</v>
      </c>
      <c r="L35" t="s">
        <v>3390</v>
      </c>
      <c r="Q35" t="s">
        <v>3012</v>
      </c>
      <c r="R35" t="s">
        <v>3961</v>
      </c>
      <c r="S35" t="s">
        <v>3014</v>
      </c>
    </row>
    <row r="36" spans="1:19" x14ac:dyDescent="0.35">
      <c r="D36" t="s">
        <v>2999</v>
      </c>
      <c r="E36" t="s">
        <v>1169</v>
      </c>
      <c r="F36" t="s">
        <v>3073</v>
      </c>
      <c r="G36" t="s">
        <v>3917</v>
      </c>
      <c r="H36" t="s">
        <v>1170</v>
      </c>
      <c r="J36" t="s">
        <v>2982</v>
      </c>
      <c r="K36" t="s">
        <v>2691</v>
      </c>
      <c r="L36" t="s">
        <v>3390</v>
      </c>
    </row>
    <row r="37" spans="1:19" x14ac:dyDescent="0.35">
      <c r="D37" t="s">
        <v>2999</v>
      </c>
      <c r="E37" t="s">
        <v>1169</v>
      </c>
      <c r="F37" t="s">
        <v>3073</v>
      </c>
      <c r="G37" t="s">
        <v>3921</v>
      </c>
      <c r="H37" t="s">
        <v>3918</v>
      </c>
      <c r="J37" t="s">
        <v>2982</v>
      </c>
      <c r="K37" t="s">
        <v>2692</v>
      </c>
      <c r="L37" t="s">
        <v>3390</v>
      </c>
    </row>
    <row r="38" spans="1:19" x14ac:dyDescent="0.35">
      <c r="D38" t="s">
        <v>2999</v>
      </c>
      <c r="E38" t="s">
        <v>1169</v>
      </c>
      <c r="F38" t="s">
        <v>2624</v>
      </c>
      <c r="G38" t="s">
        <v>3922</v>
      </c>
      <c r="H38" t="s">
        <v>3919</v>
      </c>
      <c r="J38" t="s">
        <v>2982</v>
      </c>
      <c r="K38" t="s">
        <v>2693</v>
      </c>
      <c r="L38" t="s">
        <v>3390</v>
      </c>
    </row>
    <row r="39" spans="1:19" x14ac:dyDescent="0.35">
      <c r="D39" t="s">
        <v>2999</v>
      </c>
      <c r="E39" t="s">
        <v>1169</v>
      </c>
      <c r="F39" t="s">
        <v>2621</v>
      </c>
      <c r="G39" t="s">
        <v>3923</v>
      </c>
      <c r="H39" t="s">
        <v>3920</v>
      </c>
      <c r="J39" t="s">
        <v>2982</v>
      </c>
      <c r="K39" t="s">
        <v>2988</v>
      </c>
      <c r="L39" t="s">
        <v>3390</v>
      </c>
    </row>
    <row r="40" spans="1:19" x14ac:dyDescent="0.35">
      <c r="D40" t="s">
        <v>2643</v>
      </c>
      <c r="E40" t="s">
        <v>2676</v>
      </c>
      <c r="F40" t="s">
        <v>2640</v>
      </c>
      <c r="G40" t="s">
        <v>3914</v>
      </c>
      <c r="H40" t="s">
        <v>2653</v>
      </c>
      <c r="J40" t="s">
        <v>2983</v>
      </c>
      <c r="K40" t="s">
        <v>2643</v>
      </c>
      <c r="L40" t="s">
        <v>3391</v>
      </c>
    </row>
    <row r="41" spans="1:19" x14ac:dyDescent="0.35">
      <c r="D41" t="s">
        <v>2643</v>
      </c>
      <c r="E41" t="s">
        <v>2665</v>
      </c>
      <c r="F41" t="s">
        <v>2640</v>
      </c>
      <c r="G41" t="s">
        <v>3915</v>
      </c>
      <c r="H41" t="s">
        <v>2650</v>
      </c>
      <c r="J41" t="s">
        <v>2983</v>
      </c>
      <c r="K41" t="s">
        <v>2676</v>
      </c>
      <c r="L41" t="s">
        <v>3391</v>
      </c>
    </row>
    <row r="42" spans="1:19" x14ac:dyDescent="0.35">
      <c r="D42" t="s">
        <v>2643</v>
      </c>
      <c r="E42" t="s">
        <v>2994</v>
      </c>
      <c r="F42" t="s">
        <v>2640</v>
      </c>
      <c r="G42" t="s">
        <v>3916</v>
      </c>
      <c r="H42" t="s">
        <v>2656</v>
      </c>
      <c r="J42" t="s">
        <v>2983</v>
      </c>
      <c r="K42" t="s">
        <v>2677</v>
      </c>
      <c r="L42" t="s">
        <v>3391</v>
      </c>
    </row>
    <row r="43" spans="1:19" x14ac:dyDescent="0.35">
      <c r="D43" t="s">
        <v>2643</v>
      </c>
      <c r="E43" t="s">
        <v>2665</v>
      </c>
      <c r="F43" t="s">
        <v>2642</v>
      </c>
      <c r="G43" t="s">
        <v>3913</v>
      </c>
      <c r="H43" t="s">
        <v>2642</v>
      </c>
      <c r="J43" t="s">
        <v>2983</v>
      </c>
      <c r="K43" t="s">
        <v>2679</v>
      </c>
      <c r="L43" t="s">
        <v>3391</v>
      </c>
    </row>
    <row r="44" spans="1:19" x14ac:dyDescent="0.35">
      <c r="A44" t="s">
        <v>9</v>
      </c>
      <c r="B44" t="s">
        <v>3723</v>
      </c>
      <c r="D44" t="s">
        <v>2643</v>
      </c>
      <c r="E44" t="s">
        <v>2665</v>
      </c>
      <c r="F44" t="s">
        <v>2621</v>
      </c>
      <c r="G44" t="s">
        <v>3912</v>
      </c>
      <c r="H44" t="s">
        <v>3049</v>
      </c>
      <c r="J44" t="s">
        <v>2983</v>
      </c>
      <c r="K44" t="s">
        <v>2682</v>
      </c>
      <c r="L44" t="s">
        <v>3391</v>
      </c>
    </row>
    <row r="45" spans="1:19" x14ac:dyDescent="0.35">
      <c r="A45" t="s">
        <v>666</v>
      </c>
      <c r="B45" t="s">
        <v>3854</v>
      </c>
      <c r="D45" t="s">
        <v>2643</v>
      </c>
      <c r="E45" t="s">
        <v>2676</v>
      </c>
      <c r="F45" t="s">
        <v>3073</v>
      </c>
      <c r="G45" t="s">
        <v>3909</v>
      </c>
      <c r="H45" t="s">
        <v>2652</v>
      </c>
      <c r="J45" t="s">
        <v>2983</v>
      </c>
      <c r="K45" t="s">
        <v>2683</v>
      </c>
      <c r="L45" t="s">
        <v>3391</v>
      </c>
    </row>
    <row r="46" spans="1:19" x14ac:dyDescent="0.35">
      <c r="A46" t="s">
        <v>651</v>
      </c>
      <c r="B46" t="s">
        <v>3855</v>
      </c>
      <c r="D46" t="s">
        <v>2643</v>
      </c>
      <c r="E46" t="s">
        <v>2665</v>
      </c>
      <c r="F46" t="s">
        <v>3073</v>
      </c>
      <c r="G46" t="s">
        <v>3910</v>
      </c>
      <c r="H46" t="s">
        <v>695</v>
      </c>
      <c r="J46" t="s">
        <v>2983</v>
      </c>
      <c r="K46" t="s">
        <v>2684</v>
      </c>
      <c r="L46" t="s">
        <v>3391</v>
      </c>
    </row>
    <row r="47" spans="1:19" x14ac:dyDescent="0.35">
      <c r="A47" t="s">
        <v>2678</v>
      </c>
      <c r="B47" t="s">
        <v>3854</v>
      </c>
      <c r="D47" t="s">
        <v>2643</v>
      </c>
      <c r="E47" t="s">
        <v>2994</v>
      </c>
      <c r="F47" t="s">
        <v>3073</v>
      </c>
      <c r="G47" t="s">
        <v>3911</v>
      </c>
      <c r="H47" t="s">
        <v>2641</v>
      </c>
      <c r="J47" t="s">
        <v>2983</v>
      </c>
      <c r="K47" t="s">
        <v>2685</v>
      </c>
      <c r="L47" t="s">
        <v>3391</v>
      </c>
    </row>
    <row r="48" spans="1:19" x14ac:dyDescent="0.35">
      <c r="A48" t="s">
        <v>2680</v>
      </c>
      <c r="B48" t="s">
        <v>3854</v>
      </c>
      <c r="D48" t="s">
        <v>2643</v>
      </c>
      <c r="E48" t="s">
        <v>2676</v>
      </c>
      <c r="F48" t="s">
        <v>659</v>
      </c>
      <c r="G48" t="s">
        <v>3906</v>
      </c>
      <c r="H48" t="s">
        <v>903</v>
      </c>
      <c r="J48" t="s">
        <v>2983</v>
      </c>
      <c r="K48" t="s">
        <v>2686</v>
      </c>
      <c r="L48" t="s">
        <v>3391</v>
      </c>
    </row>
    <row r="49" spans="4:12" x14ac:dyDescent="0.35">
      <c r="D49" t="s">
        <v>2643</v>
      </c>
      <c r="E49" t="s">
        <v>2665</v>
      </c>
      <c r="F49" t="s">
        <v>659</v>
      </c>
      <c r="G49" t="s">
        <v>3907</v>
      </c>
      <c r="H49" t="s">
        <v>2649</v>
      </c>
      <c r="J49" t="s">
        <v>2983</v>
      </c>
      <c r="K49" t="s">
        <v>2687</v>
      </c>
      <c r="L49" t="s">
        <v>3391</v>
      </c>
    </row>
    <row r="50" spans="4:12" x14ac:dyDescent="0.35">
      <c r="D50" t="s">
        <v>2643</v>
      </c>
      <c r="E50" t="s">
        <v>2994</v>
      </c>
      <c r="F50" t="s">
        <v>659</v>
      </c>
      <c r="G50" t="s">
        <v>3908</v>
      </c>
      <c r="H50" t="s">
        <v>2655</v>
      </c>
      <c r="J50" t="s">
        <v>2983</v>
      </c>
      <c r="K50" t="s">
        <v>2689</v>
      </c>
      <c r="L50" t="s">
        <v>3391</v>
      </c>
    </row>
    <row r="51" spans="4:12" x14ac:dyDescent="0.35">
      <c r="D51" t="s">
        <v>2643</v>
      </c>
      <c r="E51" t="s">
        <v>2676</v>
      </c>
      <c r="F51" t="s">
        <v>2624</v>
      </c>
      <c r="G51" t="s">
        <v>3903</v>
      </c>
      <c r="H51" t="s">
        <v>2651</v>
      </c>
      <c r="J51" t="s">
        <v>2983</v>
      </c>
      <c r="K51" t="s">
        <v>2691</v>
      </c>
      <c r="L51" t="s">
        <v>3391</v>
      </c>
    </row>
    <row r="52" spans="4:12" x14ac:dyDescent="0.35">
      <c r="D52" t="s">
        <v>2643</v>
      </c>
      <c r="E52" t="s">
        <v>2665</v>
      </c>
      <c r="F52" t="s">
        <v>2624</v>
      </c>
      <c r="G52" t="s">
        <v>3904</v>
      </c>
      <c r="H52" t="s">
        <v>2648</v>
      </c>
      <c r="J52" t="s">
        <v>2983</v>
      </c>
      <c r="K52" t="s">
        <v>2692</v>
      </c>
      <c r="L52" t="s">
        <v>3391</v>
      </c>
    </row>
    <row r="53" spans="4:12" x14ac:dyDescent="0.35">
      <c r="D53" t="s">
        <v>2643</v>
      </c>
      <c r="E53" t="s">
        <v>2994</v>
      </c>
      <c r="F53" t="s">
        <v>2624</v>
      </c>
      <c r="G53" t="s">
        <v>3905</v>
      </c>
      <c r="H53" t="s">
        <v>2654</v>
      </c>
      <c r="J53" t="s">
        <v>2983</v>
      </c>
      <c r="K53" t="s">
        <v>2693</v>
      </c>
      <c r="L53" t="s">
        <v>3391</v>
      </c>
    </row>
    <row r="54" spans="4:12" x14ac:dyDescent="0.35">
      <c r="D54" t="s">
        <v>657</v>
      </c>
      <c r="E54" t="s">
        <v>2996</v>
      </c>
      <c r="F54" t="s">
        <v>2640</v>
      </c>
      <c r="G54" t="s">
        <v>3902</v>
      </c>
      <c r="H54" t="s">
        <v>658</v>
      </c>
      <c r="J54" t="s">
        <v>2983</v>
      </c>
      <c r="K54" t="s">
        <v>2988</v>
      </c>
      <c r="L54" t="s">
        <v>3391</v>
      </c>
    </row>
    <row r="55" spans="4:12" x14ac:dyDescent="0.35">
      <c r="D55" t="s">
        <v>657</v>
      </c>
      <c r="E55" t="s">
        <v>2996</v>
      </c>
      <c r="F55" t="s">
        <v>2681</v>
      </c>
      <c r="G55" t="s">
        <v>3901</v>
      </c>
      <c r="H55" t="s">
        <v>3417</v>
      </c>
      <c r="J55" t="s">
        <v>2984</v>
      </c>
      <c r="K55" t="s">
        <v>2643</v>
      </c>
      <c r="L55" t="s">
        <v>3392</v>
      </c>
    </row>
    <row r="56" spans="4:12" x14ac:dyDescent="0.35">
      <c r="D56" t="s">
        <v>657</v>
      </c>
      <c r="E56" t="s">
        <v>2996</v>
      </c>
      <c r="F56" t="s">
        <v>706</v>
      </c>
      <c r="G56" t="s">
        <v>3900</v>
      </c>
      <c r="H56" t="s">
        <v>3060</v>
      </c>
      <c r="J56" t="s">
        <v>2984</v>
      </c>
      <c r="K56" t="s">
        <v>2676</v>
      </c>
      <c r="L56" t="s">
        <v>3392</v>
      </c>
    </row>
    <row r="57" spans="4:12" x14ac:dyDescent="0.35">
      <c r="D57" t="s">
        <v>657</v>
      </c>
      <c r="E57" t="s">
        <v>2996</v>
      </c>
      <c r="F57" t="s">
        <v>706</v>
      </c>
      <c r="G57" t="s">
        <v>3900</v>
      </c>
      <c r="H57" t="s">
        <v>3896</v>
      </c>
      <c r="J57" t="s">
        <v>2984</v>
      </c>
      <c r="K57" t="s">
        <v>2677</v>
      </c>
      <c r="L57" t="s">
        <v>3392</v>
      </c>
    </row>
    <row r="58" spans="4:12" x14ac:dyDescent="0.35">
      <c r="D58" t="s">
        <v>657</v>
      </c>
      <c r="E58" t="s">
        <v>2996</v>
      </c>
      <c r="F58" t="s">
        <v>2621</v>
      </c>
      <c r="G58" t="s">
        <v>3899</v>
      </c>
      <c r="H58" t="s">
        <v>3053</v>
      </c>
      <c r="J58" t="s">
        <v>2984</v>
      </c>
      <c r="K58" t="s">
        <v>2679</v>
      </c>
      <c r="L58" t="s">
        <v>3392</v>
      </c>
    </row>
    <row r="59" spans="4:12" x14ac:dyDescent="0.35">
      <c r="D59" t="s">
        <v>657</v>
      </c>
      <c r="E59" t="s">
        <v>2997</v>
      </c>
      <c r="F59" t="s">
        <v>2621</v>
      </c>
      <c r="G59" t="s">
        <v>3897</v>
      </c>
      <c r="H59" t="s">
        <v>3058</v>
      </c>
      <c r="J59" t="s">
        <v>2984</v>
      </c>
      <c r="K59" t="s">
        <v>2682</v>
      </c>
      <c r="L59" t="s">
        <v>3392</v>
      </c>
    </row>
    <row r="60" spans="4:12" x14ac:dyDescent="0.35">
      <c r="D60" t="s">
        <v>657</v>
      </c>
      <c r="E60" t="s">
        <v>2998</v>
      </c>
      <c r="F60" t="s">
        <v>2621</v>
      </c>
      <c r="G60" t="s">
        <v>3898</v>
      </c>
      <c r="H60" t="s">
        <v>3059</v>
      </c>
      <c r="J60" t="s">
        <v>2984</v>
      </c>
      <c r="K60" t="s">
        <v>2683</v>
      </c>
      <c r="L60" t="s">
        <v>3392</v>
      </c>
    </row>
    <row r="61" spans="4:12" x14ac:dyDescent="0.35">
      <c r="D61" t="s">
        <v>657</v>
      </c>
      <c r="E61" t="s">
        <v>2996</v>
      </c>
      <c r="F61" t="s">
        <v>670</v>
      </c>
      <c r="G61" t="s">
        <v>3893</v>
      </c>
      <c r="H61" t="s">
        <v>669</v>
      </c>
      <c r="J61" t="s">
        <v>2984</v>
      </c>
      <c r="K61" t="s">
        <v>2684</v>
      </c>
      <c r="L61" t="s">
        <v>3392</v>
      </c>
    </row>
    <row r="62" spans="4:12" x14ac:dyDescent="0.35">
      <c r="D62" t="s">
        <v>657</v>
      </c>
      <c r="E62" t="s">
        <v>2997</v>
      </c>
      <c r="F62" t="s">
        <v>670</v>
      </c>
      <c r="G62" t="s">
        <v>3894</v>
      </c>
      <c r="H62" t="s">
        <v>3056</v>
      </c>
      <c r="J62" t="s">
        <v>2984</v>
      </c>
      <c r="K62" t="s">
        <v>2685</v>
      </c>
      <c r="L62" t="s">
        <v>3392</v>
      </c>
    </row>
    <row r="63" spans="4:12" x14ac:dyDescent="0.35">
      <c r="D63" t="s">
        <v>657</v>
      </c>
      <c r="E63" t="s">
        <v>2997</v>
      </c>
      <c r="F63" t="s">
        <v>670</v>
      </c>
      <c r="G63" t="s">
        <v>3894</v>
      </c>
      <c r="H63" t="s">
        <v>916</v>
      </c>
      <c r="J63" t="s">
        <v>2984</v>
      </c>
      <c r="K63" t="s">
        <v>2686</v>
      </c>
      <c r="L63" t="s">
        <v>3392</v>
      </c>
    </row>
    <row r="64" spans="4:12" x14ac:dyDescent="0.35">
      <c r="D64" t="s">
        <v>657</v>
      </c>
      <c r="E64" t="s">
        <v>2998</v>
      </c>
      <c r="F64" t="s">
        <v>670</v>
      </c>
      <c r="G64" t="s">
        <v>3895</v>
      </c>
      <c r="H64" t="s">
        <v>3821</v>
      </c>
      <c r="J64" t="s">
        <v>2984</v>
      </c>
      <c r="K64" t="s">
        <v>2687</v>
      </c>
      <c r="L64" t="s">
        <v>3392</v>
      </c>
    </row>
    <row r="65" spans="4:12" x14ac:dyDescent="0.35">
      <c r="D65" t="s">
        <v>657</v>
      </c>
      <c r="E65" t="s">
        <v>2998</v>
      </c>
      <c r="F65" t="s">
        <v>3072</v>
      </c>
      <c r="G65" t="s">
        <v>3892</v>
      </c>
      <c r="H65" t="s">
        <v>3062</v>
      </c>
      <c r="J65" t="s">
        <v>2984</v>
      </c>
      <c r="K65" t="s">
        <v>2689</v>
      </c>
      <c r="L65" t="s">
        <v>3392</v>
      </c>
    </row>
    <row r="66" spans="4:12" x14ac:dyDescent="0.35">
      <c r="D66" t="s">
        <v>657</v>
      </c>
      <c r="E66" t="s">
        <v>2998</v>
      </c>
      <c r="F66" t="s">
        <v>3072</v>
      </c>
      <c r="G66" t="s">
        <v>3892</v>
      </c>
      <c r="H66" t="s">
        <v>3055</v>
      </c>
      <c r="J66" t="s">
        <v>2984</v>
      </c>
      <c r="K66" t="s">
        <v>2691</v>
      </c>
      <c r="L66" t="s">
        <v>3392</v>
      </c>
    </row>
    <row r="67" spans="4:12" x14ac:dyDescent="0.35">
      <c r="D67" t="s">
        <v>657</v>
      </c>
      <c r="E67" t="s">
        <v>2998</v>
      </c>
      <c r="F67" t="s">
        <v>3072</v>
      </c>
      <c r="G67" t="s">
        <v>3892</v>
      </c>
      <c r="H67" t="s">
        <v>3054</v>
      </c>
      <c r="J67" t="s">
        <v>2984</v>
      </c>
      <c r="K67" t="s">
        <v>2692</v>
      </c>
      <c r="L67" t="s">
        <v>3392</v>
      </c>
    </row>
    <row r="68" spans="4:12" x14ac:dyDescent="0.35">
      <c r="D68" t="s">
        <v>657</v>
      </c>
      <c r="E68" t="s">
        <v>2996</v>
      </c>
      <c r="F68" t="s">
        <v>2624</v>
      </c>
      <c r="G68" t="s">
        <v>3889</v>
      </c>
      <c r="H68" t="s">
        <v>2977</v>
      </c>
      <c r="J68" t="s">
        <v>2984</v>
      </c>
      <c r="K68" t="s">
        <v>2693</v>
      </c>
      <c r="L68" t="s">
        <v>3392</v>
      </c>
    </row>
    <row r="69" spans="4:12" x14ac:dyDescent="0.35">
      <c r="D69" t="s">
        <v>657</v>
      </c>
      <c r="E69" t="s">
        <v>2997</v>
      </c>
      <c r="F69" t="s">
        <v>2624</v>
      </c>
      <c r="G69" t="s">
        <v>3890</v>
      </c>
      <c r="H69" t="s">
        <v>3061</v>
      </c>
      <c r="J69" t="s">
        <v>2984</v>
      </c>
      <c r="K69" t="s">
        <v>2988</v>
      </c>
      <c r="L69" t="s">
        <v>3392</v>
      </c>
    </row>
    <row r="70" spans="4:12" x14ac:dyDescent="0.35">
      <c r="D70" t="s">
        <v>657</v>
      </c>
      <c r="E70" t="s">
        <v>2998</v>
      </c>
      <c r="F70" t="s">
        <v>2624</v>
      </c>
      <c r="G70" t="s">
        <v>3891</v>
      </c>
      <c r="H70" t="s">
        <v>3057</v>
      </c>
    </row>
    <row r="71" spans="4:12" x14ac:dyDescent="0.35">
      <c r="D71" t="s">
        <v>714</v>
      </c>
      <c r="E71" t="s">
        <v>714</v>
      </c>
      <c r="F71" t="s">
        <v>2640</v>
      </c>
      <c r="G71" t="s">
        <v>3888</v>
      </c>
      <c r="H71" t="s">
        <v>3415</v>
      </c>
    </row>
    <row r="72" spans="4:12" x14ac:dyDescent="0.35">
      <c r="D72" t="s">
        <v>714</v>
      </c>
      <c r="E72" t="s">
        <v>714</v>
      </c>
      <c r="F72" t="s">
        <v>2621</v>
      </c>
      <c r="G72" t="s">
        <v>3887</v>
      </c>
      <c r="H72" t="s">
        <v>3408</v>
      </c>
    </row>
    <row r="73" spans="4:12" x14ac:dyDescent="0.35">
      <c r="D73" t="s">
        <v>714</v>
      </c>
      <c r="E73" t="s">
        <v>714</v>
      </c>
      <c r="F73" t="s">
        <v>3073</v>
      </c>
      <c r="G73" t="s">
        <v>3886</v>
      </c>
      <c r="H73" t="s">
        <v>3413</v>
      </c>
    </row>
    <row r="74" spans="4:12" x14ac:dyDescent="0.35">
      <c r="D74" t="s">
        <v>714</v>
      </c>
      <c r="E74" t="s">
        <v>714</v>
      </c>
      <c r="F74" t="s">
        <v>3072</v>
      </c>
      <c r="G74" t="s">
        <v>3885</v>
      </c>
      <c r="H74" t="s">
        <v>3412</v>
      </c>
    </row>
    <row r="75" spans="4:12" x14ac:dyDescent="0.35">
      <c r="D75" t="s">
        <v>714</v>
      </c>
      <c r="E75" t="s">
        <v>714</v>
      </c>
      <c r="F75" t="s">
        <v>3072</v>
      </c>
      <c r="G75" t="s">
        <v>3885</v>
      </c>
      <c r="H75" t="s">
        <v>3411</v>
      </c>
    </row>
    <row r="76" spans="4:12" x14ac:dyDescent="0.35">
      <c r="D76" t="s">
        <v>714</v>
      </c>
      <c r="E76" t="s">
        <v>714</v>
      </c>
      <c r="F76" t="s">
        <v>659</v>
      </c>
      <c r="G76" t="s">
        <v>3884</v>
      </c>
      <c r="H76" t="s">
        <v>715</v>
      </c>
    </row>
    <row r="77" spans="4:12" x14ac:dyDescent="0.35">
      <c r="D77" t="s">
        <v>714</v>
      </c>
      <c r="E77" t="s">
        <v>714</v>
      </c>
      <c r="F77" t="s">
        <v>659</v>
      </c>
      <c r="G77" t="s">
        <v>3884</v>
      </c>
      <c r="H77" t="s">
        <v>3414</v>
      </c>
    </row>
    <row r="78" spans="4:12" x14ac:dyDescent="0.35">
      <c r="D78" t="s">
        <v>714</v>
      </c>
      <c r="E78" t="s">
        <v>714</v>
      </c>
      <c r="F78" t="s">
        <v>2624</v>
      </c>
      <c r="G78" t="s">
        <v>3883</v>
      </c>
      <c r="H78" t="s">
        <v>3410</v>
      </c>
    </row>
    <row r="79" spans="4:12" x14ac:dyDescent="0.35">
      <c r="D79" t="s">
        <v>714</v>
      </c>
      <c r="E79" t="s">
        <v>714</v>
      </c>
      <c r="F79" t="s">
        <v>2624</v>
      </c>
      <c r="G79" t="s">
        <v>3883</v>
      </c>
      <c r="H79" t="s">
        <v>3409</v>
      </c>
    </row>
    <row r="80" spans="4:12" x14ac:dyDescent="0.35">
      <c r="D80" t="s">
        <v>794</v>
      </c>
      <c r="E80" t="s">
        <v>2690</v>
      </c>
      <c r="F80" t="s">
        <v>2640</v>
      </c>
      <c r="G80" t="s">
        <v>3882</v>
      </c>
      <c r="H80" t="s">
        <v>795</v>
      </c>
    </row>
    <row r="81" spans="4:8" x14ac:dyDescent="0.35">
      <c r="D81" t="s">
        <v>794</v>
      </c>
      <c r="E81" t="s">
        <v>2690</v>
      </c>
      <c r="F81" t="s">
        <v>2640</v>
      </c>
      <c r="G81" t="s">
        <v>3882</v>
      </c>
      <c r="H81" t="s">
        <v>3048</v>
      </c>
    </row>
    <row r="82" spans="4:8" x14ac:dyDescent="0.35">
      <c r="D82" t="s">
        <v>794</v>
      </c>
      <c r="E82" t="s">
        <v>2688</v>
      </c>
      <c r="F82" t="s">
        <v>2640</v>
      </c>
      <c r="G82" t="s">
        <v>3881</v>
      </c>
      <c r="H82" t="s">
        <v>3074</v>
      </c>
    </row>
    <row r="83" spans="4:8" x14ac:dyDescent="0.35">
      <c r="D83" t="s">
        <v>794</v>
      </c>
      <c r="E83" t="s">
        <v>2694</v>
      </c>
      <c r="F83" t="s">
        <v>2640</v>
      </c>
      <c r="G83" t="s">
        <v>3880</v>
      </c>
      <c r="H83" t="s">
        <v>3051</v>
      </c>
    </row>
    <row r="84" spans="4:8" x14ac:dyDescent="0.35">
      <c r="D84" t="s">
        <v>794</v>
      </c>
      <c r="E84" t="s">
        <v>2688</v>
      </c>
      <c r="F84" t="s">
        <v>2681</v>
      </c>
      <c r="G84" t="s">
        <v>3879</v>
      </c>
      <c r="H84" t="s">
        <v>3416</v>
      </c>
    </row>
    <row r="85" spans="4:8" x14ac:dyDescent="0.35">
      <c r="D85" t="s">
        <v>794</v>
      </c>
      <c r="E85" t="s">
        <v>2694</v>
      </c>
      <c r="F85" t="s">
        <v>2681</v>
      </c>
      <c r="G85" t="s">
        <v>3878</v>
      </c>
      <c r="H85" t="s">
        <v>3416</v>
      </c>
    </row>
    <row r="86" spans="4:8" x14ac:dyDescent="0.35">
      <c r="D86" t="s">
        <v>794</v>
      </c>
      <c r="E86" t="s">
        <v>2694</v>
      </c>
      <c r="F86" t="s">
        <v>706</v>
      </c>
      <c r="G86" t="s">
        <v>3877</v>
      </c>
      <c r="H86" t="s">
        <v>2625</v>
      </c>
    </row>
    <row r="87" spans="4:8" x14ac:dyDescent="0.35">
      <c r="D87" t="s">
        <v>794</v>
      </c>
      <c r="E87" t="s">
        <v>2690</v>
      </c>
      <c r="F87" t="s">
        <v>2621</v>
      </c>
      <c r="G87" t="s">
        <v>3874</v>
      </c>
      <c r="H87" t="s">
        <v>2627</v>
      </c>
    </row>
    <row r="88" spans="4:8" x14ac:dyDescent="0.35">
      <c r="D88" t="s">
        <v>794</v>
      </c>
      <c r="E88" t="s">
        <v>2688</v>
      </c>
      <c r="F88" t="s">
        <v>2621</v>
      </c>
      <c r="G88" t="s">
        <v>3875</v>
      </c>
      <c r="H88" t="s">
        <v>3068</v>
      </c>
    </row>
    <row r="89" spans="4:8" x14ac:dyDescent="0.35">
      <c r="D89" t="s">
        <v>794</v>
      </c>
      <c r="E89" t="s">
        <v>2694</v>
      </c>
      <c r="F89" t="s">
        <v>2621</v>
      </c>
      <c r="G89" t="s">
        <v>3876</v>
      </c>
      <c r="H89" t="s">
        <v>2622</v>
      </c>
    </row>
    <row r="90" spans="4:8" x14ac:dyDescent="0.35">
      <c r="D90" t="s">
        <v>794</v>
      </c>
      <c r="E90" t="s">
        <v>2690</v>
      </c>
      <c r="F90" t="s">
        <v>3073</v>
      </c>
      <c r="G90" t="s">
        <v>3871</v>
      </c>
      <c r="H90" t="s">
        <v>803</v>
      </c>
    </row>
    <row r="91" spans="4:8" x14ac:dyDescent="0.35">
      <c r="D91" t="s">
        <v>794</v>
      </c>
      <c r="E91" t="s">
        <v>2690</v>
      </c>
      <c r="F91" t="s">
        <v>3073</v>
      </c>
      <c r="G91" t="s">
        <v>3871</v>
      </c>
      <c r="H91" t="s">
        <v>3046</v>
      </c>
    </row>
    <row r="92" spans="4:8" x14ac:dyDescent="0.35">
      <c r="D92" t="s">
        <v>794</v>
      </c>
      <c r="E92" t="s">
        <v>2688</v>
      </c>
      <c r="F92" t="s">
        <v>3073</v>
      </c>
      <c r="G92" t="s">
        <v>3872</v>
      </c>
      <c r="H92" t="s">
        <v>3070</v>
      </c>
    </row>
    <row r="93" spans="4:8" x14ac:dyDescent="0.35">
      <c r="D93" t="s">
        <v>794</v>
      </c>
      <c r="E93" t="s">
        <v>2694</v>
      </c>
      <c r="F93" t="s">
        <v>670</v>
      </c>
      <c r="G93" t="s">
        <v>3870</v>
      </c>
      <c r="H93" t="s">
        <v>2632</v>
      </c>
    </row>
    <row r="94" spans="4:8" x14ac:dyDescent="0.35">
      <c r="D94" t="s">
        <v>794</v>
      </c>
      <c r="E94" t="s">
        <v>2694</v>
      </c>
      <c r="F94" t="s">
        <v>670</v>
      </c>
      <c r="G94" t="s">
        <v>3870</v>
      </c>
      <c r="H94" t="s">
        <v>2631</v>
      </c>
    </row>
    <row r="95" spans="4:8" x14ac:dyDescent="0.35">
      <c r="D95" t="s">
        <v>794</v>
      </c>
      <c r="E95" t="s">
        <v>2690</v>
      </c>
      <c r="F95" t="s">
        <v>3072</v>
      </c>
      <c r="G95" t="s">
        <v>3869</v>
      </c>
      <c r="H95" t="s">
        <v>1017</v>
      </c>
    </row>
    <row r="96" spans="4:8" x14ac:dyDescent="0.35">
      <c r="D96" t="s">
        <v>794</v>
      </c>
      <c r="E96" t="s">
        <v>2688</v>
      </c>
      <c r="F96" t="s">
        <v>659</v>
      </c>
      <c r="G96" t="s">
        <v>3873</v>
      </c>
      <c r="H96" t="s">
        <v>3071</v>
      </c>
    </row>
    <row r="97" spans="4:8" x14ac:dyDescent="0.35">
      <c r="D97" t="s">
        <v>794</v>
      </c>
      <c r="E97" t="s">
        <v>2694</v>
      </c>
      <c r="F97" t="s">
        <v>659</v>
      </c>
      <c r="G97" t="s">
        <v>3868</v>
      </c>
      <c r="H97" t="s">
        <v>2626</v>
      </c>
    </row>
    <row r="98" spans="4:8" x14ac:dyDescent="0.35">
      <c r="D98" t="s">
        <v>794</v>
      </c>
      <c r="E98" t="s">
        <v>2690</v>
      </c>
      <c r="F98" t="s">
        <v>2624</v>
      </c>
      <c r="G98" t="s">
        <v>3865</v>
      </c>
      <c r="H98" t="s">
        <v>2628</v>
      </c>
    </row>
    <row r="99" spans="4:8" x14ac:dyDescent="0.35">
      <c r="D99" t="s">
        <v>794</v>
      </c>
      <c r="E99" t="s">
        <v>2690</v>
      </c>
      <c r="F99" t="s">
        <v>2624</v>
      </c>
      <c r="G99" t="s">
        <v>3865</v>
      </c>
      <c r="H99" t="s">
        <v>2629</v>
      </c>
    </row>
    <row r="100" spans="4:8" x14ac:dyDescent="0.35">
      <c r="D100" t="s">
        <v>794</v>
      </c>
      <c r="E100" t="s">
        <v>2690</v>
      </c>
      <c r="F100" t="s">
        <v>2624</v>
      </c>
      <c r="G100" t="s">
        <v>3865</v>
      </c>
      <c r="H100" t="s">
        <v>3407</v>
      </c>
    </row>
    <row r="101" spans="4:8" x14ac:dyDescent="0.35">
      <c r="D101" t="s">
        <v>794</v>
      </c>
      <c r="E101" t="s">
        <v>2688</v>
      </c>
      <c r="F101" t="s">
        <v>2624</v>
      </c>
      <c r="G101" t="s">
        <v>3866</v>
      </c>
      <c r="H101" t="s">
        <v>3069</v>
      </c>
    </row>
    <row r="102" spans="4:8" x14ac:dyDescent="0.35">
      <c r="D102" t="s">
        <v>794</v>
      </c>
      <c r="E102" t="s">
        <v>2694</v>
      </c>
      <c r="F102" t="s">
        <v>2624</v>
      </c>
      <c r="G102" t="s">
        <v>3867</v>
      </c>
      <c r="H102" t="s">
        <v>2623</v>
      </c>
    </row>
    <row r="103" spans="4:8" x14ac:dyDescent="0.35">
      <c r="D103" t="s">
        <v>3012</v>
      </c>
      <c r="E103" t="s">
        <v>3014</v>
      </c>
      <c r="F103" t="s">
        <v>3387</v>
      </c>
      <c r="G103" t="s">
        <v>3864</v>
      </c>
      <c r="H103" t="s">
        <v>3387</v>
      </c>
    </row>
  </sheetData>
  <phoneticPr fontId="5"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F159-CD88-4B0D-AB71-8E3D12FA6D2F}">
  <dimension ref="A1:K20"/>
  <sheetViews>
    <sheetView topLeftCell="D1" zoomScale="104" zoomScaleNormal="104" workbookViewId="0"/>
  </sheetViews>
  <sheetFormatPr defaultRowHeight="14.5" x14ac:dyDescent="0.35"/>
  <cols>
    <col min="1" max="1" width="12.453125" bestFit="1" customWidth="1"/>
    <col min="2" max="3" width="24.81640625" bestFit="1" customWidth="1"/>
    <col min="4" max="4" width="28.1796875" bestFit="1" customWidth="1"/>
    <col min="5" max="5" width="26.36328125" bestFit="1" customWidth="1"/>
    <col min="6" max="6" width="8.81640625" bestFit="1" customWidth="1"/>
    <col min="7" max="7" width="22.54296875" bestFit="1" customWidth="1"/>
    <col min="8" max="8" width="19" bestFit="1" customWidth="1"/>
    <col min="9" max="9" width="15.54296875" bestFit="1" customWidth="1"/>
    <col min="10" max="10" width="32.7265625" bestFit="1" customWidth="1"/>
    <col min="11" max="11" width="18.1796875" bestFit="1" customWidth="1"/>
  </cols>
  <sheetData>
    <row r="1" spans="1:11" x14ac:dyDescent="0.35">
      <c r="A1" s="20" t="s">
        <v>3830</v>
      </c>
      <c r="B1" t="s">
        <v>3965</v>
      </c>
      <c r="D1" s="20" t="s">
        <v>3723</v>
      </c>
      <c r="E1" t="s">
        <v>3822</v>
      </c>
      <c r="G1" s="20" t="s">
        <v>3723</v>
      </c>
      <c r="H1" t="s">
        <v>3861</v>
      </c>
      <c r="J1" s="20" t="s">
        <v>3723</v>
      </c>
      <c r="K1" t="s">
        <v>3825</v>
      </c>
    </row>
    <row r="2" spans="1:11" x14ac:dyDescent="0.35">
      <c r="A2" s="21" t="s">
        <v>3829</v>
      </c>
      <c r="B2">
        <v>111</v>
      </c>
      <c r="D2" s="21" t="s">
        <v>2675</v>
      </c>
      <c r="E2">
        <v>292</v>
      </c>
      <c r="G2" s="21" t="s">
        <v>681</v>
      </c>
      <c r="H2">
        <v>18</v>
      </c>
      <c r="J2" s="21" t="s">
        <v>2640</v>
      </c>
      <c r="K2">
        <v>36</v>
      </c>
    </row>
    <row r="3" spans="1:11" x14ac:dyDescent="0.35">
      <c r="A3" s="21" t="s">
        <v>3828</v>
      </c>
      <c r="B3">
        <v>290</v>
      </c>
      <c r="D3" s="21" t="s">
        <v>3859</v>
      </c>
      <c r="E3">
        <v>6</v>
      </c>
      <c r="G3" s="21" t="s">
        <v>3015</v>
      </c>
      <c r="H3">
        <v>12</v>
      </c>
      <c r="J3" s="21" t="s">
        <v>3387</v>
      </c>
      <c r="K3">
        <v>1</v>
      </c>
    </row>
    <row r="4" spans="1:11" x14ac:dyDescent="0.35">
      <c r="A4" s="21" t="s">
        <v>3831</v>
      </c>
      <c r="B4">
        <v>401</v>
      </c>
      <c r="D4" s="21" t="s">
        <v>3860</v>
      </c>
      <c r="E4">
        <v>8</v>
      </c>
      <c r="G4" s="21" t="s">
        <v>739</v>
      </c>
      <c r="H4">
        <v>16</v>
      </c>
      <c r="J4" s="21" t="s">
        <v>2642</v>
      </c>
      <c r="K4">
        <v>2</v>
      </c>
    </row>
    <row r="5" spans="1:11" x14ac:dyDescent="0.35">
      <c r="D5" s="21" t="s">
        <v>3831</v>
      </c>
      <c r="E5">
        <v>306</v>
      </c>
      <c r="G5" s="21" t="s">
        <v>732</v>
      </c>
      <c r="H5">
        <v>20</v>
      </c>
      <c r="J5" s="21" t="s">
        <v>2681</v>
      </c>
      <c r="K5">
        <v>20</v>
      </c>
    </row>
    <row r="6" spans="1:11" x14ac:dyDescent="0.35">
      <c r="G6" s="21" t="s">
        <v>2643</v>
      </c>
      <c r="H6">
        <v>21</v>
      </c>
      <c r="J6" s="21" t="s">
        <v>706</v>
      </c>
      <c r="K6">
        <v>26</v>
      </c>
    </row>
    <row r="7" spans="1:11" x14ac:dyDescent="0.35">
      <c r="G7" s="21" t="s">
        <v>657</v>
      </c>
      <c r="H7">
        <v>161</v>
      </c>
      <c r="J7" s="21" t="s">
        <v>2621</v>
      </c>
      <c r="K7">
        <v>16</v>
      </c>
    </row>
    <row r="8" spans="1:11" x14ac:dyDescent="0.35">
      <c r="G8" s="21" t="s">
        <v>794</v>
      </c>
      <c r="H8">
        <v>57</v>
      </c>
      <c r="J8" s="21" t="s">
        <v>3073</v>
      </c>
      <c r="K8">
        <v>27</v>
      </c>
    </row>
    <row r="9" spans="1:11" x14ac:dyDescent="0.35">
      <c r="A9" s="20" t="s">
        <v>3723</v>
      </c>
      <c r="B9" t="s">
        <v>3823</v>
      </c>
      <c r="G9" s="21" t="s">
        <v>3012</v>
      </c>
      <c r="H9">
        <v>1</v>
      </c>
      <c r="J9" s="21" t="s">
        <v>670</v>
      </c>
      <c r="K9">
        <v>115</v>
      </c>
    </row>
    <row r="10" spans="1:11" x14ac:dyDescent="0.35">
      <c r="A10" s="21" t="s">
        <v>676</v>
      </c>
      <c r="B10">
        <v>80</v>
      </c>
      <c r="G10" s="21" t="s">
        <v>3831</v>
      </c>
      <c r="H10">
        <v>306</v>
      </c>
      <c r="J10" s="21" t="s">
        <v>3072</v>
      </c>
      <c r="K10">
        <v>10</v>
      </c>
    </row>
    <row r="11" spans="1:11" x14ac:dyDescent="0.35">
      <c r="A11" s="21" t="s">
        <v>648</v>
      </c>
      <c r="B11">
        <v>226</v>
      </c>
      <c r="J11" s="21" t="s">
        <v>659</v>
      </c>
      <c r="K11">
        <v>35</v>
      </c>
    </row>
    <row r="12" spans="1:11" x14ac:dyDescent="0.35">
      <c r="A12" s="21" t="s">
        <v>3831</v>
      </c>
      <c r="B12">
        <v>306</v>
      </c>
      <c r="J12" s="21" t="s">
        <v>2624</v>
      </c>
      <c r="K12">
        <v>15</v>
      </c>
    </row>
    <row r="13" spans="1:11" x14ac:dyDescent="0.35">
      <c r="J13" s="21" t="s">
        <v>3836</v>
      </c>
      <c r="K13">
        <v>1</v>
      </c>
    </row>
    <row r="14" spans="1:11" x14ac:dyDescent="0.35">
      <c r="A14" s="20" t="s">
        <v>3830</v>
      </c>
      <c r="B14" t="s">
        <v>3832</v>
      </c>
      <c r="D14" s="20" t="s">
        <v>3830</v>
      </c>
      <c r="E14" t="s">
        <v>3824</v>
      </c>
      <c r="G14" s="20" t="s">
        <v>3830</v>
      </c>
      <c r="H14" t="s">
        <v>3863</v>
      </c>
      <c r="J14" s="21" t="s">
        <v>3838</v>
      </c>
      <c r="K14">
        <v>2</v>
      </c>
    </row>
    <row r="15" spans="1:11" x14ac:dyDescent="0.35">
      <c r="A15" s="21" t="s">
        <v>2675</v>
      </c>
      <c r="B15">
        <v>308</v>
      </c>
      <c r="D15" s="21" t="s">
        <v>3382</v>
      </c>
      <c r="E15">
        <v>74</v>
      </c>
      <c r="G15" s="21" t="s">
        <v>2704</v>
      </c>
      <c r="H15">
        <v>77</v>
      </c>
      <c r="J15" s="21" t="s">
        <v>3831</v>
      </c>
      <c r="K15">
        <v>306</v>
      </c>
    </row>
    <row r="16" spans="1:11" x14ac:dyDescent="0.35">
      <c r="A16" s="21" t="s">
        <v>3722</v>
      </c>
      <c r="B16">
        <v>93</v>
      </c>
      <c r="D16" s="21" t="s">
        <v>3400</v>
      </c>
      <c r="E16">
        <v>2</v>
      </c>
      <c r="G16" s="21" t="s">
        <v>3114</v>
      </c>
      <c r="H16">
        <v>20</v>
      </c>
    </row>
    <row r="17" spans="1:8" x14ac:dyDescent="0.35">
      <c r="A17" s="21" t="s">
        <v>3831</v>
      </c>
      <c r="B17">
        <v>401</v>
      </c>
      <c r="D17" s="21" t="s">
        <v>3402</v>
      </c>
      <c r="E17">
        <v>1</v>
      </c>
      <c r="G17" s="21" t="s">
        <v>3113</v>
      </c>
      <c r="H17">
        <v>35</v>
      </c>
    </row>
    <row r="18" spans="1:8" x14ac:dyDescent="0.35">
      <c r="D18" s="21" t="s">
        <v>2674</v>
      </c>
      <c r="E18">
        <v>12</v>
      </c>
      <c r="G18" s="21" t="s">
        <v>3831</v>
      </c>
      <c r="H18">
        <v>132</v>
      </c>
    </row>
    <row r="19" spans="1:8" x14ac:dyDescent="0.35">
      <c r="D19" s="21" t="s">
        <v>3381</v>
      </c>
      <c r="E19">
        <v>3</v>
      </c>
    </row>
    <row r="20" spans="1:8" x14ac:dyDescent="0.35">
      <c r="D20" s="21" t="s">
        <v>3831</v>
      </c>
      <c r="E20">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107</vt:i4>
      </vt:variant>
    </vt:vector>
  </HeadingPairs>
  <TitlesOfParts>
    <vt:vector size="114" baseType="lpstr">
      <vt:lpstr>Dashboard</vt:lpstr>
      <vt:lpstr>Monitoring Contract</vt:lpstr>
      <vt:lpstr>Data Employee</vt:lpstr>
      <vt:lpstr>Data Karyawan (2)</vt:lpstr>
      <vt:lpstr>Data Family</vt:lpstr>
      <vt:lpstr>Reference</vt:lpstr>
      <vt:lpstr>PIVOT</vt:lpstr>
      <vt:lpstr>Active</vt:lpstr>
      <vt:lpstr>BachS1</vt:lpstr>
      <vt:lpstr>DATA</vt:lpstr>
      <vt:lpstr>Degree3</vt:lpstr>
      <vt:lpstr>Dept_CM</vt:lpstr>
      <vt:lpstr>Dept_Corporate</vt:lpstr>
      <vt:lpstr>Dept_HRD</vt:lpstr>
      <vt:lpstr>Dept_IT</vt:lpstr>
      <vt:lpstr>Dept_Legal</vt:lpstr>
      <vt:lpstr>Dept_Management</vt:lpstr>
      <vt:lpstr>Dept_MFG</vt:lpstr>
      <vt:lpstr>Dept_RND</vt:lpstr>
      <vt:lpstr>Dept_SCM</vt:lpstr>
      <vt:lpstr>Dept_TopMan</vt:lpstr>
      <vt:lpstr>DocS3</vt:lpstr>
      <vt:lpstr>HighSchool</vt:lpstr>
      <vt:lpstr>HR</vt:lpstr>
      <vt:lpstr>Range_Admin_ACC</vt:lpstr>
      <vt:lpstr>Range_Admin_FIN</vt:lpstr>
      <vt:lpstr>Range_Admin_HR</vt:lpstr>
      <vt:lpstr>Range_Admin_PPIC</vt:lpstr>
      <vt:lpstr>Range_Admin_Prod</vt:lpstr>
      <vt:lpstr>Range_Admin_PURC</vt:lpstr>
      <vt:lpstr>Range_Admin_RND</vt:lpstr>
      <vt:lpstr>Range_Admin_Sales</vt:lpstr>
      <vt:lpstr>Range_Admin_TAX</vt:lpstr>
      <vt:lpstr>Range_Admin_WRHS</vt:lpstr>
      <vt:lpstr>Range_Analytst_IT</vt:lpstr>
      <vt:lpstr>Range_Chairman</vt:lpstr>
      <vt:lpstr>Range_Commissioner</vt:lpstr>
      <vt:lpstr>Range_GM</vt:lpstr>
      <vt:lpstr>Range_Intern_HR</vt:lpstr>
      <vt:lpstr>Range_Intern_MAR</vt:lpstr>
      <vt:lpstr>Range_Intern_Prod</vt:lpstr>
      <vt:lpstr>Range_Intern_PURC</vt:lpstr>
      <vt:lpstr>Range_Intern_Sales</vt:lpstr>
      <vt:lpstr>Range_Intern_WRHS</vt:lpstr>
      <vt:lpstr>Range_Lead_Prod</vt:lpstr>
      <vt:lpstr>Range_Lead_WRHS</vt:lpstr>
      <vt:lpstr>Range_MNGR_Audit</vt:lpstr>
      <vt:lpstr>Range_MNGR_FIN</vt:lpstr>
      <vt:lpstr>Range_MNGR_HR</vt:lpstr>
      <vt:lpstr>Range_MNGR_IT</vt:lpstr>
      <vt:lpstr>Range_MNGR_Legal</vt:lpstr>
      <vt:lpstr>Range_MNGR_MAR</vt:lpstr>
      <vt:lpstr>Range_MNGR_Nomi</vt:lpstr>
      <vt:lpstr>Range_MNGR_PPIC</vt:lpstr>
      <vt:lpstr>Range_MNGR_Prod</vt:lpstr>
      <vt:lpstr>Range_MNGR_PURC</vt:lpstr>
      <vt:lpstr>Range_MNGR_QA</vt:lpstr>
      <vt:lpstr>Range_MNGR_QE</vt:lpstr>
      <vt:lpstr>Range_MNGR_RND</vt:lpstr>
      <vt:lpstr>Range_MNGR_Sales</vt:lpstr>
      <vt:lpstr>Range_MNGR_WRHS</vt:lpstr>
      <vt:lpstr>Range_Officer_ACC</vt:lpstr>
      <vt:lpstr>Range_Officer_Corporate</vt:lpstr>
      <vt:lpstr>Range_Officer_FIN</vt:lpstr>
      <vt:lpstr>Range_Officer_HR</vt:lpstr>
      <vt:lpstr>Range_Officer_Legal</vt:lpstr>
      <vt:lpstr>Range_Officer_MAR</vt:lpstr>
      <vt:lpstr>Range_Officer_PPIC</vt:lpstr>
      <vt:lpstr>Range_Officer_PURC</vt:lpstr>
      <vt:lpstr>Range_Officer_RND</vt:lpstr>
      <vt:lpstr>Range_Officer_Sales</vt:lpstr>
      <vt:lpstr>Range_Officer_TAX</vt:lpstr>
      <vt:lpstr>Range_Ofiicer_IT</vt:lpstr>
      <vt:lpstr>Range_OP_Prod</vt:lpstr>
      <vt:lpstr>Range_OP_QA</vt:lpstr>
      <vt:lpstr>Range_OP_QE</vt:lpstr>
      <vt:lpstr>Range_OP_WRHS</vt:lpstr>
      <vt:lpstr>Range_Senior_PPIC</vt:lpstr>
      <vt:lpstr>Range_Senior_QE</vt:lpstr>
      <vt:lpstr>Range_Senior_RND</vt:lpstr>
      <vt:lpstr>Range_SPV_ACC</vt:lpstr>
      <vt:lpstr>Range_SPV_FIN</vt:lpstr>
      <vt:lpstr>Range_SPV_HR</vt:lpstr>
      <vt:lpstr>Range_SPV_IT</vt:lpstr>
      <vt:lpstr>Range_SPV_Legal</vt:lpstr>
      <vt:lpstr>Range_SPV_MAR</vt:lpstr>
      <vt:lpstr>Range_SPV_PPIC</vt:lpstr>
      <vt:lpstr>Range_SPV_Prod</vt:lpstr>
      <vt:lpstr>Range_SPV_PURC</vt:lpstr>
      <vt:lpstr>Range_SPV_QA</vt:lpstr>
      <vt:lpstr>Range_SPV_QE</vt:lpstr>
      <vt:lpstr>Range_SPV_RND</vt:lpstr>
      <vt:lpstr>Range_SPV_Sales</vt:lpstr>
      <vt:lpstr>Range_SPV_TAX</vt:lpstr>
      <vt:lpstr>Range_SPV_WRHS</vt:lpstr>
      <vt:lpstr>Range_Staff_ACC</vt:lpstr>
      <vt:lpstr>Range_Staff_CorporateAudit</vt:lpstr>
      <vt:lpstr>Range_Staff_CorporateNomi</vt:lpstr>
      <vt:lpstr>Range_Staff_FIN</vt:lpstr>
      <vt:lpstr>Range_Staff_HR</vt:lpstr>
      <vt:lpstr>Range_Staff_IT</vt:lpstr>
      <vt:lpstr>Range_Staff_Legal</vt:lpstr>
      <vt:lpstr>Range_Staff_MAR</vt:lpstr>
      <vt:lpstr>Range_Staff_PURC</vt:lpstr>
      <vt:lpstr>Range_Staff_RND</vt:lpstr>
      <vt:lpstr>Range_Staff_TAX</vt:lpstr>
      <vt:lpstr>Range_Staff_WRHS</vt:lpstr>
      <vt:lpstr>Range_TopMan</vt:lpstr>
      <vt:lpstr>Stat_Active</vt:lpstr>
      <vt:lpstr>Stat_Suspend</vt:lpstr>
      <vt:lpstr>Stat_Terminated</vt:lpstr>
      <vt:lpstr>Suspend</vt:lpstr>
      <vt:lpstr>Terminated</vt:lpstr>
      <vt:lpstr>Vocational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Wahyu Diansyah</dc:creator>
  <cp:lastModifiedBy>Wahyu Diansyah</cp:lastModifiedBy>
  <cp:lastPrinted>2026-07-18T06:35:52Z</cp:lastPrinted>
  <dcterms:created xsi:type="dcterms:W3CDTF">2026-07-12T03:54:07Z</dcterms:created>
  <dcterms:modified xsi:type="dcterms:W3CDTF">2026-08-02T08:10:03Z</dcterms:modified>
</cp:coreProperties>
</file>